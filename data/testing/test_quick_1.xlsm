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persons/person2.xml" ContentType="application/vnd.ms-excel.person+xml"/>
  <Override PartName="/xl/persons/person1.xml" ContentType="application/vnd.ms-excel.person+xml"/>
  <Override PartName="/xl/persons/person0.xml" ContentType="application/vnd.ms-excel.person+xml"/>
  <Override PartName="/xl/persons/person3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Projects\mslookup\data\testing\"/>
    </mc:Choice>
  </mc:AlternateContent>
  <xr:revisionPtr revIDLastSave="0" documentId="13_ncr:1_{9870AB7B-3709-4D48-A3F4-DF47443C1D8A}" xr6:coauthVersionLast="47" xr6:coauthVersionMax="47" xr10:uidLastSave="{00000000-0000-0000-0000-000000000000}"/>
  <bookViews>
    <workbookView xWindow="20370" yWindow="-120" windowWidth="20730" windowHeight="11160" xr2:uid="{00000000-000D-0000-FFFF-FFFF00000000}"/>
  </bookViews>
  <sheets>
    <sheet name="Principal" sheetId="1" r:id="rId1"/>
    <sheet name="DadosProposta" sheetId="2" r:id="rId2"/>
    <sheet name="DadosModelo" sheetId="3" r:id="rId3"/>
  </sheets>
  <functionGroups builtInGroupCount="19"/>
  <definedNames>
    <definedName name="TabelaModelo">DadosModelo!$A$1:$C$11</definedName>
    <definedName name="TabelaProcesso">TabelaPrincipal[#All]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2" l="1"/>
  <c r="B3" i="2"/>
  <c r="C3" i="2"/>
  <c r="D3" i="2"/>
  <c r="E3" i="2"/>
  <c r="F3" i="2"/>
  <c r="G3" i="2"/>
  <c r="A4" i="2"/>
  <c r="B4" i="2"/>
  <c r="C4" i="2"/>
  <c r="D4" i="2"/>
  <c r="E4" i="2"/>
  <c r="F4" i="2"/>
  <c r="G4" i="2"/>
  <c r="G2" i="1"/>
  <c r="B2" i="1"/>
  <c r="D2" i="1"/>
  <c r="K2" i="1" l="1"/>
  <c r="J2" i="1"/>
  <c r="N2" i="1"/>
  <c r="H2" i="1"/>
  <c r="I2" i="1" s="1"/>
  <c r="A2" i="2"/>
  <c r="B2" i="2"/>
  <c r="C2" i="2"/>
  <c r="D2" i="2"/>
  <c r="E2" i="2"/>
  <c r="E5" i="2"/>
  <c r="D5" i="2"/>
  <c r="C5" i="2"/>
  <c r="B5" i="2"/>
  <c r="A5" i="2"/>
  <c r="G5" i="2" l="1"/>
  <c r="G2" i="2"/>
  <c r="G6" i="2" s="1"/>
  <c r="F5" i="2"/>
  <c r="F2" i="2"/>
  <c r="H6" i="2"/>
</calcChain>
</file>

<file path=xl/sharedStrings.xml><?xml version="1.0" encoding="utf-8"?>
<sst xmlns="http://schemas.openxmlformats.org/spreadsheetml/2006/main" count="38" uniqueCount="32">
  <si>
    <t>ITEM</t>
  </si>
  <si>
    <t>QTD</t>
  </si>
  <si>
    <t>UND</t>
  </si>
  <si>
    <t>VALOR TOTAL</t>
  </si>
  <si>
    <t>VALOR DE CUSTO</t>
  </si>
  <si>
    <t>DESCRIÇÃO</t>
  </si>
  <si>
    <t>MARCA</t>
  </si>
  <si>
    <t>Total</t>
  </si>
  <si>
    <t>VALOR UNITÁRIO</t>
  </si>
  <si>
    <t>TOTAL POR EXTENSO</t>
  </si>
  <si>
    <t>PERCENTUAL MÍNIMO</t>
  </si>
  <si>
    <t>VALOR MÍNIMO</t>
  </si>
  <si>
    <t>LANCE ATUAL</t>
  </si>
  <si>
    <t>POSIÇÃO</t>
  </si>
  <si>
    <t>VALOR TOTAL DO LANCE</t>
  </si>
  <si>
    <t>CUSTO + PERCENTUAL DE ENTRADA</t>
  </si>
  <si>
    <t>PERCENTUAL DE ENTRADA</t>
  </si>
  <si>
    <t>LOTE</t>
  </si>
  <si>
    <t>DESCRIÇÃO DO ITEM</t>
  </si>
  <si>
    <t>QUANTIDADE DO ITEM</t>
  </si>
  <si>
    <t>BICARBONATO DE SÓDIO 8,4% AMPOLA COM 10ML</t>
  </si>
  <si>
    <t>CLORETO DE POTÁSSIO 10% AMPOLA COM 10ML</t>
  </si>
  <si>
    <t>CLORETO DE POTÁSSIO 19,1% AMPOLA COM 10ML</t>
  </si>
  <si>
    <t>CLORETO DE SODIO 20% SOLUÇÃO INJETÁVEL ENDOVENOSA DE CLORETO DE SÓDIO 20% - AMP.TRANSP. DE 10ML</t>
  </si>
  <si>
    <t>GLUCONATO DE CÁLCIO 10% AMPOLA 10ML</t>
  </si>
  <si>
    <t>SORO GLICOFISIOLÓGICO, GLICOSE À 5% EM CLORETO DE SÓDIO À 0,9%; BOLSA SISTEMA FECHADO, FRASCO COM 1000ML</t>
  </si>
  <si>
    <t>SORO GLICOFISIOLÓGICO, GLICOSE À 5% EM CLORETO DE SÓDIO À 0,9%; BOLSA SISTEMA FECHADO, FRASCO COM 250ML</t>
  </si>
  <si>
    <t>SORO GLICOFISIOLÓGICO, GLICOSE À 5% EM CLORETO DE SÓDIO À 0,9%; BOLSA SISTEMA FECHADO, FRASCO COM 500ML</t>
  </si>
  <si>
    <t>SORO GLICOSADO 5%, BOLSA SISTEMA FECHADO, FRASCO COM 1000ML</t>
  </si>
  <si>
    <t>SULFATO DE MAGNÉSIO 10%, AMPOLA COM 10ML</t>
  </si>
  <si>
    <t>UN</t>
  </si>
  <si>
    <t>JP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</si>
</sst>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9">
    <xf numFmtId="0" fontId="0" fillId="0" borderId="0" xfId="0"/>
    <xf numFmtId="44" fontId="0" fillId="0" borderId="1" xfId="1" applyFont="1" applyBorder="1" applyAlignment="1">
      <alignment horizontal="center" vertical="center"/>
    </xf>
    <xf numFmtId="44" fontId="0" fillId="0" borderId="3" xfId="1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9" fontId="0" fillId="0" borderId="1" xfId="2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44" fontId="3" fillId="0" borderId="1" xfId="0" applyNumberFormat="1" applyFont="1" applyBorder="1" applyAlignment="1">
      <alignment horizontal="center" vertical="center"/>
    </xf>
    <xf numFmtId="44" fontId="3" fillId="0" borderId="3" xfId="0" applyNumberFormat="1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44" fontId="3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4" fontId="0" fillId="0" borderId="0" xfId="0" applyNumberFormat="1"/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44" fontId="1" fillId="0" borderId="1" xfId="1" applyFont="1" applyBorder="1" applyAlignment="1">
      <alignment horizontal="center" vertical="center"/>
    </xf>
    <xf numFmtId="44" fontId="1" fillId="2" borderId="1" xfId="1" applyFont="1" applyFill="1" applyBorder="1" applyAlignment="1">
      <alignment horizontal="center" vertical="center"/>
    </xf>
    <xf numFmtId="0" fontId="1" fillId="0" borderId="1" xfId="1" applyNumberFormat="1" applyFont="1" applyBorder="1" applyAlignment="1">
      <alignment horizontal="center" vertical="center"/>
    </xf>
    <xf numFmtId="0" fontId="0" fillId="0" borderId="0" xfId="0" applyAlignment="1">
      <alignment wrapText="1"/>
    </xf>
    <xf numFmtId="0" fontId="3" fillId="0" borderId="10" xfId="0" applyFont="1" applyBorder="1" applyAlignment="1">
      <alignment horizontal="center" vertical="center"/>
    </xf>
  </cellXfs>
  <cellStyles count="3">
    <cellStyle name="Moeda" xfId="1" builtinId="4"/>
    <cellStyle name="Normal" xfId="0" builtinId="0"/>
    <cellStyle name="Porcentagem" xfId="2" builtinId="5"/>
  </cellStyles>
  <dxfs count="49">
    <dxf>
      <fill>
        <patternFill>
          <bgColor theme="4" tint="0.39994506668294322"/>
        </patternFill>
      </fill>
    </dxf>
    <dxf>
      <font>
        <color theme="0"/>
      </font>
      <fill>
        <patternFill>
          <bgColor rgb="FF7030A0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/>
        <i val="0"/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4" formatCode="_-&quot;R$&quot;\ * #,##0.00_-;\-&quot;R$&quot;\ * #,##0.00_-;_-&quot;R$&quot;\ 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3" formatCode="0%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17/10/relationships/person" Target="persons/person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10/relationships/person" Target="persons/person1.xml"/><Relationship Id="rId5" Type="http://schemas.openxmlformats.org/officeDocument/2006/relationships/styles" Target="styles.xml"/><Relationship Id="rId10" Type="http://schemas.microsoft.com/office/2017/10/relationships/person" Target="persons/person0.xml"/><Relationship Id="rId4" Type="http://schemas.openxmlformats.org/officeDocument/2006/relationships/theme" Target="theme/theme1.xml"/><Relationship Id="rId9" Type="http://schemas.microsoft.com/office/2017/10/relationships/person" Target="persons/person3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persons/person2.xml><?xml version="1.0" encoding="utf-8"?>
<personList xmlns="http://schemas.microsoft.com/office/spreadsheetml/2018/threadedcomments" xmlns:x="http://schemas.openxmlformats.org/spreadsheetml/2006/main"/>
</file>

<file path=xl/persons/person3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F1C68C0-8F04-4F32-8E6D-C50711AF0188}" name="TabelaPrincipal" displayName="TabelaPrincipal" ref="A1:N2" headerRowDxfId="48" dataDxfId="46" headerRowBorderDxfId="47" tableBorderDxfId="45" totalsRowBorderDxfId="44">
  <autoFilter ref="A1:N2" xr:uid="{0F1C68C0-8F04-4F32-8E6D-C50711AF0188}"/>
  <tableColumns count="14">
    <tableColumn id="1" xr3:uid="{51CFE57C-AFCD-46C7-A72C-4E116E9357EE}" name="ITEM" totalsRowLabel="Total" dataDxfId="43"/>
    <tableColumn id="2" xr3:uid="{E7B80085-C079-4ECA-B98E-E82F5E46696A}" name="DESCRIÇÃO" dataDxfId="42">
      <calculatedColumnFormula>VLOOKUP(TabelaPrincipal[[#This Row],[ITEM]],TabelaModelo,2,FALSE)</calculatedColumnFormula>
    </tableColumn>
    <tableColumn id="3" xr3:uid="{74DD09F8-5DE7-492D-ABF9-CC0D01F7D44D}" name="UND" dataDxfId="41"/>
    <tableColumn id="4" xr3:uid="{2D7CF20C-95AF-448A-964A-706613067BC5}" name="QTD" dataDxfId="40">
      <calculatedColumnFormula>VLOOKUP(TabelaPrincipal[[#This Row],[ITEM]],TabelaModelo,3,FALSE)</calculatedColumnFormula>
    </tableColumn>
    <tableColumn id="5" xr3:uid="{888FDB53-36CC-46AE-AFEA-75AF1F77389D}" name="MARCA" dataDxfId="39"/>
    <tableColumn id="6" xr3:uid="{E7330FE1-ADA8-42A4-B3C8-35EEACF8E856}" name="VALOR DE CUSTO" dataDxfId="38" dataCellStyle="Moeda"/>
    <tableColumn id="14" xr3:uid="{A34B0AAF-F1D2-4671-A532-9BD185994D6B}" name="PERCENTUAL DE ENTRADA" dataDxfId="37" dataCellStyle="Moeda">
      <calculatedColumnFormula>IF(_xlfn.ISFORMULA(TabelaPrincipal[[#This Row],[CUSTO + PERCENTUAL DE ENTRADA]]),0.4,(TabelaPrincipal[[#This Row],[CUSTO + PERCENTUAL DE ENTRADA]]-TabelaPrincipal[[#This Row],[VALOR DE CUSTO]])/TabelaPrincipal[[#This Row],[VALOR DE CUSTO]])</calculatedColumnFormula>
    </tableColumn>
    <tableColumn id="7" xr3:uid="{03389115-425F-4153-AA8F-FD518F675069}" name="CUSTO + PERCENTUAL DE ENTRADA" dataDxfId="36" totalsRowDxfId="35" dataCellStyle="Moeda">
      <calculatedColumnFormula>ROUND(F2+(F2*TabelaPrincipal[[#This Row],[PERCENTUAL DE ENTRADA]]), 2)</calculatedColumnFormula>
    </tableColumn>
    <tableColumn id="8" xr3:uid="{532B9320-507F-43A8-833D-2CFD5BDC3030}" name="VALOR TOTAL" dataDxfId="34" totalsRowDxfId="33" dataCellStyle="Moeda">
      <calculatedColumnFormula>D2*H2</calculatedColumnFormula>
    </tableColumn>
    <tableColumn id="12" xr3:uid="{47060763-EEF9-4198-9C8A-B2079FE74328}" name="PERCENTUAL MÍNIMO" dataDxfId="32" totalsRowDxfId="31">
      <calculatedColumnFormula>IF(TabelaPrincipal[[#This Row],[PERCENTUAL DE ENTRADA]]&gt;0,0.2,0)</calculatedColumnFormula>
    </tableColumn>
    <tableColumn id="13" xr3:uid="{8FA6F66F-B93C-4DF5-A099-D33323ED11B8}" name="VALOR MÍNIMO" totalsRowFunction="sum" dataDxfId="30" totalsRowDxfId="29">
      <calculatedColumnFormula>ROUND(F2+(F2*TabelaPrincipal[[#This Row],[PERCENTUAL MÍNIMO]]), 2)</calculatedColumnFormula>
    </tableColumn>
    <tableColumn id="9" xr3:uid="{9D0B07B5-0269-49DC-A3EC-C170D6496473}" name="LANCE ATUAL" dataDxfId="28" dataCellStyle="Moeda"/>
    <tableColumn id="10" xr3:uid="{2B3A16CA-ACFA-4765-8367-A064C061C94F}" name="POSIÇÃO" dataDxfId="27" dataCellStyle="Moeda"/>
    <tableColumn id="11" xr3:uid="{059F3929-D102-4D03-9013-A9DF3FD97FD7}" name="VALOR TOTAL DO LANCE" dataDxfId="26" dataCellStyle="Moeda">
      <calculatedColumnFormula>TabelaPrincipal[[#This Row],[LANCE ATUAL]]*TabelaPrincipal[[#This Row],[QTD]]</calculatedColumnFormula>
    </tableColumn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CFAA1B4-814E-4223-B7E6-683C9654D63D}" name="TabelaProposta" displayName="TabelaProposta" ref="A1:H6" totalsRowCount="1" headerRowDxfId="25" dataDxfId="23" totalsRowDxfId="21" headerRowBorderDxfId="24" tableBorderDxfId="22" totalsRowBorderDxfId="20">
  <autoFilter ref="A1:H5" xr:uid="{2CFAA1B4-814E-4223-B7E6-683C9654D63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4C2A8540-55DA-471A-8023-1DC82AFF521D}" name="ITEM" totalsRowLabel="Total" dataDxfId="19" totalsRowDxfId="18">
      <calculatedColumnFormula>TabelaPrincipal[[#This Row],[ITEM]]</calculatedColumnFormula>
    </tableColumn>
    <tableColumn id="2" xr3:uid="{F915D416-2888-4C08-B603-DD427B80EC39}" name="DESCRIÇÃO" dataDxfId="17" totalsRowDxfId="16">
      <calculatedColumnFormula>TabelaPrincipal[[#This Row],[DESCRIÇÃO]]</calculatedColumnFormula>
    </tableColumn>
    <tableColumn id="3" xr3:uid="{49DB4880-9F6A-4C83-B06A-2BE3AF89B478}" name="UND" dataDxfId="15" totalsRowDxfId="14">
      <calculatedColumnFormula>TabelaPrincipal[[#This Row],[UND]]</calculatedColumnFormula>
    </tableColumn>
    <tableColumn id="4" xr3:uid="{88402F2B-2E49-4C7B-B78B-F865BFB0E1DD}" name="QTD" dataDxfId="13" totalsRowDxfId="12">
      <calculatedColumnFormula>TabelaPrincipal[[#This Row],[QTD]]</calculatedColumnFormula>
    </tableColumn>
    <tableColumn id="5" xr3:uid="{3DB67E5A-8A24-45E8-8217-4846CFFF15A4}" name="MARCA" dataDxfId="11" totalsRowDxfId="10">
      <calculatedColumnFormula>TabelaPrincipal[[#This Row],[MARCA]]</calculatedColumnFormula>
    </tableColumn>
    <tableColumn id="6" xr3:uid="{B69EC1DE-FD02-4E24-9A4E-2413AAC85E68}" name="VALOR UNITÁRIO" dataDxfId="9" totalsRowDxfId="8">
      <calculatedColumnFormula>TabelaPrincipal[[#This Row],[CUSTO + PERCENTUAL DE ENTRADA]]</calculatedColumnFormula>
    </tableColumn>
    <tableColumn id="7" xr3:uid="{AB54B16F-01C8-42F8-BA21-D18026C5F589}" name="VALOR TOTAL" totalsRowFunction="sum" dataDxfId="7" totalsRowDxfId="6">
      <calculatedColumnFormula>TabelaPrincipal[[#This Row],[VALOR TOTAL]]</calculatedColumnFormula>
    </tableColumn>
    <tableColumn id="8" xr3:uid="{937D679C-928B-4903-8AF2-2ECD36984D55}" name="TOTAL POR EXTENSO" totalsRowFunction="custom" dataDxfId="5" totalsRowDxfId="4">
      <totalsRowFormula>Extenso_Valor(TabelaProposta[[#Totals],[VALOR TOTAL]])</totalsRow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N2"/>
  <sheetViews>
    <sheetView tabSelected="1" zoomScale="80" zoomScaleNormal="80" workbookViewId="0">
      <pane ySplit="1" topLeftCell="A2" activePane="bottomLeft" state="frozen"/>
      <selection pane="bottomLeft" activeCell="B11" sqref="B11"/>
    </sheetView>
  </sheetViews>
  <sheetFormatPr defaultRowHeight="15" x14ac:dyDescent="0.25"/>
  <cols>
    <col min="1" max="1" width="7" customWidth="1"/>
    <col min="2" max="2" width="60.7109375" style="27" customWidth="1"/>
    <col min="3" max="3" width="10.85546875" bestFit="1" customWidth="1"/>
    <col min="4" max="4" width="11.28515625" customWidth="1"/>
    <col min="5" max="5" width="13.5703125" bestFit="1" customWidth="1"/>
    <col min="6" max="6" width="16" customWidth="1"/>
    <col min="7" max="7" width="12.7109375" customWidth="1"/>
    <col min="8" max="8" width="16.5703125" customWidth="1"/>
    <col min="9" max="9" width="17.28515625" customWidth="1"/>
    <col min="10" max="10" width="13" customWidth="1"/>
    <col min="11" max="11" width="12.85546875" bestFit="1" customWidth="1"/>
    <col min="12" max="12" width="13.42578125" customWidth="1"/>
    <col min="13" max="13" width="12" customWidth="1"/>
    <col min="14" max="14" width="17.28515625" customWidth="1"/>
  </cols>
  <sheetData>
    <row r="1" spans="1:14" ht="45" x14ac:dyDescent="0.25">
      <c r="A1" s="3" t="s">
        <v>0</v>
      </c>
      <c r="B1" s="18" t="s">
        <v>5</v>
      </c>
      <c r="C1" s="4" t="s">
        <v>2</v>
      </c>
      <c r="D1" s="4" t="s">
        <v>1</v>
      </c>
      <c r="E1" s="4" t="s">
        <v>6</v>
      </c>
      <c r="F1" s="18" t="s">
        <v>4</v>
      </c>
      <c r="G1" s="18" t="s">
        <v>16</v>
      </c>
      <c r="H1" s="18" t="s">
        <v>15</v>
      </c>
      <c r="I1" s="19" t="s">
        <v>3</v>
      </c>
      <c r="J1" s="18" t="s">
        <v>10</v>
      </c>
      <c r="K1" s="18" t="s">
        <v>11</v>
      </c>
      <c r="L1" s="18" t="s">
        <v>12</v>
      </c>
      <c r="M1" s="4" t="s">
        <v>13</v>
      </c>
      <c r="N1" s="18" t="s">
        <v>14</v>
      </c>
    </row>
    <row r="2" spans="1:14" ht="30" x14ac:dyDescent="0.25">
      <c r="A2" s="21">
        <v>9</v>
      </c>
      <c r="B2" s="22" t="str">
        <f>VLOOKUP(TabelaPrincipal[[#This Row],[ITEM]],TabelaModelo,2,FALSE)</f>
        <v>SORO GLICOSADO 5%, BOLSA SISTEMA FECHADO, FRASCO COM 1000ML</v>
      </c>
      <c r="C2" s="23" t="s">
        <v>30</v>
      </c>
      <c r="D2" s="23">
        <f>VLOOKUP(TabelaPrincipal[[#This Row],[ITEM]],TabelaModelo,3,FALSE)</f>
        <v>5000</v>
      </c>
      <c r="E2" s="23" t="s">
        <v>31</v>
      </c>
      <c r="F2" s="24">
        <v>10.1</v>
      </c>
      <c r="G2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2" s="1">
        <f>ROUND(F2+(F2*TabelaPrincipal[[#This Row],[PERCENTUAL DE ENTRADA]]), 2)</f>
        <v>14.14</v>
      </c>
      <c r="I2" s="2">
        <f t="shared" ref="I2" si="0">D2*H2</f>
        <v>70700</v>
      </c>
      <c r="J2" s="5">
        <f>IF(TabelaPrincipal[[#This Row],[PERCENTUAL DE ENTRADA]]&gt;0,0.2,0)</f>
        <v>0.2</v>
      </c>
      <c r="K2" s="1">
        <f>ROUND(F2+(F2*TabelaPrincipal[[#This Row],[PERCENTUAL MÍNIMO]]), 2)</f>
        <v>12.12</v>
      </c>
      <c r="L2" s="25">
        <v>12.88</v>
      </c>
      <c r="M2" s="26">
        <v>2</v>
      </c>
      <c r="N2" s="24">
        <f>TabelaPrincipal[[#This Row],[LANCE ATUAL]]*TabelaPrincipal[[#This Row],[QTD]]</f>
        <v>64400.000000000007</v>
      </c>
    </row>
  </sheetData>
  <conditionalFormatting sqref="L2">
    <cfRule type="expression" dxfId="3" priority="1">
      <formula>$L2&lt;$K2</formula>
    </cfRule>
  </conditionalFormatting>
  <conditionalFormatting sqref="A2:N2">
    <cfRule type="expression" dxfId="2" priority="2">
      <formula>$M2=1</formula>
    </cfRule>
  </conditionalFormatting>
  <conditionalFormatting sqref="L2">
    <cfRule type="expression" dxfId="1" priority="5">
      <formula>$G2=0</formula>
    </cfRule>
  </conditionalFormatting>
  <conditionalFormatting sqref="G2">
    <cfRule type="expression" dxfId="0" priority="4">
      <formula>$G2&gt;0.4</formula>
    </cfRule>
  </conditionalFormatting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19727-5DA9-40D4-8223-AE69951C4CB4}">
  <dimension ref="A1:H6"/>
  <sheetViews>
    <sheetView workbookViewId="0">
      <selection activeCell="H6" sqref="H6"/>
    </sheetView>
  </sheetViews>
  <sheetFormatPr defaultRowHeight="15" x14ac:dyDescent="0.25"/>
  <cols>
    <col min="1" max="1" width="4.85546875" bestFit="1" customWidth="1"/>
    <col min="2" max="2" width="50.7109375" customWidth="1"/>
    <col min="3" max="3" width="4.5703125" bestFit="1" customWidth="1"/>
    <col min="4" max="4" width="5" bestFit="1" customWidth="1"/>
    <col min="5" max="5" width="6.85546875" bestFit="1" customWidth="1"/>
    <col min="6" max="6" width="9" bestFit="1" customWidth="1"/>
    <col min="7" max="7" width="13.5703125" bestFit="1" customWidth="1"/>
    <col min="8" max="8" width="36.85546875" bestFit="1" customWidth="1"/>
  </cols>
  <sheetData>
    <row r="1" spans="1:8" ht="25.5" x14ac:dyDescent="0.25">
      <c r="A1" s="6" t="s">
        <v>0</v>
      </c>
      <c r="B1" s="7" t="s">
        <v>5</v>
      </c>
      <c r="C1" s="7" t="s">
        <v>2</v>
      </c>
      <c r="D1" s="7" t="s">
        <v>1</v>
      </c>
      <c r="E1" s="7" t="s">
        <v>6</v>
      </c>
      <c r="F1" s="17" t="s">
        <v>8</v>
      </c>
      <c r="G1" s="8" t="s">
        <v>3</v>
      </c>
      <c r="H1" s="7" t="s">
        <v>9</v>
      </c>
    </row>
    <row r="2" spans="1:8" ht="38.25" x14ac:dyDescent="0.25">
      <c r="A2" s="9">
        <f>TabelaPrincipal[[#This Row],[ITEM]]</f>
        <v>9</v>
      </c>
      <c r="B2" s="10" t="str">
        <f>TabelaPrincipal[[#This Row],[DESCRIÇÃO]]</f>
        <v>SORO GLICOSADO 5%, BOLSA SISTEMA FECHADO, FRASCO COM 1000ML</v>
      </c>
      <c r="C2" s="11" t="str">
        <f>TabelaPrincipal[[#This Row],[UND]]</f>
        <v>UN</v>
      </c>
      <c r="D2" s="10">
        <f>TabelaPrincipal[[#This Row],[QTD]]</f>
        <v>5000</v>
      </c>
      <c r="E2" s="10" t="str">
        <f>TabelaPrincipal[[#This Row],[MARCA]]</f>
        <v>JP</v>
      </c>
      <c r="F2" s="12">
        <f>TabelaPrincipal[[#This Row],[CUSTO + PERCENTUAL DE ENTRADA]]</f>
        <v>14.14</v>
      </c>
      <c r="G2" s="13">
        <f>TabelaPrincipal[[#This Row],[VALOR TOTAL]]</f>
        <v>70700</v>
      </c>
      <c r="H2" s="7"/>
    </row>
    <row r="3" spans="1:8" ht="25.5" x14ac:dyDescent="0.25">
      <c r="A3" s="9" t="e">
        <f>TabelaPrincipal[[#This Row],[ITEM]]</f>
        <v>#VALUE!</v>
      </c>
      <c r="B3" s="10" t="e">
        <f>TabelaPrincipal[[#This Row],[DESCRIÇÃO]]</f>
        <v>#VALUE!</v>
      </c>
      <c r="C3" s="11" t="e">
        <f>TabelaPrincipal[[#This Row],[UND]]</f>
        <v>#VALUE!</v>
      </c>
      <c r="D3" s="10" t="e">
        <f>TabelaPrincipal[[#This Row],[QTD]]</f>
        <v>#VALUE!</v>
      </c>
      <c r="E3" s="10" t="e">
        <f>TabelaPrincipal[[#This Row],[MARCA]]</f>
        <v>#VALUE!</v>
      </c>
      <c r="F3" s="12" t="e">
        <f>TabelaPrincipal[[#This Row],[CUSTO + PERCENTUAL DE ENTRADA]]</f>
        <v>#VALUE!</v>
      </c>
      <c r="G3" s="13" t="e">
        <f>TabelaPrincipal[[#This Row],[VALOR TOTAL]]</f>
        <v>#VALUE!</v>
      </c>
      <c r="H3" s="28"/>
    </row>
    <row r="4" spans="1:8" ht="25.5" x14ac:dyDescent="0.25">
      <c r="A4" s="9" t="e">
        <f>TabelaPrincipal[[#This Row],[ITEM]]</f>
        <v>#VALUE!</v>
      </c>
      <c r="B4" s="10" t="e">
        <f>TabelaPrincipal[[#This Row],[DESCRIÇÃO]]</f>
        <v>#VALUE!</v>
      </c>
      <c r="C4" s="11" t="e">
        <f>TabelaPrincipal[[#This Row],[UND]]</f>
        <v>#VALUE!</v>
      </c>
      <c r="D4" s="10" t="e">
        <f>TabelaPrincipal[[#This Row],[QTD]]</f>
        <v>#VALUE!</v>
      </c>
      <c r="E4" s="10" t="e">
        <f>TabelaPrincipal[[#This Row],[MARCA]]</f>
        <v>#VALUE!</v>
      </c>
      <c r="F4" s="12" t="e">
        <f>TabelaPrincipal[[#This Row],[CUSTO + PERCENTUAL DE ENTRADA]]</f>
        <v>#VALUE!</v>
      </c>
      <c r="G4" s="13" t="e">
        <f>TabelaPrincipal[[#This Row],[VALOR TOTAL]]</f>
        <v>#VALUE!</v>
      </c>
      <c r="H4" s="28"/>
    </row>
    <row r="5" spans="1:8" x14ac:dyDescent="0.25">
      <c r="A5" s="9" t="e">
        <f>TabelaPrincipal[[#This Row],[ITEM]]</f>
        <v>#VALUE!</v>
      </c>
      <c r="B5" s="10" t="e">
        <f>TabelaPrincipal[[#This Row],[DESCRIÇÃO]]</f>
        <v>#VALUE!</v>
      </c>
      <c r="C5" s="11" t="e">
        <f>TabelaPrincipal[[#This Row],[UND]]</f>
        <v>#VALUE!</v>
      </c>
      <c r="D5" s="10" t="e">
        <f>TabelaPrincipal[[#This Row],[QTD]]</f>
        <v>#VALUE!</v>
      </c>
      <c r="E5" s="10" t="e">
        <f>TabelaPrincipal[[#This Row],[MARCA]]</f>
        <v>#VALUE!</v>
      </c>
      <c r="F5" s="12" t="e">
        <f>TabelaPrincipal[[#This Row],[CUSTO + PERCENTUAL DE ENTRADA]]</f>
        <v>#VALUE!</v>
      </c>
      <c r="G5" s="13" t="e">
        <f>TabelaPrincipal[[#This Row],[VALOR TOTAL]]</f>
        <v>#VALUE!</v>
      </c>
      <c r="H5" s="14"/>
    </row>
    <row r="6" spans="1:8" x14ac:dyDescent="0.25">
      <c r="A6" s="15" t="s">
        <v>7</v>
      </c>
      <c r="B6" s="14"/>
      <c r="C6" s="14"/>
      <c r="D6" s="14"/>
      <c r="E6" s="14"/>
      <c r="F6" s="14"/>
      <c r="G6" s="16" t="e">
        <f>SUBTOTAL(109,TabelaProposta[VALOR TOTAL])</f>
        <v>#VALUE!</v>
      </c>
      <c r="H6" s="14" t="e">
        <f>Extenso_Valor(TabelaProposta[[#Totals],[VALOR TOTAL]])</f>
        <v>#VALUE!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1B35B-9CD0-41FF-8C20-919F75371C92}">
  <dimension ref="A1:C11"/>
  <sheetViews>
    <sheetView workbookViewId="0">
      <selection activeCell="F7" sqref="F7"/>
    </sheetView>
  </sheetViews>
  <sheetFormatPr defaultRowHeight="15" x14ac:dyDescent="0.25"/>
  <sheetData>
    <row r="1" spans="1:3" x14ac:dyDescent="0.25">
      <c r="A1" t="s">
        <v>17</v>
      </c>
      <c r="B1" t="s">
        <v>18</v>
      </c>
      <c r="C1" t="s">
        <v>19</v>
      </c>
    </row>
    <row r="2" spans="1:3" x14ac:dyDescent="0.25">
      <c r="A2">
        <v>1</v>
      </c>
      <c r="B2" t="s">
        <v>20</v>
      </c>
      <c r="C2">
        <v>600</v>
      </c>
    </row>
    <row r="3" spans="1:3" x14ac:dyDescent="0.25">
      <c r="A3">
        <v>2</v>
      </c>
      <c r="B3" t="s">
        <v>21</v>
      </c>
      <c r="C3">
        <v>600</v>
      </c>
    </row>
    <row r="4" spans="1:3" x14ac:dyDescent="0.25">
      <c r="A4">
        <v>3</v>
      </c>
      <c r="B4" t="s">
        <v>22</v>
      </c>
      <c r="C4">
        <v>600</v>
      </c>
    </row>
    <row r="5" spans="1:3" x14ac:dyDescent="0.25">
      <c r="A5">
        <v>4</v>
      </c>
      <c r="B5" t="s">
        <v>23</v>
      </c>
      <c r="C5">
        <v>800</v>
      </c>
    </row>
    <row r="6" spans="1:3" x14ac:dyDescent="0.25">
      <c r="A6">
        <v>5</v>
      </c>
      <c r="B6" t="s">
        <v>24</v>
      </c>
      <c r="C6">
        <v>600</v>
      </c>
    </row>
    <row r="7" spans="1:3" x14ac:dyDescent="0.25">
      <c r="A7">
        <v>6</v>
      </c>
      <c r="B7" t="s">
        <v>25</v>
      </c>
      <c r="C7" s="20">
        <v>5000</v>
      </c>
    </row>
    <row r="8" spans="1:3" x14ac:dyDescent="0.25">
      <c r="A8">
        <v>7</v>
      </c>
      <c r="B8" t="s">
        <v>26</v>
      </c>
      <c r="C8" s="20">
        <v>5000</v>
      </c>
    </row>
    <row r="9" spans="1:3" x14ac:dyDescent="0.25">
      <c r="A9">
        <v>8</v>
      </c>
      <c r="B9" t="s">
        <v>27</v>
      </c>
      <c r="C9" s="20">
        <v>5000</v>
      </c>
    </row>
    <row r="10" spans="1:3" x14ac:dyDescent="0.25">
      <c r="A10">
        <v>9</v>
      </c>
      <c r="B10" t="s">
        <v>28</v>
      </c>
      <c r="C10" s="20">
        <v>5000</v>
      </c>
    </row>
    <row r="11" spans="1:3" x14ac:dyDescent="0.25">
      <c r="A11">
        <v>10</v>
      </c>
      <c r="B11" t="s">
        <v>29</v>
      </c>
      <c r="C11">
        <v>600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2</vt:i4>
      </vt:variant>
    </vt:vector>
  </HeadingPairs>
  <TitlesOfParts>
    <vt:vector size="5" baseType="lpstr">
      <vt:lpstr>Principal</vt:lpstr>
      <vt:lpstr>DadosProposta</vt:lpstr>
      <vt:lpstr>DadosModelo</vt:lpstr>
      <vt:lpstr>TabelaModelo</vt:lpstr>
      <vt:lpstr>TabelaProcesso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GRUPO MACHADO NUNES</cp:lastModifiedBy>
  <dcterms:created xsi:type="dcterms:W3CDTF">2015-06-05T18:19:34Z</dcterms:created>
  <dcterms:modified xsi:type="dcterms:W3CDTF">2024-10-28T19:17:48Z</dcterms:modified>
</cp:coreProperties>
</file>