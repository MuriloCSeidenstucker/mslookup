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3.xml" ContentType="application/vnd.ms-excel.person+xml"/>
  <Override PartName="/xl/persons/person0.xml" ContentType="application/vnd.ms-excel.person+xml"/>
  <Override PartName="/xl/persons/person2.xml" ContentType="application/vnd.ms-excel.person+xml"/>
  <Override PartName="/xl/persons/person.xml" ContentType="application/vnd.ms-excel.person+xml"/>
  <Override PartName="/xl/persons/person1.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EstaPastaDeTrabalho"/>
  <mc:AlternateContent xmlns:mc="http://schemas.openxmlformats.org/markup-compatibility/2006">
    <mc:Choice Requires="x15">
      <x15ac:absPath xmlns:x15ac="http://schemas.microsoft.com/office/spreadsheetml/2010/11/ac" url="D:\Documents\Pregoes_Eletr\DM\Suspenso_Revogado_Cancelado\PE_282023_Araguari\"/>
    </mc:Choice>
  </mc:AlternateContent>
  <xr:revisionPtr revIDLastSave="0" documentId="13_ncr:1_{8E02CAE4-48AE-4FD8-A56C-CEC7CD232D42}" xr6:coauthVersionLast="47" xr6:coauthVersionMax="47" xr10:uidLastSave="{00000000-0000-0000-0000-000000000000}"/>
  <bookViews>
    <workbookView xWindow="-120" yWindow="-120" windowWidth="20730" windowHeight="11160" xr2:uid="{00000000-000D-0000-FFFF-FFFF00000000}"/>
  </bookViews>
  <sheets>
    <sheet name="Principal" sheetId="1" r:id="rId1"/>
    <sheet name="PlanilhaCustos" sheetId="8" r:id="rId2"/>
    <sheet name="itens_neg" sheetId="10" r:id="rId3"/>
    <sheet name="PropostaReadequada" sheetId="7" r:id="rId4"/>
    <sheet name="DadosProposta" sheetId="2" r:id="rId5"/>
    <sheet name="DadosModelo" sheetId="4" r:id="rId6"/>
    <sheet name="Planilha4" sheetId="6" r:id="rId7"/>
  </sheets>
  <functionGroups builtInGroupCount="19"/>
  <definedNames>
    <definedName name="DadosExternos_1" localSheetId="2" hidden="1">itens_neg!$A$1:$A$52</definedName>
    <definedName name="DadosExternos_2" localSheetId="2" hidden="1">itens_neg!$R$1:$R$79</definedName>
    <definedName name="TabelaModelo">DadosModelo!$A$1:$F$644</definedName>
    <definedName name="TabelaProcesso" localSheetId="3">TabelaPrincipal[#All]</definedName>
    <definedName name="TabelaProcesso">TabelaPrincipal[#All]</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3" i="10" l="1"/>
  <c r="U4" i="10"/>
  <c r="U5" i="10"/>
  <c r="U6" i="10"/>
  <c r="U7" i="10"/>
  <c r="U8" i="10"/>
  <c r="U9" i="10"/>
  <c r="U10" i="10"/>
  <c r="U11" i="10"/>
  <c r="U12" i="10"/>
  <c r="U13" i="10"/>
  <c r="U14" i="10"/>
  <c r="U15" i="10"/>
  <c r="U16" i="10"/>
  <c r="U17" i="10"/>
  <c r="U18" i="10"/>
  <c r="U19" i="10"/>
  <c r="U20" i="10"/>
  <c r="U21" i="10"/>
  <c r="U22" i="10"/>
  <c r="U23" i="10"/>
  <c r="U24" i="10"/>
  <c r="U25" i="10"/>
  <c r="U26" i="10"/>
  <c r="U27" i="10"/>
  <c r="U28" i="10"/>
  <c r="U29" i="10"/>
  <c r="U30" i="10"/>
  <c r="U31" i="10"/>
  <c r="U32" i="10"/>
  <c r="U33" i="10"/>
  <c r="U34" i="10"/>
  <c r="U35" i="10"/>
  <c r="U36" i="10"/>
  <c r="U37" i="10"/>
  <c r="U38" i="10"/>
  <c r="U39" i="10"/>
  <c r="U40" i="10"/>
  <c r="U41" i="10"/>
  <c r="U42" i="10"/>
  <c r="U43" i="10"/>
  <c r="U44" i="10"/>
  <c r="U45" i="10"/>
  <c r="U46" i="10"/>
  <c r="U47" i="10"/>
  <c r="U48" i="10"/>
  <c r="U49" i="10"/>
  <c r="U50" i="10"/>
  <c r="U51" i="10"/>
  <c r="U52" i="10"/>
  <c r="U53" i="10"/>
  <c r="U54" i="10"/>
  <c r="U55" i="10"/>
  <c r="U56" i="10"/>
  <c r="U57" i="10"/>
  <c r="U58" i="10"/>
  <c r="U59" i="10"/>
  <c r="U60" i="10"/>
  <c r="U61" i="10"/>
  <c r="U62" i="10"/>
  <c r="U63" i="10"/>
  <c r="U64" i="10"/>
  <c r="U65" i="10"/>
  <c r="U66" i="10"/>
  <c r="U67" i="10"/>
  <c r="U68" i="10"/>
  <c r="U69" i="10"/>
  <c r="U70" i="10"/>
  <c r="U71" i="10"/>
  <c r="U72" i="10"/>
  <c r="U73" i="10"/>
  <c r="U74" i="10"/>
  <c r="U75" i="10"/>
  <c r="U76" i="10"/>
  <c r="U77" i="10"/>
  <c r="U78" i="10"/>
  <c r="U79" i="10"/>
  <c r="U2" i="10"/>
  <c r="I2" i="10"/>
  <c r="I3" i="10"/>
  <c r="I4" i="10"/>
  <c r="I5" i="10"/>
  <c r="I6" i="10"/>
  <c r="I7" i="10"/>
  <c r="I8" i="10"/>
  <c r="I9" i="10"/>
  <c r="I10" i="10"/>
  <c r="H2" i="10"/>
  <c r="H3" i="10"/>
  <c r="H4" i="10"/>
  <c r="H5" i="10"/>
  <c r="H6" i="10"/>
  <c r="H7" i="10"/>
  <c r="H8" i="10"/>
  <c r="H9" i="10"/>
  <c r="H10" i="10"/>
  <c r="K2" i="10"/>
  <c r="K3" i="10"/>
  <c r="K4" i="10"/>
  <c r="K5" i="10"/>
  <c r="K6" i="10"/>
  <c r="K7" i="10"/>
  <c r="K8" i="10"/>
  <c r="K9" i="10"/>
  <c r="K10" i="10"/>
  <c r="M2" i="10"/>
  <c r="M3" i="10"/>
  <c r="M4" i="10"/>
  <c r="M5" i="10"/>
  <c r="M6" i="10"/>
  <c r="M7" i="10"/>
  <c r="M8" i="10"/>
  <c r="M9" i="10"/>
  <c r="M10" i="10"/>
  <c r="J2" i="10"/>
  <c r="J3" i="10"/>
  <c r="J4" i="10"/>
  <c r="J5" i="10"/>
  <c r="J6" i="10"/>
  <c r="J7" i="10"/>
  <c r="N7" i="10" s="1"/>
  <c r="J8" i="10"/>
  <c r="J9" i="10"/>
  <c r="J10" i="10"/>
  <c r="N3" i="10" l="1"/>
  <c r="N6" i="10"/>
  <c r="N8" i="10"/>
  <c r="N4" i="10"/>
  <c r="N5" i="10"/>
  <c r="N10" i="10"/>
  <c r="N9" i="10"/>
  <c r="N2" i="10"/>
  <c r="O9" i="10"/>
  <c r="O6" i="10"/>
  <c r="O2" i="10"/>
  <c r="O4" i="10"/>
  <c r="O10" i="10"/>
  <c r="O7" i="10"/>
  <c r="O3" i="10"/>
  <c r="O8" i="10"/>
  <c r="O5" i="10"/>
  <c r="D3" i="10"/>
  <c r="D4" i="10"/>
  <c r="D5" i="10"/>
  <c r="D7" i="10"/>
  <c r="D8" i="10"/>
  <c r="D10" i="10"/>
  <c r="D12" i="10"/>
  <c r="D13" i="10"/>
  <c r="D17" i="10"/>
  <c r="D18" i="10"/>
  <c r="D19" i="10"/>
  <c r="D20" i="10"/>
  <c r="D32" i="10"/>
  <c r="D33" i="10"/>
  <c r="D34" i="10"/>
  <c r="D35" i="10"/>
  <c r="D36" i="10"/>
  <c r="D39" i="10"/>
  <c r="D40" i="10"/>
  <c r="D42" i="10"/>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J3" i="8"/>
  <c r="L3" i="8" s="1"/>
  <c r="J4" i="8"/>
  <c r="L4" i="8" s="1"/>
  <c r="J5" i="8"/>
  <c r="L5" i="8" s="1"/>
  <c r="J6" i="8"/>
  <c r="L6" i="8" s="1"/>
  <c r="J7" i="8"/>
  <c r="L7" i="8" s="1"/>
  <c r="J8" i="8"/>
  <c r="L8" i="8" s="1"/>
  <c r="J9" i="8"/>
  <c r="L9" i="8" s="1"/>
  <c r="J10" i="8"/>
  <c r="L10" i="8" s="1"/>
  <c r="J11" i="8"/>
  <c r="L11" i="8" s="1"/>
  <c r="J12" i="8"/>
  <c r="L12" i="8" s="1"/>
  <c r="J13" i="8"/>
  <c r="L13" i="8" s="1"/>
  <c r="J14" i="8"/>
  <c r="L14" i="8" s="1"/>
  <c r="J15" i="8"/>
  <c r="L15" i="8" s="1"/>
  <c r="J16" i="8"/>
  <c r="L16" i="8" s="1"/>
  <c r="J17" i="8"/>
  <c r="L17" i="8" s="1"/>
  <c r="J18" i="8"/>
  <c r="L18" i="8" s="1"/>
  <c r="J19" i="8"/>
  <c r="L19" i="8" s="1"/>
  <c r="J20" i="8"/>
  <c r="L20" i="8" s="1"/>
  <c r="J2" i="8"/>
  <c r="L2" i="8" s="1"/>
  <c r="O3" i="1"/>
  <c r="O4" i="1"/>
  <c r="O5" i="1"/>
  <c r="O6" i="1"/>
  <c r="O7" i="1"/>
  <c r="O8" i="1"/>
  <c r="O9" i="1"/>
  <c r="O10" i="1"/>
  <c r="O11" i="1"/>
  <c r="O13" i="1"/>
  <c r="O14" i="1"/>
  <c r="O15" i="1"/>
  <c r="O16" i="1"/>
  <c r="O17" i="1"/>
  <c r="O18" i="1"/>
  <c r="O19" i="1"/>
  <c r="O20" i="1"/>
  <c r="O21" i="1"/>
  <c r="O22" i="1"/>
  <c r="O23" i="1"/>
  <c r="O24" i="1"/>
  <c r="O26" i="1"/>
  <c r="O27" i="1"/>
  <c r="O28" i="1"/>
  <c r="O29" i="1"/>
  <c r="O31" i="1"/>
  <c r="O32" i="1"/>
  <c r="O33" i="1"/>
  <c r="O34" i="1"/>
  <c r="O35" i="1"/>
  <c r="O36" i="1"/>
  <c r="O37" i="1"/>
  <c r="O38" i="1"/>
  <c r="O39" i="1"/>
  <c r="O40" i="1"/>
  <c r="O41" i="1"/>
  <c r="O42" i="1"/>
  <c r="O43" i="1"/>
  <c r="O44" i="1"/>
  <c r="O45" i="1"/>
  <c r="O46" i="1"/>
  <c r="O48" i="1"/>
  <c r="O49" i="1"/>
  <c r="O50" i="1"/>
  <c r="O51" i="1"/>
  <c r="O52" i="1"/>
  <c r="O53" i="1"/>
  <c r="O54" i="1"/>
  <c r="O55" i="1"/>
  <c r="O59" i="1"/>
  <c r="O60" i="1"/>
  <c r="O61" i="1"/>
  <c r="O62" i="1"/>
  <c r="O63" i="1"/>
  <c r="O64" i="1"/>
  <c r="O65" i="1"/>
  <c r="O66" i="1"/>
  <c r="O67" i="1"/>
  <c r="O68" i="1"/>
  <c r="O71" i="1"/>
  <c r="O72" i="1"/>
  <c r="O73" i="1"/>
  <c r="O74" i="1"/>
  <c r="O75" i="1"/>
  <c r="O76" i="1"/>
  <c r="O77" i="1"/>
  <c r="O78" i="1"/>
  <c r="O79" i="1"/>
  <c r="O80" i="1"/>
  <c r="O81" i="1"/>
  <c r="O82" i="1"/>
  <c r="O83" i="1"/>
  <c r="O84" i="1"/>
  <c r="O86" i="1"/>
  <c r="O88" i="1"/>
  <c r="O89" i="1"/>
  <c r="O90" i="1"/>
  <c r="O92" i="1"/>
  <c r="O93" i="1"/>
  <c r="O94" i="1"/>
  <c r="O95" i="1"/>
  <c r="O97" i="1"/>
  <c r="O98" i="1"/>
  <c r="O100" i="1"/>
  <c r="O102" i="1"/>
  <c r="O104" i="1"/>
  <c r="O105" i="1"/>
  <c r="O106" i="1"/>
  <c r="O107" i="1"/>
  <c r="O111"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53" i="1"/>
  <c r="O154" i="1"/>
  <c r="O155" i="1"/>
  <c r="O156" i="1"/>
  <c r="O157" i="1"/>
  <c r="O158" i="1"/>
  <c r="O159" i="1"/>
  <c r="O161" i="1"/>
  <c r="O162" i="1"/>
  <c r="O163" i="1"/>
  <c r="O164" i="1"/>
  <c r="O165" i="1"/>
  <c r="O166" i="1"/>
  <c r="O167" i="1"/>
  <c r="O168" i="1"/>
  <c r="O169" i="1"/>
  <c r="O170" i="1"/>
  <c r="O171" i="1"/>
  <c r="O172" i="1"/>
  <c r="O173" i="1"/>
  <c r="O174" i="1"/>
  <c r="O176" i="1"/>
  <c r="O177" i="1"/>
  <c r="O178" i="1"/>
  <c r="O180" i="1"/>
  <c r="O181" i="1"/>
  <c r="O182" i="1"/>
  <c r="O183" i="1"/>
  <c r="O184" i="1"/>
  <c r="O185" i="1"/>
  <c r="O186" i="1"/>
  <c r="O187" i="1"/>
  <c r="O188" i="1"/>
  <c r="O189" i="1"/>
  <c r="O190" i="1"/>
  <c r="O191" i="1"/>
  <c r="O192" i="1"/>
  <c r="O193" i="1"/>
  <c r="O194" i="1"/>
  <c r="O195" i="1"/>
  <c r="O196" i="1"/>
  <c r="O197" i="1"/>
  <c r="O198" i="1"/>
  <c r="O199" i="1"/>
  <c r="O200" i="1"/>
  <c r="O201" i="1"/>
  <c r="O202" i="1"/>
  <c r="O203" i="1"/>
  <c r="O205" i="1"/>
  <c r="O206" i="1"/>
  <c r="O207" i="1"/>
  <c r="O209" i="1"/>
  <c r="O210" i="1"/>
  <c r="O211" i="1"/>
  <c r="O212" i="1"/>
  <c r="O213" i="1"/>
  <c r="O215" i="1"/>
  <c r="O216" i="1"/>
  <c r="O217" i="1"/>
  <c r="O218" i="1"/>
  <c r="O219" i="1"/>
  <c r="O221" i="1"/>
  <c r="O222" i="1"/>
  <c r="O223" i="1"/>
  <c r="O224" i="1"/>
  <c r="O226" i="1"/>
  <c r="O228" i="1"/>
  <c r="O229" i="1"/>
  <c r="O230" i="1"/>
  <c r="O231" i="1"/>
  <c r="O232" i="1"/>
  <c r="O233" i="1"/>
  <c r="O234" i="1"/>
  <c r="O235" i="1"/>
  <c r="O236" i="1"/>
  <c r="O237" i="1"/>
  <c r="O238" i="1"/>
  <c r="O239" i="1"/>
  <c r="O240" i="1"/>
  <c r="O241" i="1"/>
  <c r="O242" i="1"/>
  <c r="O244" i="1"/>
  <c r="O255" i="1"/>
  <c r="O256" i="1"/>
  <c r="O257" i="1"/>
  <c r="F257" i="7"/>
  <c r="F256" i="7"/>
  <c r="F255" i="7"/>
  <c r="F244" i="7"/>
  <c r="F241" i="7"/>
  <c r="F240" i="7"/>
  <c r="F233" i="7"/>
  <c r="F231" i="7"/>
  <c r="F229" i="7"/>
  <c r="F226" i="7"/>
  <c r="F211" i="7"/>
  <c r="F209" i="7"/>
  <c r="F199" i="7"/>
  <c r="F197" i="7"/>
  <c r="F176" i="7"/>
  <c r="F173" i="7"/>
  <c r="F172" i="7"/>
  <c r="F156" i="7"/>
  <c r="F155" i="7"/>
  <c r="F154" i="7"/>
  <c r="F153" i="7"/>
  <c r="F139" i="7"/>
  <c r="F138" i="7"/>
  <c r="F137" i="7"/>
  <c r="F129" i="7"/>
  <c r="F126" i="7"/>
  <c r="F124" i="7"/>
  <c r="F122" i="7"/>
  <c r="F118" i="7"/>
  <c r="F117" i="7"/>
  <c r="F116" i="7"/>
  <c r="F114" i="7"/>
  <c r="F111" i="7"/>
  <c r="F106" i="7"/>
  <c r="F102" i="7"/>
  <c r="F98" i="7"/>
  <c r="F92" i="7"/>
  <c r="F79" i="7"/>
  <c r="F78" i="7"/>
  <c r="F61" i="7"/>
  <c r="F60" i="7"/>
  <c r="F36" i="7"/>
  <c r="F33" i="7"/>
  <c r="F27" i="7"/>
  <c r="F26" i="7"/>
  <c r="F22" i="7"/>
  <c r="F21" i="7"/>
  <c r="F8" i="7"/>
  <c r="F6" i="7"/>
  <c r="F5" i="7"/>
  <c r="G3" i="7"/>
  <c r="G4" i="7"/>
  <c r="G7" i="7"/>
  <c r="G9" i="7"/>
  <c r="G10" i="7"/>
  <c r="G11" i="7"/>
  <c r="G12" i="7"/>
  <c r="G13" i="7"/>
  <c r="G14" i="7"/>
  <c r="G15" i="7"/>
  <c r="G16" i="7"/>
  <c r="G17" i="7"/>
  <c r="G18" i="7"/>
  <c r="G19" i="7"/>
  <c r="G20" i="7"/>
  <c r="G23" i="7"/>
  <c r="G24" i="7"/>
  <c r="G25" i="7"/>
  <c r="G28" i="7"/>
  <c r="G29" i="7"/>
  <c r="G30" i="7"/>
  <c r="G31" i="7"/>
  <c r="G32" i="7"/>
  <c r="G34" i="7"/>
  <c r="G35" i="7"/>
  <c r="G37" i="7"/>
  <c r="G38" i="7"/>
  <c r="G39" i="7"/>
  <c r="G40" i="7"/>
  <c r="G41" i="7"/>
  <c r="G42" i="7"/>
  <c r="G43" i="7"/>
  <c r="G44" i="7"/>
  <c r="G45" i="7"/>
  <c r="G46" i="7"/>
  <c r="G48" i="7"/>
  <c r="G49" i="7"/>
  <c r="G50" i="7"/>
  <c r="G51" i="7"/>
  <c r="G52" i="7"/>
  <c r="G53" i="7"/>
  <c r="G54" i="7"/>
  <c r="G55" i="7"/>
  <c r="G56" i="7"/>
  <c r="G57" i="7"/>
  <c r="G58" i="7"/>
  <c r="G59" i="7"/>
  <c r="G62" i="7"/>
  <c r="G63" i="7"/>
  <c r="G64" i="7"/>
  <c r="G65" i="7"/>
  <c r="G66" i="7"/>
  <c r="G67" i="7"/>
  <c r="G68" i="7"/>
  <c r="G69" i="7"/>
  <c r="G70" i="7"/>
  <c r="G71" i="7"/>
  <c r="G72" i="7"/>
  <c r="G73" i="7"/>
  <c r="G74" i="7"/>
  <c r="G75" i="7"/>
  <c r="G76" i="7"/>
  <c r="G77" i="7"/>
  <c r="G80" i="7"/>
  <c r="G81" i="7"/>
  <c r="G82" i="7"/>
  <c r="G83" i="7"/>
  <c r="G84" i="7"/>
  <c r="G85" i="7"/>
  <c r="G86" i="7"/>
  <c r="G87" i="7"/>
  <c r="G88" i="7"/>
  <c r="G89" i="7"/>
  <c r="G90" i="7"/>
  <c r="G93" i="7"/>
  <c r="G94" i="7"/>
  <c r="G95" i="7"/>
  <c r="G97" i="7"/>
  <c r="G99" i="7"/>
  <c r="G100" i="7"/>
  <c r="G101" i="7"/>
  <c r="G103" i="7"/>
  <c r="G104" i="7"/>
  <c r="G105" i="7"/>
  <c r="G107" i="7"/>
  <c r="G109" i="7"/>
  <c r="G113" i="7"/>
  <c r="G115" i="7"/>
  <c r="G119" i="7"/>
  <c r="G120" i="7"/>
  <c r="G121" i="7"/>
  <c r="G123" i="7"/>
  <c r="G125" i="7"/>
  <c r="G127" i="7"/>
  <c r="G128" i="7"/>
  <c r="G130" i="7"/>
  <c r="G131" i="7"/>
  <c r="G132" i="7"/>
  <c r="G133" i="7"/>
  <c r="G134" i="7"/>
  <c r="G135" i="7"/>
  <c r="G136" i="7"/>
  <c r="G140" i="7"/>
  <c r="G157" i="7"/>
  <c r="G158" i="7"/>
  <c r="G159" i="7"/>
  <c r="G160" i="7"/>
  <c r="G161" i="7"/>
  <c r="G162" i="7"/>
  <c r="G163" i="7"/>
  <c r="G164" i="7"/>
  <c r="G165" i="7"/>
  <c r="G166" i="7"/>
  <c r="G167" i="7"/>
  <c r="G168" i="7"/>
  <c r="G169" i="7"/>
  <c r="G170" i="7"/>
  <c r="G171" i="7"/>
  <c r="G174" i="7"/>
  <c r="G175" i="7"/>
  <c r="G177" i="7"/>
  <c r="G178" i="7"/>
  <c r="G179" i="7"/>
  <c r="G180" i="7"/>
  <c r="G181" i="7"/>
  <c r="G182" i="7"/>
  <c r="G183" i="7"/>
  <c r="G184" i="7"/>
  <c r="G185" i="7"/>
  <c r="G186" i="7"/>
  <c r="G187" i="7"/>
  <c r="G188" i="7"/>
  <c r="G189" i="7"/>
  <c r="G190" i="7"/>
  <c r="G191" i="7"/>
  <c r="G192" i="7"/>
  <c r="G193" i="7"/>
  <c r="G194" i="7"/>
  <c r="G195" i="7"/>
  <c r="G196" i="7"/>
  <c r="G198" i="7"/>
  <c r="G200" i="7"/>
  <c r="G201" i="7"/>
  <c r="G202" i="7"/>
  <c r="G203" i="7"/>
  <c r="G204" i="7"/>
  <c r="G205" i="7"/>
  <c r="G206" i="7"/>
  <c r="G207" i="7"/>
  <c r="G208" i="7"/>
  <c r="G210" i="7"/>
  <c r="G212" i="7"/>
  <c r="G213" i="7"/>
  <c r="G214" i="7"/>
  <c r="G215" i="7"/>
  <c r="G216" i="7"/>
  <c r="G217" i="7"/>
  <c r="G218" i="7"/>
  <c r="G219" i="7"/>
  <c r="G220" i="7"/>
  <c r="G221" i="7"/>
  <c r="G222" i="7"/>
  <c r="G223" i="7"/>
  <c r="G224" i="7"/>
  <c r="G228" i="7"/>
  <c r="G230" i="7"/>
  <c r="G232" i="7"/>
  <c r="G234" i="7"/>
  <c r="G235" i="7"/>
  <c r="G236" i="7"/>
  <c r="G237" i="7"/>
  <c r="G238" i="7"/>
  <c r="G239" i="7"/>
  <c r="G242" i="7"/>
  <c r="G258" i="7"/>
  <c r="F3" i="7"/>
  <c r="F4" i="7"/>
  <c r="F7" i="7"/>
  <c r="F9" i="7"/>
  <c r="F10" i="7"/>
  <c r="F11" i="7"/>
  <c r="F12" i="7"/>
  <c r="F13" i="7"/>
  <c r="F14" i="7"/>
  <c r="F15" i="7"/>
  <c r="F16" i="7"/>
  <c r="F17" i="7"/>
  <c r="F18" i="7"/>
  <c r="F19" i="7"/>
  <c r="F20" i="7"/>
  <c r="F23" i="7"/>
  <c r="F24" i="7"/>
  <c r="F25" i="7"/>
  <c r="F28" i="7"/>
  <c r="F29" i="7"/>
  <c r="F30" i="7"/>
  <c r="F31" i="7"/>
  <c r="F32" i="7"/>
  <c r="F34" i="7"/>
  <c r="F35" i="7"/>
  <c r="F37" i="7"/>
  <c r="F38" i="7"/>
  <c r="F39" i="7"/>
  <c r="F40" i="7"/>
  <c r="F41" i="7"/>
  <c r="F42" i="7"/>
  <c r="F43" i="7"/>
  <c r="F44" i="7"/>
  <c r="F45" i="7"/>
  <c r="F46" i="7"/>
  <c r="F48" i="7"/>
  <c r="F49" i="7"/>
  <c r="F50" i="7"/>
  <c r="F51" i="7"/>
  <c r="F52" i="7"/>
  <c r="F53" i="7"/>
  <c r="F54" i="7"/>
  <c r="F55" i="7"/>
  <c r="F56" i="7"/>
  <c r="F57" i="7"/>
  <c r="F58" i="7"/>
  <c r="F59" i="7"/>
  <c r="F62" i="7"/>
  <c r="F63" i="7"/>
  <c r="F64" i="7"/>
  <c r="F65" i="7"/>
  <c r="F66" i="7"/>
  <c r="F67" i="7"/>
  <c r="F68" i="7"/>
  <c r="F69" i="7"/>
  <c r="F70" i="7"/>
  <c r="F71" i="7"/>
  <c r="F72" i="7"/>
  <c r="F73" i="7"/>
  <c r="F74" i="7"/>
  <c r="F75" i="7"/>
  <c r="F76" i="7"/>
  <c r="F77" i="7"/>
  <c r="F80" i="7"/>
  <c r="F81" i="7"/>
  <c r="F82" i="7"/>
  <c r="F83" i="7"/>
  <c r="F84" i="7"/>
  <c r="F85" i="7"/>
  <c r="F86" i="7"/>
  <c r="F87" i="7"/>
  <c r="F88" i="7"/>
  <c r="F89" i="7"/>
  <c r="F90" i="7"/>
  <c r="F93" i="7"/>
  <c r="F94" i="7"/>
  <c r="F95" i="7"/>
  <c r="F97" i="7"/>
  <c r="F99" i="7"/>
  <c r="F100" i="7"/>
  <c r="F101" i="7"/>
  <c r="F103" i="7"/>
  <c r="F104" i="7"/>
  <c r="F105" i="7"/>
  <c r="F107" i="7"/>
  <c r="F109" i="7"/>
  <c r="F113" i="7"/>
  <c r="F115" i="7"/>
  <c r="F119" i="7"/>
  <c r="F120" i="7"/>
  <c r="F121" i="7"/>
  <c r="F123" i="7"/>
  <c r="F125" i="7"/>
  <c r="F127" i="7"/>
  <c r="F128" i="7"/>
  <c r="F130" i="7"/>
  <c r="F131" i="7"/>
  <c r="F132" i="7"/>
  <c r="F133" i="7"/>
  <c r="F134" i="7"/>
  <c r="F135" i="7"/>
  <c r="F136" i="7"/>
  <c r="F140" i="7"/>
  <c r="F157" i="7"/>
  <c r="F158" i="7"/>
  <c r="F159" i="7"/>
  <c r="F160" i="7"/>
  <c r="F161" i="7"/>
  <c r="F162" i="7"/>
  <c r="F163" i="7"/>
  <c r="F164" i="7"/>
  <c r="F165" i="7"/>
  <c r="F166" i="7"/>
  <c r="F167" i="7"/>
  <c r="F168" i="7"/>
  <c r="F169" i="7"/>
  <c r="F170" i="7"/>
  <c r="F171" i="7"/>
  <c r="F174" i="7"/>
  <c r="F175" i="7"/>
  <c r="F177" i="7"/>
  <c r="F178" i="7"/>
  <c r="F179" i="7"/>
  <c r="F180" i="7"/>
  <c r="F181" i="7"/>
  <c r="F182" i="7"/>
  <c r="F183" i="7"/>
  <c r="F184" i="7"/>
  <c r="F185" i="7"/>
  <c r="F186" i="7"/>
  <c r="F187" i="7"/>
  <c r="F188" i="7"/>
  <c r="F189" i="7"/>
  <c r="F190" i="7"/>
  <c r="F191" i="7"/>
  <c r="F192" i="7"/>
  <c r="F193" i="7"/>
  <c r="F194" i="7"/>
  <c r="F195" i="7"/>
  <c r="F196" i="7"/>
  <c r="F198" i="7"/>
  <c r="F200" i="7"/>
  <c r="F201" i="7"/>
  <c r="F202" i="7"/>
  <c r="F203" i="7"/>
  <c r="F204" i="7"/>
  <c r="F205" i="7"/>
  <c r="F206" i="7"/>
  <c r="F207" i="7"/>
  <c r="F208" i="7"/>
  <c r="F210" i="7"/>
  <c r="F212" i="7"/>
  <c r="F213" i="7"/>
  <c r="F214" i="7"/>
  <c r="F215" i="7"/>
  <c r="F216" i="7"/>
  <c r="F217" i="7"/>
  <c r="F218" i="7"/>
  <c r="F219" i="7"/>
  <c r="F220" i="7"/>
  <c r="F221" i="7"/>
  <c r="F222" i="7"/>
  <c r="F223" i="7"/>
  <c r="F224" i="7"/>
  <c r="F228" i="7"/>
  <c r="F230" i="7"/>
  <c r="F232" i="7"/>
  <c r="F234" i="7"/>
  <c r="F235" i="7"/>
  <c r="F236" i="7"/>
  <c r="F237" i="7"/>
  <c r="F238" i="7"/>
  <c r="F239" i="7"/>
  <c r="F242" i="7"/>
  <c r="F258" i="7"/>
  <c r="E2" i="7"/>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D3" i="7"/>
  <c r="D4" i="7"/>
  <c r="D7" i="7"/>
  <c r="D9" i="7"/>
  <c r="D10" i="7"/>
  <c r="D11" i="7"/>
  <c r="D12" i="7"/>
  <c r="D13" i="7"/>
  <c r="D14" i="7"/>
  <c r="D15" i="7"/>
  <c r="D16" i="7"/>
  <c r="D17" i="7"/>
  <c r="D18" i="7"/>
  <c r="D19" i="7"/>
  <c r="D20" i="7"/>
  <c r="D23" i="7"/>
  <c r="D24" i="7"/>
  <c r="D25" i="7"/>
  <c r="D28" i="7"/>
  <c r="D29" i="7"/>
  <c r="D30" i="7"/>
  <c r="D31" i="7"/>
  <c r="D32" i="7"/>
  <c r="D34" i="7"/>
  <c r="D35" i="7"/>
  <c r="D37" i="7"/>
  <c r="D38" i="7"/>
  <c r="D39" i="7"/>
  <c r="D40" i="7"/>
  <c r="D41" i="7"/>
  <c r="D42" i="7"/>
  <c r="D43" i="7"/>
  <c r="D44" i="7"/>
  <c r="D45" i="7"/>
  <c r="D46" i="7"/>
  <c r="D48" i="7"/>
  <c r="D49" i="7"/>
  <c r="D50" i="7"/>
  <c r="D51" i="7"/>
  <c r="D52" i="7"/>
  <c r="D53" i="7"/>
  <c r="D54" i="7"/>
  <c r="D55" i="7"/>
  <c r="D56" i="7"/>
  <c r="D57" i="7"/>
  <c r="D58" i="7"/>
  <c r="D59" i="7"/>
  <c r="D62" i="7"/>
  <c r="D63" i="7"/>
  <c r="D64" i="7"/>
  <c r="D65" i="7"/>
  <c r="D66" i="7"/>
  <c r="D67" i="7"/>
  <c r="D68" i="7"/>
  <c r="D69" i="7"/>
  <c r="D70" i="7"/>
  <c r="D71" i="7"/>
  <c r="D72" i="7"/>
  <c r="D73" i="7"/>
  <c r="D74" i="7"/>
  <c r="D75" i="7"/>
  <c r="D76" i="7"/>
  <c r="D77" i="7"/>
  <c r="D80" i="7"/>
  <c r="D81" i="7"/>
  <c r="D82" i="7"/>
  <c r="D83" i="7"/>
  <c r="D84" i="7"/>
  <c r="D85" i="7"/>
  <c r="D86" i="7"/>
  <c r="D87" i="7"/>
  <c r="D88" i="7"/>
  <c r="D89" i="7"/>
  <c r="D90" i="7"/>
  <c r="D93" i="7"/>
  <c r="D94" i="7"/>
  <c r="D95" i="7"/>
  <c r="D97" i="7"/>
  <c r="D99" i="7"/>
  <c r="D100" i="7"/>
  <c r="D101" i="7"/>
  <c r="D103" i="7"/>
  <c r="D104" i="7"/>
  <c r="D105" i="7"/>
  <c r="D107" i="7"/>
  <c r="D109" i="7"/>
  <c r="D113" i="7"/>
  <c r="D115" i="7"/>
  <c r="D119" i="7"/>
  <c r="D120" i="7"/>
  <c r="D121" i="7"/>
  <c r="D123" i="7"/>
  <c r="D125" i="7"/>
  <c r="D127" i="7"/>
  <c r="D128" i="7"/>
  <c r="D130" i="7"/>
  <c r="D131" i="7"/>
  <c r="D132" i="7"/>
  <c r="D133" i="7"/>
  <c r="D134" i="7"/>
  <c r="D135" i="7"/>
  <c r="D136" i="7"/>
  <c r="D140" i="7"/>
  <c r="D157" i="7"/>
  <c r="D158" i="7"/>
  <c r="D159" i="7"/>
  <c r="D160" i="7"/>
  <c r="D161" i="7"/>
  <c r="D162" i="7"/>
  <c r="D163" i="7"/>
  <c r="D164" i="7"/>
  <c r="D165" i="7"/>
  <c r="D166" i="7"/>
  <c r="D167" i="7"/>
  <c r="D168" i="7"/>
  <c r="D169" i="7"/>
  <c r="D170" i="7"/>
  <c r="D171" i="7"/>
  <c r="D174" i="7"/>
  <c r="D175" i="7"/>
  <c r="D177" i="7"/>
  <c r="D178" i="7"/>
  <c r="D179" i="7"/>
  <c r="D180" i="7"/>
  <c r="D181" i="7"/>
  <c r="D182" i="7"/>
  <c r="D183" i="7"/>
  <c r="D184" i="7"/>
  <c r="D185" i="7"/>
  <c r="D186" i="7"/>
  <c r="D187" i="7"/>
  <c r="D188" i="7"/>
  <c r="D189" i="7"/>
  <c r="D190" i="7"/>
  <c r="D191" i="7"/>
  <c r="D192" i="7"/>
  <c r="D193" i="7"/>
  <c r="D194" i="7"/>
  <c r="D195" i="7"/>
  <c r="D196" i="7"/>
  <c r="D198" i="7"/>
  <c r="D200" i="7"/>
  <c r="D201" i="7"/>
  <c r="D202" i="7"/>
  <c r="D203" i="7"/>
  <c r="D204" i="7"/>
  <c r="D205" i="7"/>
  <c r="D206" i="7"/>
  <c r="D207" i="7"/>
  <c r="D208" i="7"/>
  <c r="D210" i="7"/>
  <c r="D212" i="7"/>
  <c r="D213" i="7"/>
  <c r="D214" i="7"/>
  <c r="D215" i="7"/>
  <c r="D216" i="7"/>
  <c r="D217" i="7"/>
  <c r="D218" i="7"/>
  <c r="D219" i="7"/>
  <c r="D220" i="7"/>
  <c r="D221" i="7"/>
  <c r="D222" i="7"/>
  <c r="D223" i="7"/>
  <c r="D224" i="7"/>
  <c r="D228" i="7"/>
  <c r="D230" i="7"/>
  <c r="D232" i="7"/>
  <c r="D234" i="7"/>
  <c r="D235" i="7"/>
  <c r="D236" i="7"/>
  <c r="D237" i="7"/>
  <c r="D238" i="7"/>
  <c r="D239" i="7"/>
  <c r="D242" i="7"/>
  <c r="D258" i="7"/>
  <c r="C3" i="7"/>
  <c r="C4" i="7"/>
  <c r="C7" i="7"/>
  <c r="C9" i="7"/>
  <c r="C10" i="7"/>
  <c r="C11" i="7"/>
  <c r="C12" i="7"/>
  <c r="C13" i="7"/>
  <c r="C14" i="7"/>
  <c r="C15" i="7"/>
  <c r="C16" i="7"/>
  <c r="C17" i="7"/>
  <c r="C18" i="7"/>
  <c r="C19" i="7"/>
  <c r="C20" i="7"/>
  <c r="C23" i="7"/>
  <c r="C24" i="7"/>
  <c r="C25" i="7"/>
  <c r="C28" i="7"/>
  <c r="C29" i="7"/>
  <c r="C30" i="7"/>
  <c r="C31" i="7"/>
  <c r="C32" i="7"/>
  <c r="C34" i="7"/>
  <c r="C35" i="7"/>
  <c r="C37" i="7"/>
  <c r="C38" i="7"/>
  <c r="C39" i="7"/>
  <c r="C40" i="7"/>
  <c r="C41" i="7"/>
  <c r="C42" i="7"/>
  <c r="C43" i="7"/>
  <c r="C44" i="7"/>
  <c r="C45" i="7"/>
  <c r="C46" i="7"/>
  <c r="C48" i="7"/>
  <c r="C49" i="7"/>
  <c r="C50" i="7"/>
  <c r="C51" i="7"/>
  <c r="C52" i="7"/>
  <c r="C53" i="7"/>
  <c r="C54" i="7"/>
  <c r="C55" i="7"/>
  <c r="C56" i="7"/>
  <c r="C57" i="7"/>
  <c r="C58" i="7"/>
  <c r="C59" i="7"/>
  <c r="C62" i="7"/>
  <c r="C63" i="7"/>
  <c r="C64" i="7"/>
  <c r="C65" i="7"/>
  <c r="C66" i="7"/>
  <c r="C67" i="7"/>
  <c r="C68" i="7"/>
  <c r="C69" i="7"/>
  <c r="C70" i="7"/>
  <c r="C71" i="7"/>
  <c r="C72" i="7"/>
  <c r="C73" i="7"/>
  <c r="C74" i="7"/>
  <c r="C75" i="7"/>
  <c r="C76" i="7"/>
  <c r="C77" i="7"/>
  <c r="C80" i="7"/>
  <c r="C81" i="7"/>
  <c r="C82" i="7"/>
  <c r="C83" i="7"/>
  <c r="C84" i="7"/>
  <c r="C85" i="7"/>
  <c r="C86" i="7"/>
  <c r="C87" i="7"/>
  <c r="C88" i="7"/>
  <c r="C89" i="7"/>
  <c r="C90" i="7"/>
  <c r="C93" i="7"/>
  <c r="C94" i="7"/>
  <c r="C95" i="7"/>
  <c r="C97" i="7"/>
  <c r="C99" i="7"/>
  <c r="C100" i="7"/>
  <c r="C101" i="7"/>
  <c r="C103" i="7"/>
  <c r="C104" i="7"/>
  <c r="C105" i="7"/>
  <c r="C107" i="7"/>
  <c r="C109" i="7"/>
  <c r="C113" i="7"/>
  <c r="C115" i="7"/>
  <c r="C119" i="7"/>
  <c r="C120" i="7"/>
  <c r="C121" i="7"/>
  <c r="C123" i="7"/>
  <c r="C125" i="7"/>
  <c r="C127" i="7"/>
  <c r="C128" i="7"/>
  <c r="C130" i="7"/>
  <c r="C131" i="7"/>
  <c r="C132" i="7"/>
  <c r="C133" i="7"/>
  <c r="C134" i="7"/>
  <c r="C135" i="7"/>
  <c r="C136" i="7"/>
  <c r="C140" i="7"/>
  <c r="C157" i="7"/>
  <c r="C158" i="7"/>
  <c r="C159" i="7"/>
  <c r="C160" i="7"/>
  <c r="C161" i="7"/>
  <c r="C162" i="7"/>
  <c r="C163" i="7"/>
  <c r="C164" i="7"/>
  <c r="C165" i="7"/>
  <c r="C166" i="7"/>
  <c r="C167" i="7"/>
  <c r="C168" i="7"/>
  <c r="C169" i="7"/>
  <c r="C170" i="7"/>
  <c r="C171" i="7"/>
  <c r="C174" i="7"/>
  <c r="C175" i="7"/>
  <c r="C177" i="7"/>
  <c r="C178" i="7"/>
  <c r="C179" i="7"/>
  <c r="C180" i="7"/>
  <c r="C181" i="7"/>
  <c r="C182" i="7"/>
  <c r="C183" i="7"/>
  <c r="C184" i="7"/>
  <c r="C185" i="7"/>
  <c r="C186" i="7"/>
  <c r="C187" i="7"/>
  <c r="C188" i="7"/>
  <c r="C189" i="7"/>
  <c r="C190" i="7"/>
  <c r="C191" i="7"/>
  <c r="C192" i="7"/>
  <c r="C193" i="7"/>
  <c r="C194" i="7"/>
  <c r="C195" i="7"/>
  <c r="C196" i="7"/>
  <c r="C198" i="7"/>
  <c r="C200" i="7"/>
  <c r="C201" i="7"/>
  <c r="C202" i="7"/>
  <c r="C203" i="7"/>
  <c r="C204" i="7"/>
  <c r="C205" i="7"/>
  <c r="C206" i="7"/>
  <c r="C207" i="7"/>
  <c r="C208" i="7"/>
  <c r="C210" i="7"/>
  <c r="C212" i="7"/>
  <c r="C213" i="7"/>
  <c r="C214" i="7"/>
  <c r="C215" i="7"/>
  <c r="C216" i="7"/>
  <c r="C217" i="7"/>
  <c r="C218" i="7"/>
  <c r="C219" i="7"/>
  <c r="C220" i="7"/>
  <c r="C221" i="7"/>
  <c r="C222" i="7"/>
  <c r="C223" i="7"/>
  <c r="C224" i="7"/>
  <c r="C228" i="7"/>
  <c r="C230" i="7"/>
  <c r="C232" i="7"/>
  <c r="C234" i="7"/>
  <c r="C235" i="7"/>
  <c r="C236" i="7"/>
  <c r="C237" i="7"/>
  <c r="C238" i="7"/>
  <c r="C239" i="7"/>
  <c r="C242" i="7"/>
  <c r="C258" i="7"/>
  <c r="B3" i="7"/>
  <c r="B4" i="7"/>
  <c r="B7" i="7"/>
  <c r="B9" i="7"/>
  <c r="B10" i="7"/>
  <c r="B11" i="7"/>
  <c r="B12" i="7"/>
  <c r="B13" i="7"/>
  <c r="B14" i="7"/>
  <c r="B15" i="7"/>
  <c r="B16" i="7"/>
  <c r="B17" i="7"/>
  <c r="B18" i="7"/>
  <c r="B19" i="7"/>
  <c r="B20" i="7"/>
  <c r="B23" i="7"/>
  <c r="B24" i="7"/>
  <c r="B25" i="7"/>
  <c r="B28" i="7"/>
  <c r="B29" i="7"/>
  <c r="B30" i="7"/>
  <c r="B31" i="7"/>
  <c r="B32" i="7"/>
  <c r="B34" i="7"/>
  <c r="B35" i="7"/>
  <c r="B37" i="7"/>
  <c r="B38" i="7"/>
  <c r="B39" i="7"/>
  <c r="B40" i="7"/>
  <c r="B41" i="7"/>
  <c r="B42" i="7"/>
  <c r="B43" i="7"/>
  <c r="B44" i="7"/>
  <c r="B45" i="7"/>
  <c r="B46" i="7"/>
  <c r="B48" i="7"/>
  <c r="B49" i="7"/>
  <c r="B50" i="7"/>
  <c r="B51" i="7"/>
  <c r="B52" i="7"/>
  <c r="B53" i="7"/>
  <c r="B54" i="7"/>
  <c r="B55" i="7"/>
  <c r="B56" i="7"/>
  <c r="B57" i="7"/>
  <c r="B58" i="7"/>
  <c r="B59" i="7"/>
  <c r="B62" i="7"/>
  <c r="B63" i="7"/>
  <c r="B64" i="7"/>
  <c r="B65" i="7"/>
  <c r="B66" i="7"/>
  <c r="B67" i="7"/>
  <c r="B68" i="7"/>
  <c r="B69" i="7"/>
  <c r="B70" i="7"/>
  <c r="B71" i="7"/>
  <c r="B72" i="7"/>
  <c r="B73" i="7"/>
  <c r="B74" i="7"/>
  <c r="B75" i="7"/>
  <c r="B76" i="7"/>
  <c r="B77" i="7"/>
  <c r="B80" i="7"/>
  <c r="B81" i="7"/>
  <c r="B82" i="7"/>
  <c r="B83" i="7"/>
  <c r="B84" i="7"/>
  <c r="B85" i="7"/>
  <c r="B86" i="7"/>
  <c r="B87" i="7"/>
  <c r="B88" i="7"/>
  <c r="B89" i="7"/>
  <c r="B90" i="7"/>
  <c r="B93" i="7"/>
  <c r="B94" i="7"/>
  <c r="B95" i="7"/>
  <c r="B97" i="7"/>
  <c r="B99" i="7"/>
  <c r="B100" i="7"/>
  <c r="B101" i="7"/>
  <c r="B103" i="7"/>
  <c r="B104" i="7"/>
  <c r="B105" i="7"/>
  <c r="B107" i="7"/>
  <c r="B109" i="7"/>
  <c r="B113" i="7"/>
  <c r="B115" i="7"/>
  <c r="B119" i="7"/>
  <c r="B120" i="7"/>
  <c r="B121" i="7"/>
  <c r="B123" i="7"/>
  <c r="B125" i="7"/>
  <c r="B127" i="7"/>
  <c r="B128" i="7"/>
  <c r="B130" i="7"/>
  <c r="B131" i="7"/>
  <c r="B132" i="7"/>
  <c r="B133" i="7"/>
  <c r="B134" i="7"/>
  <c r="B135" i="7"/>
  <c r="B136" i="7"/>
  <c r="B140" i="7"/>
  <c r="B157" i="7"/>
  <c r="B158" i="7"/>
  <c r="B159" i="7"/>
  <c r="B160" i="7"/>
  <c r="B161" i="7"/>
  <c r="B162" i="7"/>
  <c r="B163" i="7"/>
  <c r="B164" i="7"/>
  <c r="B165" i="7"/>
  <c r="B166" i="7"/>
  <c r="B167" i="7"/>
  <c r="B168" i="7"/>
  <c r="B169" i="7"/>
  <c r="B170" i="7"/>
  <c r="B171" i="7"/>
  <c r="B174" i="7"/>
  <c r="B175" i="7"/>
  <c r="B177" i="7"/>
  <c r="B178" i="7"/>
  <c r="B179" i="7"/>
  <c r="B180" i="7"/>
  <c r="B181" i="7"/>
  <c r="B182" i="7"/>
  <c r="B183" i="7"/>
  <c r="B184" i="7"/>
  <c r="B185" i="7"/>
  <c r="B186" i="7"/>
  <c r="B187" i="7"/>
  <c r="B188" i="7"/>
  <c r="B189" i="7"/>
  <c r="B190" i="7"/>
  <c r="B191" i="7"/>
  <c r="B192" i="7"/>
  <c r="B193" i="7"/>
  <c r="B194" i="7"/>
  <c r="B195" i="7"/>
  <c r="B196" i="7"/>
  <c r="B198" i="7"/>
  <c r="B200" i="7"/>
  <c r="B201" i="7"/>
  <c r="B202" i="7"/>
  <c r="B203" i="7"/>
  <c r="B204" i="7"/>
  <c r="B205" i="7"/>
  <c r="B206" i="7"/>
  <c r="B207" i="7"/>
  <c r="B208" i="7"/>
  <c r="B210" i="7"/>
  <c r="B212" i="7"/>
  <c r="B213" i="7"/>
  <c r="B214" i="7"/>
  <c r="B215" i="7"/>
  <c r="B216" i="7"/>
  <c r="B217" i="7"/>
  <c r="B218" i="7"/>
  <c r="B219" i="7"/>
  <c r="B220" i="7"/>
  <c r="B221" i="7"/>
  <c r="B222" i="7"/>
  <c r="B223" i="7"/>
  <c r="B224" i="7"/>
  <c r="B228" i="7"/>
  <c r="B230" i="7"/>
  <c r="B232" i="7"/>
  <c r="B234" i="7"/>
  <c r="B235" i="7"/>
  <c r="B236" i="7"/>
  <c r="B237" i="7"/>
  <c r="B238" i="7"/>
  <c r="B239" i="7"/>
  <c r="B242" i="7"/>
  <c r="B258" i="7"/>
  <c r="A2" i="7"/>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J69" i="1"/>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F2" i="2"/>
  <c r="F3" i="2"/>
  <c r="F4" i="2"/>
  <c r="F5" i="2"/>
  <c r="F6" i="2"/>
  <c r="F8" i="2"/>
  <c r="F10" i="2"/>
  <c r="F11" i="2"/>
  <c r="F16" i="2"/>
  <c r="F20" i="2"/>
  <c r="F26" i="2"/>
  <c r="F28" i="2"/>
  <c r="F31" i="2"/>
  <c r="F32" i="2"/>
  <c r="F35" i="2"/>
  <c r="F36" i="2"/>
  <c r="F37" i="2"/>
  <c r="F39" i="2"/>
  <c r="F40" i="2"/>
  <c r="F41" i="2"/>
  <c r="F42" i="2"/>
  <c r="F43" i="2"/>
  <c r="F49" i="2"/>
  <c r="F52" i="2"/>
  <c r="F53" i="2"/>
  <c r="F54" i="2"/>
  <c r="F55" i="2"/>
  <c r="F59" i="2"/>
  <c r="F60" i="2"/>
  <c r="F67" i="2"/>
  <c r="F68" i="2"/>
  <c r="F72" i="2"/>
  <c r="F73" i="2"/>
  <c r="F74" i="2"/>
  <c r="F75" i="2"/>
  <c r="F76" i="2"/>
  <c r="F77" i="2"/>
  <c r="F78" i="2"/>
  <c r="F80" i="2"/>
  <c r="F81" i="2"/>
  <c r="F82" i="2"/>
  <c r="F83" i="2"/>
  <c r="F92" i="2"/>
  <c r="F94" i="2"/>
  <c r="F102" i="2"/>
  <c r="F104" i="2"/>
  <c r="F105" i="2"/>
  <c r="F106" i="2"/>
  <c r="F107" i="2"/>
  <c r="F115" i="2"/>
  <c r="F117" i="2"/>
  <c r="F118" i="2"/>
  <c r="F120" i="2"/>
  <c r="F122" i="2"/>
  <c r="F124" i="2"/>
  <c r="F125" i="2"/>
  <c r="F128" i="2"/>
  <c r="F129" i="2"/>
  <c r="F132" i="2"/>
  <c r="F133" i="2"/>
  <c r="F135" i="2"/>
  <c r="F136" i="2"/>
  <c r="F137" i="2"/>
  <c r="F138" i="2"/>
  <c r="F139" i="2"/>
  <c r="F140" i="2"/>
  <c r="F153" i="2"/>
  <c r="F154" i="2"/>
  <c r="F155" i="2"/>
  <c r="F156" i="2"/>
  <c r="F157" i="2"/>
  <c r="F158" i="2"/>
  <c r="F161" i="2"/>
  <c r="F162" i="2"/>
  <c r="F163" i="2"/>
  <c r="F164" i="2"/>
  <c r="F171" i="2"/>
  <c r="F177" i="2"/>
  <c r="F180" i="2"/>
  <c r="F181" i="2"/>
  <c r="F183" i="2"/>
  <c r="F184" i="2"/>
  <c r="F186" i="2"/>
  <c r="F187" i="2"/>
  <c r="F188" i="2"/>
  <c r="F189" i="2"/>
  <c r="F190" i="2"/>
  <c r="F192" i="2"/>
  <c r="F194" i="2"/>
  <c r="F197" i="2"/>
  <c r="F198" i="2"/>
  <c r="F199" i="2"/>
  <c r="F205" i="2"/>
  <c r="F206" i="2"/>
  <c r="F209" i="2"/>
  <c r="F210" i="2"/>
  <c r="F215" i="2"/>
  <c r="F216" i="2"/>
  <c r="F217" i="2"/>
  <c r="F221" i="2"/>
  <c r="F222" i="2"/>
  <c r="F223" i="2"/>
  <c r="F224" i="2"/>
  <c r="F231" i="2"/>
  <c r="F232" i="2"/>
  <c r="F233" i="2"/>
  <c r="F234" i="2"/>
  <c r="F235" i="2"/>
  <c r="F236" i="2"/>
  <c r="F240" i="2"/>
  <c r="F241" i="2"/>
  <c r="F242" i="2"/>
  <c r="F255" i="2"/>
  <c r="F256" i="2"/>
  <c r="F257" i="2"/>
  <c r="H12" i="1"/>
  <c r="F12" i="2" s="1"/>
  <c r="H25" i="1"/>
  <c r="H30" i="1"/>
  <c r="D2" i="1"/>
  <c r="D3" i="1"/>
  <c r="D3" i="2" s="1"/>
  <c r="D4" i="1"/>
  <c r="D4" i="2" s="1"/>
  <c r="D5" i="1"/>
  <c r="D5" i="2" s="1"/>
  <c r="D6" i="1"/>
  <c r="D7" i="1"/>
  <c r="D7" i="2" s="1"/>
  <c r="D8" i="1"/>
  <c r="D9" i="1"/>
  <c r="D9" i="2" s="1"/>
  <c r="D10" i="1"/>
  <c r="D10" i="2" s="1"/>
  <c r="D11" i="1"/>
  <c r="D12" i="1"/>
  <c r="D12" i="2" s="1"/>
  <c r="D13" i="1"/>
  <c r="D13" i="2" s="1"/>
  <c r="D14" i="1"/>
  <c r="D14" i="2" s="1"/>
  <c r="D15" i="1"/>
  <c r="D16" i="1"/>
  <c r="D16" i="2" s="1"/>
  <c r="D17" i="1"/>
  <c r="D17" i="2" s="1"/>
  <c r="D18" i="1"/>
  <c r="D18" i="2" s="1"/>
  <c r="D19" i="1"/>
  <c r="D20" i="1"/>
  <c r="D21" i="1"/>
  <c r="D21" i="2" s="1"/>
  <c r="D22" i="1"/>
  <c r="D22" i="7" s="1"/>
  <c r="D23" i="1"/>
  <c r="D24" i="1"/>
  <c r="D25" i="1"/>
  <c r="D25" i="2" s="1"/>
  <c r="D26" i="1"/>
  <c r="D26" i="7" s="1"/>
  <c r="D27" i="1"/>
  <c r="D27" i="7" s="1"/>
  <c r="D28" i="1"/>
  <c r="D29" i="1"/>
  <c r="D29" i="2" s="1"/>
  <c r="D30" i="1"/>
  <c r="D31" i="1"/>
  <c r="D32" i="1"/>
  <c r="D33" i="1"/>
  <c r="D33" i="2" s="1"/>
  <c r="D34" i="1"/>
  <c r="D35" i="1"/>
  <c r="D36" i="1"/>
  <c r="D36" i="7" s="1"/>
  <c r="D37" i="1"/>
  <c r="D37" i="2" s="1"/>
  <c r="D38" i="1"/>
  <c r="D39" i="1"/>
  <c r="D40" i="1"/>
  <c r="D41" i="1"/>
  <c r="D41" i="2" s="1"/>
  <c r="D42" i="1"/>
  <c r="D43" i="1"/>
  <c r="D44" i="1"/>
  <c r="D45" i="1"/>
  <c r="D45" i="2" s="1"/>
  <c r="D46" i="1"/>
  <c r="D47" i="1"/>
  <c r="D47" i="7" s="1"/>
  <c r="D48" i="1"/>
  <c r="D49" i="1"/>
  <c r="D49" i="2" s="1"/>
  <c r="D50" i="1"/>
  <c r="D51" i="1"/>
  <c r="D52" i="1"/>
  <c r="D53" i="1"/>
  <c r="D53" i="2" s="1"/>
  <c r="D54" i="1"/>
  <c r="D55" i="1"/>
  <c r="D56" i="1"/>
  <c r="D57" i="1"/>
  <c r="D57" i="2" s="1"/>
  <c r="D58" i="1"/>
  <c r="D59" i="1"/>
  <c r="D60" i="1"/>
  <c r="D60" i="7" s="1"/>
  <c r="D61" i="1"/>
  <c r="D61" i="2" s="1"/>
  <c r="D62" i="1"/>
  <c r="D63" i="1"/>
  <c r="D64" i="1"/>
  <c r="D65" i="1"/>
  <c r="D65" i="2" s="1"/>
  <c r="D66" i="1"/>
  <c r="D67" i="1"/>
  <c r="D68" i="1"/>
  <c r="D69" i="1"/>
  <c r="D69" i="2" s="1"/>
  <c r="D70" i="1"/>
  <c r="D71" i="1"/>
  <c r="D72" i="1"/>
  <c r="D73" i="1"/>
  <c r="D73" i="2" s="1"/>
  <c r="D74" i="1"/>
  <c r="D75" i="1"/>
  <c r="D76" i="1"/>
  <c r="D77" i="1"/>
  <c r="D77" i="2" s="1"/>
  <c r="D78" i="1"/>
  <c r="D78" i="7" s="1"/>
  <c r="D79" i="1"/>
  <c r="D79" i="7" s="1"/>
  <c r="D80" i="1"/>
  <c r="D81" i="1"/>
  <c r="D81" i="2" s="1"/>
  <c r="D82" i="1"/>
  <c r="D83" i="1"/>
  <c r="D84" i="1"/>
  <c r="D85" i="1"/>
  <c r="D85" i="2" s="1"/>
  <c r="D86" i="1"/>
  <c r="D87" i="1"/>
  <c r="D88" i="1"/>
  <c r="D89" i="1"/>
  <c r="D89" i="2" s="1"/>
  <c r="D90" i="1"/>
  <c r="D91" i="1"/>
  <c r="D91" i="7" s="1"/>
  <c r="D92" i="1"/>
  <c r="D92" i="7" s="1"/>
  <c r="D93" i="1"/>
  <c r="D93" i="2" s="1"/>
  <c r="D94" i="1"/>
  <c r="D95" i="1"/>
  <c r="D96" i="1"/>
  <c r="D96" i="7" s="1"/>
  <c r="D97" i="1"/>
  <c r="D97" i="2" s="1"/>
  <c r="D98" i="1"/>
  <c r="D98" i="7" s="1"/>
  <c r="D99" i="1"/>
  <c r="D100" i="1"/>
  <c r="D101" i="1"/>
  <c r="D101" i="2" s="1"/>
  <c r="D102" i="1"/>
  <c r="D102" i="7" s="1"/>
  <c r="D103" i="1"/>
  <c r="D104" i="1"/>
  <c r="D105" i="1"/>
  <c r="D105" i="2" s="1"/>
  <c r="D106" i="1"/>
  <c r="D106" i="7" s="1"/>
  <c r="D107" i="1"/>
  <c r="D108" i="1"/>
  <c r="D108" i="7" s="1"/>
  <c r="D109" i="1"/>
  <c r="D109" i="2" s="1"/>
  <c r="D110" i="1"/>
  <c r="D110" i="7" s="1"/>
  <c r="D111" i="1"/>
  <c r="D111" i="7" s="1"/>
  <c r="D112" i="1"/>
  <c r="D112" i="7" s="1"/>
  <c r="D113" i="1"/>
  <c r="D113" i="2" s="1"/>
  <c r="D114" i="1"/>
  <c r="D114" i="7" s="1"/>
  <c r="D115" i="1"/>
  <c r="D116" i="1"/>
  <c r="D116" i="7" s="1"/>
  <c r="D117" i="1"/>
  <c r="D117" i="2" s="1"/>
  <c r="D118" i="1"/>
  <c r="D118" i="7" s="1"/>
  <c r="D119" i="1"/>
  <c r="D120" i="1"/>
  <c r="D121" i="1"/>
  <c r="D121" i="2" s="1"/>
  <c r="D122" i="1"/>
  <c r="D122" i="7" s="1"/>
  <c r="D123" i="1"/>
  <c r="D124" i="1"/>
  <c r="D124" i="7" s="1"/>
  <c r="D125" i="1"/>
  <c r="D125" i="2" s="1"/>
  <c r="D126" i="1"/>
  <c r="D126" i="7" s="1"/>
  <c r="D127" i="1"/>
  <c r="D128" i="1"/>
  <c r="D129" i="1"/>
  <c r="D129" i="2" s="1"/>
  <c r="D130" i="1"/>
  <c r="D131" i="1"/>
  <c r="D132" i="1"/>
  <c r="D133" i="1"/>
  <c r="D133" i="2" s="1"/>
  <c r="D134" i="1"/>
  <c r="D135" i="1"/>
  <c r="D136" i="1"/>
  <c r="D137" i="1"/>
  <c r="D137" i="7" s="1"/>
  <c r="D138" i="1"/>
  <c r="D138" i="7" s="1"/>
  <c r="D139" i="1"/>
  <c r="D139" i="7" s="1"/>
  <c r="D140" i="1"/>
  <c r="D140" i="2" s="1"/>
  <c r="D141" i="1"/>
  <c r="D141" i="7" s="1"/>
  <c r="D142" i="1"/>
  <c r="D142" i="7" s="1"/>
  <c r="D143" i="1"/>
  <c r="D143" i="7" s="1"/>
  <c r="D144" i="1"/>
  <c r="D144" i="7" s="1"/>
  <c r="D145" i="1"/>
  <c r="D145" i="7" s="1"/>
  <c r="D146" i="1"/>
  <c r="D146" i="7" s="1"/>
  <c r="D147" i="1"/>
  <c r="D147" i="7" s="1"/>
  <c r="D148" i="1"/>
  <c r="D149" i="1"/>
  <c r="D149" i="7" s="1"/>
  <c r="D150" i="1"/>
  <c r="D150" i="7" s="1"/>
  <c r="D151" i="1"/>
  <c r="D151" i="7" s="1"/>
  <c r="D152" i="1"/>
  <c r="D152" i="7" s="1"/>
  <c r="D153" i="1"/>
  <c r="D153" i="7" s="1"/>
  <c r="D154" i="1"/>
  <c r="D154" i="7" s="1"/>
  <c r="D155" i="1"/>
  <c r="D155" i="7" s="1"/>
  <c r="D156" i="1"/>
  <c r="D157" i="1"/>
  <c r="D158" i="1"/>
  <c r="D159" i="1"/>
  <c r="D160" i="1"/>
  <c r="D161" i="1"/>
  <c r="D162" i="1"/>
  <c r="D163" i="1"/>
  <c r="D164" i="1"/>
  <c r="D164" i="2" s="1"/>
  <c r="D165" i="1"/>
  <c r="D166" i="1"/>
  <c r="D167" i="1"/>
  <c r="D168" i="1"/>
  <c r="D169" i="1"/>
  <c r="D170" i="1"/>
  <c r="D171" i="1"/>
  <c r="D172" i="1"/>
  <c r="D173" i="1"/>
  <c r="D173" i="7" s="1"/>
  <c r="D174" i="1"/>
  <c r="D175" i="1"/>
  <c r="D176" i="1"/>
  <c r="D176" i="7" s="1"/>
  <c r="D177" i="1"/>
  <c r="D178" i="1"/>
  <c r="D179" i="1"/>
  <c r="D180" i="1"/>
  <c r="D181" i="1"/>
  <c r="D182" i="1"/>
  <c r="D183" i="1"/>
  <c r="D184" i="1"/>
  <c r="D185" i="1"/>
  <c r="D186" i="1"/>
  <c r="D187" i="1"/>
  <c r="D188" i="1"/>
  <c r="D189" i="1"/>
  <c r="D190" i="1"/>
  <c r="D191" i="1"/>
  <c r="D192" i="1"/>
  <c r="D193" i="1"/>
  <c r="D194" i="1"/>
  <c r="D195" i="1"/>
  <c r="D196" i="1"/>
  <c r="D197" i="1"/>
  <c r="D197" i="2" s="1"/>
  <c r="D198" i="1"/>
  <c r="D199" i="1"/>
  <c r="D199" i="7" s="1"/>
  <c r="D200" i="1"/>
  <c r="D201" i="1"/>
  <c r="D202" i="1"/>
  <c r="D203" i="1"/>
  <c r="D204" i="1"/>
  <c r="D205" i="1"/>
  <c r="D206" i="1"/>
  <c r="D207" i="1"/>
  <c r="D208" i="1"/>
  <c r="D209" i="1"/>
  <c r="D209" i="7" s="1"/>
  <c r="D210" i="1"/>
  <c r="D211" i="1"/>
  <c r="D211" i="7" s="1"/>
  <c r="D212" i="1"/>
  <c r="D213" i="1"/>
  <c r="D213" i="2" s="1"/>
  <c r="D214" i="1"/>
  <c r="D215" i="1"/>
  <c r="D216" i="1"/>
  <c r="D217" i="1"/>
  <c r="D218" i="1"/>
  <c r="D219" i="1"/>
  <c r="D220" i="1"/>
  <c r="D221" i="1"/>
  <c r="D222" i="1"/>
  <c r="D223" i="1"/>
  <c r="D224" i="1"/>
  <c r="D225" i="1"/>
  <c r="D225" i="7" s="1"/>
  <c r="D226" i="1"/>
  <c r="D226" i="7" s="1"/>
  <c r="D227" i="1"/>
  <c r="D227" i="7" s="1"/>
  <c r="D228" i="1"/>
  <c r="D229" i="1"/>
  <c r="D229" i="2" s="1"/>
  <c r="D230" i="1"/>
  <c r="N230" i="1" s="1"/>
  <c r="D231" i="1"/>
  <c r="D231" i="7" s="1"/>
  <c r="D232" i="1"/>
  <c r="D233" i="1"/>
  <c r="D233" i="7" s="1"/>
  <c r="D234" i="1"/>
  <c r="D235" i="1"/>
  <c r="D236" i="1"/>
  <c r="D237" i="1"/>
  <c r="D238" i="1"/>
  <c r="D239" i="1"/>
  <c r="D240" i="1"/>
  <c r="D240" i="7" s="1"/>
  <c r="D241" i="1"/>
  <c r="D241" i="7" s="1"/>
  <c r="D242" i="1"/>
  <c r="D243" i="1"/>
  <c r="D243" i="7" s="1"/>
  <c r="D244" i="1"/>
  <c r="D244" i="7" s="1"/>
  <c r="D245" i="1"/>
  <c r="D245" i="7" s="1"/>
  <c r="D246" i="1"/>
  <c r="D246" i="7" s="1"/>
  <c r="D247" i="1"/>
  <c r="D247" i="7" s="1"/>
  <c r="D248" i="1"/>
  <c r="D248" i="7" s="1"/>
  <c r="D249" i="1"/>
  <c r="D249" i="7" s="1"/>
  <c r="D250" i="1"/>
  <c r="D250" i="7" s="1"/>
  <c r="D251" i="1"/>
  <c r="D251" i="7" s="1"/>
  <c r="D252" i="1"/>
  <c r="D252" i="7" s="1"/>
  <c r="D253" i="1"/>
  <c r="D253" i="7" s="1"/>
  <c r="D254" i="1"/>
  <c r="D254" i="7" s="1"/>
  <c r="D255" i="1"/>
  <c r="D255" i="7" s="1"/>
  <c r="D256" i="1"/>
  <c r="D256" i="7" s="1"/>
  <c r="D257" i="1"/>
  <c r="D257" i="7" s="1"/>
  <c r="D258" i="1"/>
  <c r="C2" i="1"/>
  <c r="C2" i="2" s="1"/>
  <c r="C3" i="1"/>
  <c r="C3" i="2" s="1"/>
  <c r="C4" i="1"/>
  <c r="C4" i="2" s="1"/>
  <c r="C5" i="1"/>
  <c r="C6" i="1"/>
  <c r="C6" i="2" s="1"/>
  <c r="C7" i="1"/>
  <c r="C7" i="2" s="1"/>
  <c r="C8" i="1"/>
  <c r="C8" i="2" s="1"/>
  <c r="C9" i="1"/>
  <c r="C9" i="2" s="1"/>
  <c r="C10" i="1"/>
  <c r="C11" i="1"/>
  <c r="C11" i="2" s="1"/>
  <c r="C12" i="1"/>
  <c r="C12" i="2" s="1"/>
  <c r="C13" i="1"/>
  <c r="C13" i="2" s="1"/>
  <c r="C14" i="1"/>
  <c r="C15" i="1"/>
  <c r="C15" i="2" s="1"/>
  <c r="C16" i="1"/>
  <c r="C16" i="2" s="1"/>
  <c r="C17" i="1"/>
  <c r="C17" i="2" s="1"/>
  <c r="C18" i="1"/>
  <c r="C19" i="1"/>
  <c r="C20" i="1"/>
  <c r="C20" i="2" s="1"/>
  <c r="C21" i="1"/>
  <c r="C22" i="1"/>
  <c r="C22" i="7" s="1"/>
  <c r="C23" i="1"/>
  <c r="C24" i="1"/>
  <c r="C25" i="1"/>
  <c r="C26" i="1"/>
  <c r="C26" i="7" s="1"/>
  <c r="C27" i="1"/>
  <c r="C27" i="7" s="1"/>
  <c r="C28" i="1"/>
  <c r="C29" i="1"/>
  <c r="C30" i="1"/>
  <c r="C31" i="1"/>
  <c r="C32" i="1"/>
  <c r="C33" i="1"/>
  <c r="C33" i="7" s="1"/>
  <c r="C34" i="1"/>
  <c r="C35" i="1"/>
  <c r="C36" i="1"/>
  <c r="C36" i="7" s="1"/>
  <c r="C37" i="1"/>
  <c r="C38" i="1"/>
  <c r="C39" i="1"/>
  <c r="C40" i="1"/>
  <c r="C41" i="1"/>
  <c r="C42" i="1"/>
  <c r="C43" i="1"/>
  <c r="C44" i="1"/>
  <c r="C45" i="1"/>
  <c r="C46" i="1"/>
  <c r="C47" i="1"/>
  <c r="C47" i="7" s="1"/>
  <c r="C48" i="1"/>
  <c r="C49" i="1"/>
  <c r="C50" i="1"/>
  <c r="C51" i="1"/>
  <c r="C52" i="1"/>
  <c r="C53" i="1"/>
  <c r="C54" i="1"/>
  <c r="C55" i="1"/>
  <c r="C56" i="1"/>
  <c r="C57" i="1"/>
  <c r="C58" i="1"/>
  <c r="C59" i="1"/>
  <c r="C60" i="1"/>
  <c r="C60" i="7" s="1"/>
  <c r="C61" i="1"/>
  <c r="C61" i="7" s="1"/>
  <c r="C62" i="1"/>
  <c r="C63" i="1"/>
  <c r="C64" i="1"/>
  <c r="C65" i="1"/>
  <c r="C66" i="1"/>
  <c r="C67" i="1"/>
  <c r="C68" i="1"/>
  <c r="C69" i="1"/>
  <c r="C70" i="1"/>
  <c r="C71" i="1"/>
  <c r="C72" i="1"/>
  <c r="C73" i="1"/>
  <c r="C74" i="1"/>
  <c r="C75" i="1"/>
  <c r="C76" i="1"/>
  <c r="C77" i="1"/>
  <c r="C78" i="1"/>
  <c r="C78" i="7" s="1"/>
  <c r="C79" i="1"/>
  <c r="C79" i="7" s="1"/>
  <c r="C80" i="1"/>
  <c r="C81" i="1"/>
  <c r="C82" i="1"/>
  <c r="C83" i="1"/>
  <c r="C84" i="1"/>
  <c r="C85" i="1"/>
  <c r="C86" i="1"/>
  <c r="C87" i="1"/>
  <c r="C88" i="1"/>
  <c r="C89" i="1"/>
  <c r="C90" i="1"/>
  <c r="C91" i="1"/>
  <c r="C91" i="7" s="1"/>
  <c r="C92" i="1"/>
  <c r="C92" i="7" s="1"/>
  <c r="C93" i="1"/>
  <c r="C94" i="1"/>
  <c r="C95" i="1"/>
  <c r="C96" i="1"/>
  <c r="C96" i="7" s="1"/>
  <c r="C97" i="1"/>
  <c r="C98" i="1"/>
  <c r="C98" i="7" s="1"/>
  <c r="C99" i="1"/>
  <c r="C100" i="1"/>
  <c r="C101" i="1"/>
  <c r="C102" i="1"/>
  <c r="C102" i="7" s="1"/>
  <c r="C103" i="1"/>
  <c r="C104" i="1"/>
  <c r="C105" i="1"/>
  <c r="C106" i="1"/>
  <c r="C106" i="7" s="1"/>
  <c r="C107" i="1"/>
  <c r="C108" i="1"/>
  <c r="C108" i="7" s="1"/>
  <c r="C109" i="1"/>
  <c r="C110" i="1"/>
  <c r="C110" i="7" s="1"/>
  <c r="C111" i="1"/>
  <c r="C111" i="7" s="1"/>
  <c r="C112" i="1"/>
  <c r="C112" i="7" s="1"/>
  <c r="C113" i="1"/>
  <c r="C114" i="1"/>
  <c r="C114" i="7" s="1"/>
  <c r="C115" i="1"/>
  <c r="C116" i="1"/>
  <c r="C116" i="7" s="1"/>
  <c r="C117" i="1"/>
  <c r="C117" i="7" s="1"/>
  <c r="C118" i="1"/>
  <c r="C118" i="7" s="1"/>
  <c r="C119" i="1"/>
  <c r="C120" i="1"/>
  <c r="C121" i="1"/>
  <c r="C122" i="1"/>
  <c r="C122" i="7" s="1"/>
  <c r="C123" i="1"/>
  <c r="C124" i="1"/>
  <c r="C124" i="7" s="1"/>
  <c r="C125" i="1"/>
  <c r="C126" i="1"/>
  <c r="C126" i="7" s="1"/>
  <c r="C127" i="1"/>
  <c r="C128" i="1"/>
  <c r="C129" i="1"/>
  <c r="C129" i="7" s="1"/>
  <c r="C130" i="1"/>
  <c r="C131" i="1"/>
  <c r="C132" i="1"/>
  <c r="C133" i="1"/>
  <c r="C134" i="1"/>
  <c r="C135" i="1"/>
  <c r="C136" i="1"/>
  <c r="C137" i="1"/>
  <c r="C137" i="7" s="1"/>
  <c r="C138" i="1"/>
  <c r="C138" i="7" s="1"/>
  <c r="C139" i="1"/>
  <c r="C139" i="7" s="1"/>
  <c r="C140" i="1"/>
  <c r="C141" i="1"/>
  <c r="C141" i="7" s="1"/>
  <c r="C142" i="1"/>
  <c r="C142" i="7" s="1"/>
  <c r="C143" i="1"/>
  <c r="C143" i="7" s="1"/>
  <c r="C144" i="1"/>
  <c r="C144" i="7" s="1"/>
  <c r="C145" i="1"/>
  <c r="C145" i="7" s="1"/>
  <c r="C146" i="1"/>
  <c r="C146" i="7" s="1"/>
  <c r="C147" i="1"/>
  <c r="C147" i="7" s="1"/>
  <c r="C148" i="1"/>
  <c r="C148" i="7" s="1"/>
  <c r="C149" i="1"/>
  <c r="C149" i="7" s="1"/>
  <c r="C150" i="1"/>
  <c r="C150" i="7" s="1"/>
  <c r="C151" i="1"/>
  <c r="C151" i="7" s="1"/>
  <c r="C152" i="1"/>
  <c r="C152" i="7" s="1"/>
  <c r="C153" i="1"/>
  <c r="C153" i="7" s="1"/>
  <c r="C154" i="1"/>
  <c r="C154" i="7" s="1"/>
  <c r="C155" i="1"/>
  <c r="C155" i="7" s="1"/>
  <c r="C156" i="1"/>
  <c r="C156" i="7" s="1"/>
  <c r="C157" i="1"/>
  <c r="C158" i="1"/>
  <c r="C159" i="1"/>
  <c r="C160" i="1"/>
  <c r="C161" i="1"/>
  <c r="C162" i="1"/>
  <c r="C163" i="1"/>
  <c r="C164" i="1"/>
  <c r="C165" i="1"/>
  <c r="C166" i="1"/>
  <c r="C167" i="1"/>
  <c r="C168" i="1"/>
  <c r="C169" i="1"/>
  <c r="C170" i="1"/>
  <c r="C171" i="1"/>
  <c r="C172" i="1"/>
  <c r="C172" i="7" s="1"/>
  <c r="C173" i="1"/>
  <c r="C173" i="7" s="1"/>
  <c r="C174" i="1"/>
  <c r="C175" i="1"/>
  <c r="C176" i="1"/>
  <c r="C176" i="7" s="1"/>
  <c r="C177" i="1"/>
  <c r="C177" i="2" s="1"/>
  <c r="C178" i="1"/>
  <c r="C179" i="1"/>
  <c r="C180" i="1"/>
  <c r="C181" i="1"/>
  <c r="C182" i="1"/>
  <c r="C183" i="1"/>
  <c r="C184" i="1"/>
  <c r="C185" i="1"/>
  <c r="C186" i="1"/>
  <c r="C187" i="1"/>
  <c r="C188" i="1"/>
  <c r="C189" i="1"/>
  <c r="C190" i="1"/>
  <c r="C191" i="1"/>
  <c r="C192" i="1"/>
  <c r="C193" i="1"/>
  <c r="C193" i="2" s="1"/>
  <c r="C194" i="1"/>
  <c r="C195" i="1"/>
  <c r="C196" i="1"/>
  <c r="C197" i="1"/>
  <c r="C197" i="7" s="1"/>
  <c r="C198" i="1"/>
  <c r="C199" i="1"/>
  <c r="C199" i="7" s="1"/>
  <c r="C200" i="1"/>
  <c r="C201" i="1"/>
  <c r="C202" i="1"/>
  <c r="C203" i="1"/>
  <c r="C204" i="1"/>
  <c r="C205" i="1"/>
  <c r="C206" i="1"/>
  <c r="C207" i="1"/>
  <c r="C208" i="1"/>
  <c r="C209" i="1"/>
  <c r="C210" i="1"/>
  <c r="C211" i="1"/>
  <c r="C211" i="7" s="1"/>
  <c r="C212" i="1"/>
  <c r="C213" i="1"/>
  <c r="C214" i="1"/>
  <c r="C215" i="1"/>
  <c r="C216" i="1"/>
  <c r="C217" i="1"/>
  <c r="C218" i="1"/>
  <c r="C219" i="1"/>
  <c r="C220" i="1"/>
  <c r="C221" i="1"/>
  <c r="C222" i="1"/>
  <c r="C223" i="1"/>
  <c r="C224" i="1"/>
  <c r="C225" i="1"/>
  <c r="C226" i="1"/>
  <c r="C226" i="7" s="1"/>
  <c r="C227" i="1"/>
  <c r="C227" i="7" s="1"/>
  <c r="C228" i="1"/>
  <c r="C229" i="1"/>
  <c r="C229" i="7" s="1"/>
  <c r="C230" i="1"/>
  <c r="C231" i="1"/>
  <c r="C231" i="7" s="1"/>
  <c r="C232" i="1"/>
  <c r="C233" i="1"/>
  <c r="C233" i="7" s="1"/>
  <c r="C234" i="1"/>
  <c r="C235" i="1"/>
  <c r="C236" i="1"/>
  <c r="C237" i="1"/>
  <c r="C238" i="1"/>
  <c r="C239" i="1"/>
  <c r="C240" i="1"/>
  <c r="C240" i="7" s="1"/>
  <c r="C241" i="1"/>
  <c r="C242" i="1"/>
  <c r="C243" i="1"/>
  <c r="C243" i="7" s="1"/>
  <c r="C244" i="1"/>
  <c r="C244" i="7" s="1"/>
  <c r="C245" i="1"/>
  <c r="C245" i="7" s="1"/>
  <c r="C246" i="1"/>
  <c r="C246" i="7" s="1"/>
  <c r="C247" i="1"/>
  <c r="C247" i="7" s="1"/>
  <c r="C248" i="1"/>
  <c r="C248" i="7" s="1"/>
  <c r="C249" i="1"/>
  <c r="C249" i="7" s="1"/>
  <c r="C250" i="1"/>
  <c r="C250" i="7" s="1"/>
  <c r="C251" i="1"/>
  <c r="C251" i="7" s="1"/>
  <c r="C252" i="1"/>
  <c r="C252" i="7" s="1"/>
  <c r="C253" i="1"/>
  <c r="C253" i="7" s="1"/>
  <c r="C254" i="1"/>
  <c r="C254" i="7" s="1"/>
  <c r="C255" i="1"/>
  <c r="C255" i="7" s="1"/>
  <c r="C256" i="1"/>
  <c r="C256" i="7" s="1"/>
  <c r="C257" i="1"/>
  <c r="C258" i="1"/>
  <c r="B2" i="1"/>
  <c r="B3" i="1"/>
  <c r="B3" i="2" s="1"/>
  <c r="B4" i="1"/>
  <c r="B4" i="2" s="1"/>
  <c r="B5" i="1"/>
  <c r="B5" i="2" s="1"/>
  <c r="B6" i="1"/>
  <c r="B7" i="1"/>
  <c r="B7" i="2" s="1"/>
  <c r="B8" i="1"/>
  <c r="B9" i="1"/>
  <c r="B10" i="1"/>
  <c r="B10" i="2" s="1"/>
  <c r="B11" i="1"/>
  <c r="B11" i="2" s="1"/>
  <c r="B12" i="1"/>
  <c r="B12" i="2" s="1"/>
  <c r="B13" i="1"/>
  <c r="B14" i="1"/>
  <c r="B14" i="2" s="1"/>
  <c r="B15" i="1"/>
  <c r="B15" i="2" s="1"/>
  <c r="B16" i="1"/>
  <c r="B16" i="2" s="1"/>
  <c r="B17" i="1"/>
  <c r="B18" i="1"/>
  <c r="B18" i="2" s="1"/>
  <c r="B19" i="1"/>
  <c r="B19" i="2" s="1"/>
  <c r="B20" i="1"/>
  <c r="B20" i="2" s="1"/>
  <c r="B21" i="1"/>
  <c r="B21" i="7" s="1"/>
  <c r="B22" i="1"/>
  <c r="B22" i="7" s="1"/>
  <c r="B23" i="1"/>
  <c r="B24" i="1"/>
  <c r="B25" i="1"/>
  <c r="B26" i="1"/>
  <c r="B26" i="7" s="1"/>
  <c r="B27" i="1"/>
  <c r="B27" i="7" s="1"/>
  <c r="B28" i="1"/>
  <c r="B29" i="1"/>
  <c r="B30" i="1"/>
  <c r="B31" i="1"/>
  <c r="B32" i="1"/>
  <c r="B33" i="1"/>
  <c r="B33" i="7" s="1"/>
  <c r="B34" i="1"/>
  <c r="B35" i="1"/>
  <c r="B36" i="1"/>
  <c r="B36" i="7" s="1"/>
  <c r="B37" i="1"/>
  <c r="B38" i="1"/>
  <c r="B39" i="1"/>
  <c r="B40" i="1"/>
  <c r="B41" i="1"/>
  <c r="B42" i="1"/>
  <c r="B43" i="1"/>
  <c r="B44" i="1"/>
  <c r="B45" i="1"/>
  <c r="B46" i="1"/>
  <c r="B47" i="1"/>
  <c r="B47" i="7" s="1"/>
  <c r="B48" i="1"/>
  <c r="B49" i="1"/>
  <c r="B50" i="1"/>
  <c r="B51" i="1"/>
  <c r="B52" i="1"/>
  <c r="B53" i="1"/>
  <c r="B54" i="1"/>
  <c r="B55" i="1"/>
  <c r="B56" i="1"/>
  <c r="B57" i="1"/>
  <c r="B58" i="1"/>
  <c r="B59" i="1"/>
  <c r="B60" i="1"/>
  <c r="B60" i="7" s="1"/>
  <c r="B61" i="1"/>
  <c r="B61" i="7" s="1"/>
  <c r="B62" i="1"/>
  <c r="B63" i="1"/>
  <c r="B64" i="1"/>
  <c r="B65" i="1"/>
  <c r="B66" i="1"/>
  <c r="B67" i="1"/>
  <c r="B68" i="1"/>
  <c r="B69" i="1"/>
  <c r="B70" i="1"/>
  <c r="B71" i="1"/>
  <c r="B72" i="1"/>
  <c r="B73" i="1"/>
  <c r="B74" i="1"/>
  <c r="B75" i="1"/>
  <c r="B76" i="1"/>
  <c r="B77" i="1"/>
  <c r="B78" i="1"/>
  <c r="B78" i="7" s="1"/>
  <c r="B79" i="1"/>
  <c r="B79" i="7" s="1"/>
  <c r="B80" i="1"/>
  <c r="B81" i="1"/>
  <c r="B82" i="1"/>
  <c r="B83" i="1"/>
  <c r="B84" i="1"/>
  <c r="B85" i="1"/>
  <c r="B86" i="1"/>
  <c r="B87" i="1"/>
  <c r="B88" i="1"/>
  <c r="B89" i="1"/>
  <c r="B90" i="1"/>
  <c r="B91" i="1"/>
  <c r="B91" i="7" s="1"/>
  <c r="B92" i="1"/>
  <c r="B92" i="7" s="1"/>
  <c r="B93" i="1"/>
  <c r="B94" i="1"/>
  <c r="B95" i="1"/>
  <c r="B96" i="1"/>
  <c r="B96" i="7" s="1"/>
  <c r="B97" i="1"/>
  <c r="B98" i="1"/>
  <c r="B98" i="7" s="1"/>
  <c r="B99" i="1"/>
  <c r="B100" i="1"/>
  <c r="B101" i="1"/>
  <c r="B102" i="1"/>
  <c r="B102" i="7" s="1"/>
  <c r="B103" i="1"/>
  <c r="B104" i="1"/>
  <c r="B105" i="1"/>
  <c r="B106" i="1"/>
  <c r="B106" i="7" s="1"/>
  <c r="B107" i="1"/>
  <c r="B108" i="1"/>
  <c r="B108" i="7" s="1"/>
  <c r="B109" i="1"/>
  <c r="B110" i="1"/>
  <c r="B110" i="7" s="1"/>
  <c r="B111" i="1"/>
  <c r="B111" i="7" s="1"/>
  <c r="B112" i="1"/>
  <c r="B112" i="7" s="1"/>
  <c r="B113" i="1"/>
  <c r="B114" i="1"/>
  <c r="B114" i="7" s="1"/>
  <c r="B115" i="1"/>
  <c r="B116" i="1"/>
  <c r="B116" i="7" s="1"/>
  <c r="B117" i="1"/>
  <c r="B117" i="7" s="1"/>
  <c r="B118" i="1"/>
  <c r="B118" i="7" s="1"/>
  <c r="B119" i="1"/>
  <c r="B120" i="1"/>
  <c r="B121" i="1"/>
  <c r="B122" i="1"/>
  <c r="B122" i="7" s="1"/>
  <c r="B123" i="1"/>
  <c r="B124" i="1"/>
  <c r="B124" i="7" s="1"/>
  <c r="B125" i="1"/>
  <c r="B126" i="1"/>
  <c r="B126" i="7" s="1"/>
  <c r="B127" i="1"/>
  <c r="B128" i="1"/>
  <c r="B129" i="1"/>
  <c r="B129" i="7" s="1"/>
  <c r="B130" i="1"/>
  <c r="B131" i="1"/>
  <c r="B132" i="1"/>
  <c r="B133" i="1"/>
  <c r="B134" i="1"/>
  <c r="B135" i="1"/>
  <c r="B136" i="1"/>
  <c r="B137" i="1"/>
  <c r="B137" i="7" s="1"/>
  <c r="B138" i="1"/>
  <c r="B138" i="7" s="1"/>
  <c r="B139" i="1"/>
  <c r="B139" i="2" s="1"/>
  <c r="B140" i="1"/>
  <c r="B141" i="1"/>
  <c r="B141" i="7" s="1"/>
  <c r="B142" i="1"/>
  <c r="B142" i="7" s="1"/>
  <c r="B143" i="1"/>
  <c r="B143" i="7" s="1"/>
  <c r="B144" i="1"/>
  <c r="B144" i="7" s="1"/>
  <c r="B145" i="1"/>
  <c r="B145" i="7" s="1"/>
  <c r="B146" i="1"/>
  <c r="B146" i="7" s="1"/>
  <c r="B147" i="1"/>
  <c r="B147" i="2" s="1"/>
  <c r="B148" i="1"/>
  <c r="B148" i="7" s="1"/>
  <c r="B149" i="1"/>
  <c r="B149" i="7" s="1"/>
  <c r="B150" i="1"/>
  <c r="B150" i="7" s="1"/>
  <c r="B151" i="1"/>
  <c r="B151" i="7" s="1"/>
  <c r="B152" i="1"/>
  <c r="B152" i="7" s="1"/>
  <c r="B153" i="1"/>
  <c r="B153" i="7" s="1"/>
  <c r="B154" i="1"/>
  <c r="B154" i="7" s="1"/>
  <c r="B155" i="1"/>
  <c r="B155" i="2" s="1"/>
  <c r="B156" i="1"/>
  <c r="B156" i="7" s="1"/>
  <c r="B157" i="1"/>
  <c r="B158" i="1"/>
  <c r="B159" i="1"/>
  <c r="B160" i="1"/>
  <c r="B161" i="1"/>
  <c r="B162" i="1"/>
  <c r="B163" i="1"/>
  <c r="B163" i="2" s="1"/>
  <c r="B164" i="1"/>
  <c r="B165" i="1"/>
  <c r="B166" i="1"/>
  <c r="B167" i="1"/>
  <c r="B168" i="1"/>
  <c r="B169" i="1"/>
  <c r="B170" i="1"/>
  <c r="B171" i="1"/>
  <c r="B171" i="2" s="1"/>
  <c r="B172" i="1"/>
  <c r="B172" i="7" s="1"/>
  <c r="B173" i="1"/>
  <c r="B173" i="7" s="1"/>
  <c r="B174" i="1"/>
  <c r="B175" i="1"/>
  <c r="B176" i="1"/>
  <c r="B176" i="7" s="1"/>
  <c r="B177" i="1"/>
  <c r="B178" i="1"/>
  <c r="B179" i="1"/>
  <c r="B180" i="1"/>
  <c r="B181" i="1"/>
  <c r="B182" i="1"/>
  <c r="B183" i="1"/>
  <c r="B184" i="1"/>
  <c r="B185" i="1"/>
  <c r="B186" i="1"/>
  <c r="B187" i="1"/>
  <c r="B188" i="1"/>
  <c r="B189" i="1"/>
  <c r="B190" i="1"/>
  <c r="B191" i="1"/>
  <c r="B192" i="1"/>
  <c r="B193" i="1"/>
  <c r="B194" i="1"/>
  <c r="B195" i="1"/>
  <c r="B196" i="1"/>
  <c r="B197" i="1"/>
  <c r="B197" i="7" s="1"/>
  <c r="B198" i="1"/>
  <c r="B199" i="1"/>
  <c r="B199" i="7" s="1"/>
  <c r="B200" i="1"/>
  <c r="B201" i="1"/>
  <c r="B202" i="1"/>
  <c r="B203" i="1"/>
  <c r="B204" i="1"/>
  <c r="B205" i="1"/>
  <c r="B206" i="1"/>
  <c r="B207" i="1"/>
  <c r="B208" i="1"/>
  <c r="B209" i="1"/>
  <c r="B209" i="7" s="1"/>
  <c r="B210" i="1"/>
  <c r="B211" i="1"/>
  <c r="B211" i="7" s="1"/>
  <c r="B212" i="1"/>
  <c r="B213" i="1"/>
  <c r="B214" i="1"/>
  <c r="B215" i="1"/>
  <c r="B216" i="1"/>
  <c r="B217" i="1"/>
  <c r="B218" i="1"/>
  <c r="B219" i="1"/>
  <c r="B220" i="1"/>
  <c r="B221" i="1"/>
  <c r="B222" i="1"/>
  <c r="B223" i="1"/>
  <c r="B224" i="1"/>
  <c r="B225" i="1"/>
  <c r="B225" i="7" s="1"/>
  <c r="B226" i="1"/>
  <c r="B226" i="7" s="1"/>
  <c r="B227" i="1"/>
  <c r="B227" i="7" s="1"/>
  <c r="B228" i="1"/>
  <c r="B229" i="1"/>
  <c r="B229" i="7" s="1"/>
  <c r="B230" i="1"/>
  <c r="B231" i="1"/>
  <c r="B231" i="7" s="1"/>
  <c r="B232" i="1"/>
  <c r="B233" i="1"/>
  <c r="B233" i="7" s="1"/>
  <c r="B234" i="1"/>
  <c r="B235" i="1"/>
  <c r="B236" i="1"/>
  <c r="B237" i="1"/>
  <c r="B238" i="1"/>
  <c r="B239" i="1"/>
  <c r="B240" i="1"/>
  <c r="B240" i="7" s="1"/>
  <c r="B241" i="1"/>
  <c r="B241" i="7" s="1"/>
  <c r="B242" i="1"/>
  <c r="B243" i="1"/>
  <c r="B243" i="7" s="1"/>
  <c r="B244" i="1"/>
  <c r="B244" i="7" s="1"/>
  <c r="B245" i="1"/>
  <c r="B245" i="7" s="1"/>
  <c r="B246" i="1"/>
  <c r="B246" i="7" s="1"/>
  <c r="B247" i="1"/>
  <c r="B247" i="7" s="1"/>
  <c r="B248" i="1"/>
  <c r="B248" i="7" s="1"/>
  <c r="B249" i="1"/>
  <c r="B249" i="7" s="1"/>
  <c r="B250" i="1"/>
  <c r="B250" i="7" s="1"/>
  <c r="B251" i="1"/>
  <c r="B251" i="7" s="1"/>
  <c r="B252" i="1"/>
  <c r="B252" i="7" s="1"/>
  <c r="B253" i="1"/>
  <c r="B253" i="7" s="1"/>
  <c r="B254" i="1"/>
  <c r="B254" i="7" s="1"/>
  <c r="B255" i="1"/>
  <c r="B255" i="7" s="1"/>
  <c r="B256" i="1"/>
  <c r="B256" i="7" s="1"/>
  <c r="B257" i="1"/>
  <c r="B257" i="7" s="1"/>
  <c r="B258" i="1"/>
  <c r="H258" i="1"/>
  <c r="G257" i="1"/>
  <c r="G256" i="1"/>
  <c r="G255" i="1"/>
  <c r="H254" i="1"/>
  <c r="H253" i="1"/>
  <c r="H252" i="1"/>
  <c r="J251" i="1"/>
  <c r="K251" i="1" s="1"/>
  <c r="L251" i="1" s="1"/>
  <c r="F251" i="7" s="1"/>
  <c r="H251" i="1"/>
  <c r="H250" i="1"/>
  <c r="H249" i="1"/>
  <c r="H248" i="1"/>
  <c r="H247" i="1"/>
  <c r="H246" i="1"/>
  <c r="H245" i="1"/>
  <c r="H244" i="1"/>
  <c r="H243" i="1"/>
  <c r="G242" i="1"/>
  <c r="G241" i="1"/>
  <c r="G240" i="1"/>
  <c r="G239" i="1"/>
  <c r="H239" i="1" s="1"/>
  <c r="G238" i="1"/>
  <c r="H238" i="1" s="1"/>
  <c r="G237" i="1"/>
  <c r="H237" i="1" s="1"/>
  <c r="G236" i="1"/>
  <c r="G235" i="1"/>
  <c r="G234" i="1"/>
  <c r="G233" i="1"/>
  <c r="G232" i="1"/>
  <c r="I232" i="1" s="1"/>
  <c r="G231" i="1"/>
  <c r="G230" i="1"/>
  <c r="H230" i="1" s="1"/>
  <c r="G229" i="1"/>
  <c r="H229" i="1" s="1"/>
  <c r="G228" i="1"/>
  <c r="H228" i="1" s="1"/>
  <c r="F228" i="2" s="1"/>
  <c r="H227" i="1"/>
  <c r="G226" i="1"/>
  <c r="H225" i="1"/>
  <c r="G224" i="1"/>
  <c r="G223" i="1"/>
  <c r="K223" i="1" s="1"/>
  <c r="G222" i="1"/>
  <c r="G221" i="1"/>
  <c r="H220" i="1"/>
  <c r="F220" i="2" s="1"/>
  <c r="G219" i="1"/>
  <c r="H219" i="1" s="1"/>
  <c r="G218" i="1"/>
  <c r="H218" i="1" s="1"/>
  <c r="G217" i="1"/>
  <c r="G216" i="1"/>
  <c r="G215" i="1"/>
  <c r="H214" i="1"/>
  <c r="G213" i="1"/>
  <c r="H213" i="1" s="1"/>
  <c r="G212" i="1"/>
  <c r="H212" i="1" s="1"/>
  <c r="F212" i="2" s="1"/>
  <c r="G211" i="1"/>
  <c r="H211" i="1" s="1"/>
  <c r="G210" i="1"/>
  <c r="G209" i="1"/>
  <c r="H208" i="1"/>
  <c r="F208" i="2" s="1"/>
  <c r="H207" i="1"/>
  <c r="G206" i="1"/>
  <c r="G205" i="1"/>
  <c r="H204" i="1"/>
  <c r="F204" i="2" s="1"/>
  <c r="G203" i="1"/>
  <c r="H203" i="1" s="1"/>
  <c r="G202" i="1"/>
  <c r="H202" i="1" s="1"/>
  <c r="G201" i="1"/>
  <c r="H201" i="1" s="1"/>
  <c r="G200" i="1"/>
  <c r="H200" i="1" s="1"/>
  <c r="F200" i="2" s="1"/>
  <c r="G199" i="1"/>
  <c r="G198" i="1"/>
  <c r="G197" i="1"/>
  <c r="G196" i="1"/>
  <c r="H196" i="1" s="1"/>
  <c r="F196" i="2" s="1"/>
  <c r="G195" i="1"/>
  <c r="H195" i="1" s="1"/>
  <c r="G194" i="1"/>
  <c r="G193" i="1"/>
  <c r="H193" i="1" s="1"/>
  <c r="G192" i="1"/>
  <c r="G191" i="1"/>
  <c r="H191" i="1" s="1"/>
  <c r="G190" i="1"/>
  <c r="G189" i="1"/>
  <c r="G188" i="1"/>
  <c r="G187" i="1"/>
  <c r="G186" i="1"/>
  <c r="G185" i="1"/>
  <c r="H185" i="1" s="1"/>
  <c r="G184" i="1"/>
  <c r="G183" i="1"/>
  <c r="G182" i="1"/>
  <c r="H182" i="1" s="1"/>
  <c r="G181" i="1"/>
  <c r="G180" i="1"/>
  <c r="H179" i="1"/>
  <c r="F179" i="2" s="1"/>
  <c r="G178" i="1"/>
  <c r="H178" i="1" s="1"/>
  <c r="G177" i="1"/>
  <c r="G176" i="1"/>
  <c r="H176" i="1" s="1"/>
  <c r="H175" i="1"/>
  <c r="F175" i="2" s="1"/>
  <c r="G174" i="1"/>
  <c r="H174" i="1" s="1"/>
  <c r="G173" i="1"/>
  <c r="H173" i="1" s="1"/>
  <c r="G172" i="1"/>
  <c r="H172" i="1" s="1"/>
  <c r="G171" i="1"/>
  <c r="G170" i="1"/>
  <c r="H170" i="1" s="1"/>
  <c r="G169" i="1"/>
  <c r="H169" i="1" s="1"/>
  <c r="G168" i="1"/>
  <c r="H168" i="1" s="1"/>
  <c r="G167" i="1"/>
  <c r="H167" i="1" s="1"/>
  <c r="G166" i="1"/>
  <c r="H166" i="1" s="1"/>
  <c r="G165" i="1"/>
  <c r="H165" i="1" s="1"/>
  <c r="F165" i="2" s="1"/>
  <c r="G164" i="1"/>
  <c r="G163" i="1"/>
  <c r="G162" i="1"/>
  <c r="G161" i="1"/>
  <c r="H160" i="1"/>
  <c r="G159" i="1"/>
  <c r="H159" i="1" s="1"/>
  <c r="G158" i="1"/>
  <c r="G157" i="1"/>
  <c r="G156" i="1"/>
  <c r="K156" i="1" s="1"/>
  <c r="G155" i="1"/>
  <c r="G154" i="1"/>
  <c r="G153" i="1"/>
  <c r="H152" i="1"/>
  <c r="H151" i="1"/>
  <c r="H150" i="1"/>
  <c r="H149" i="1"/>
  <c r="H148" i="1"/>
  <c r="H147" i="1"/>
  <c r="H146" i="1"/>
  <c r="H145" i="1"/>
  <c r="H144" i="1"/>
  <c r="H143" i="1"/>
  <c r="H142" i="1"/>
  <c r="H141" i="1"/>
  <c r="G140" i="1"/>
  <c r="G139" i="1"/>
  <c r="G138" i="1"/>
  <c r="G137" i="1"/>
  <c r="G136" i="1"/>
  <c r="G135" i="1"/>
  <c r="G134" i="1"/>
  <c r="H134" i="1" s="1"/>
  <c r="G133" i="1"/>
  <c r="G132" i="1"/>
  <c r="G131" i="1"/>
  <c r="H131" i="1" s="1"/>
  <c r="G130" i="1"/>
  <c r="H130" i="1" s="1"/>
  <c r="G129" i="1"/>
  <c r="G128" i="1"/>
  <c r="N128" i="1" s="1"/>
  <c r="H127" i="1"/>
  <c r="G126" i="1"/>
  <c r="H126" i="1" s="1"/>
  <c r="G125" i="1"/>
  <c r="G124" i="1"/>
  <c r="G123" i="1"/>
  <c r="H123" i="1" s="1"/>
  <c r="G122" i="1"/>
  <c r="G121" i="1"/>
  <c r="H121" i="1" s="1"/>
  <c r="G120" i="1"/>
  <c r="G119" i="1"/>
  <c r="H119" i="1" s="1"/>
  <c r="G118" i="1"/>
  <c r="G117" i="1"/>
  <c r="G116" i="1"/>
  <c r="H116" i="1" s="1"/>
  <c r="G115" i="1"/>
  <c r="G114" i="1"/>
  <c r="G113" i="1"/>
  <c r="H113" i="1" s="1"/>
  <c r="H112" i="1"/>
  <c r="G111" i="1"/>
  <c r="H110" i="1"/>
  <c r="H109" i="1"/>
  <c r="F109" i="2" s="1"/>
  <c r="H108" i="1"/>
  <c r="G107" i="1"/>
  <c r="G106" i="1"/>
  <c r="G105" i="1"/>
  <c r="G104" i="1"/>
  <c r="H103" i="1"/>
  <c r="G102" i="1"/>
  <c r="H101" i="1"/>
  <c r="F101" i="2" s="1"/>
  <c r="G100" i="1"/>
  <c r="H100" i="1" s="1"/>
  <c r="H99" i="1"/>
  <c r="G98" i="1"/>
  <c r="G97" i="1"/>
  <c r="H97" i="1" s="1"/>
  <c r="H96" i="1"/>
  <c r="G95" i="1"/>
  <c r="G94" i="1"/>
  <c r="G93" i="1"/>
  <c r="H93" i="1" s="1"/>
  <c r="F93" i="2" s="1"/>
  <c r="G92" i="1"/>
  <c r="H91" i="1"/>
  <c r="G90" i="1"/>
  <c r="H90" i="1" s="1"/>
  <c r="G89" i="1"/>
  <c r="H89" i="1" s="1"/>
  <c r="G88" i="1"/>
  <c r="H88" i="1" s="1"/>
  <c r="H87" i="1"/>
  <c r="G86" i="1"/>
  <c r="H86" i="1" s="1"/>
  <c r="H85" i="1"/>
  <c r="F85" i="2" s="1"/>
  <c r="G84" i="1"/>
  <c r="H84" i="1" s="1"/>
  <c r="G83" i="1"/>
  <c r="G82" i="1"/>
  <c r="G81" i="1"/>
  <c r="G80" i="1"/>
  <c r="G79" i="1"/>
  <c r="G78" i="1"/>
  <c r="G77" i="1"/>
  <c r="G76" i="1"/>
  <c r="G75" i="1"/>
  <c r="G74" i="1"/>
  <c r="G73" i="1"/>
  <c r="G72" i="1"/>
  <c r="G71" i="1"/>
  <c r="H71" i="1" s="1"/>
  <c r="H70" i="1"/>
  <c r="H69" i="1"/>
  <c r="F69" i="2" s="1"/>
  <c r="G68" i="1"/>
  <c r="G67" i="1"/>
  <c r="G66" i="1"/>
  <c r="G65" i="1"/>
  <c r="H65" i="1" s="1"/>
  <c r="G64" i="1"/>
  <c r="H64" i="1" s="1"/>
  <c r="G63" i="1"/>
  <c r="H63" i="1" s="1"/>
  <c r="G62" i="1"/>
  <c r="H62" i="1" s="1"/>
  <c r="G61" i="1"/>
  <c r="H61" i="1" s="1"/>
  <c r="G60" i="1"/>
  <c r="G59" i="1"/>
  <c r="H58" i="1"/>
  <c r="H57" i="1"/>
  <c r="H56" i="1"/>
  <c r="G55" i="1"/>
  <c r="G54" i="1"/>
  <c r="G53" i="1"/>
  <c r="G52" i="1"/>
  <c r="G51" i="1"/>
  <c r="H51" i="1" s="1"/>
  <c r="G50" i="1"/>
  <c r="H50" i="1" s="1"/>
  <c r="G49" i="1"/>
  <c r="G48" i="1"/>
  <c r="H48" i="1" s="1"/>
  <c r="H47" i="1"/>
  <c r="G46" i="1"/>
  <c r="H46" i="1" s="1"/>
  <c r="G45" i="1"/>
  <c r="H45" i="1" s="1"/>
  <c r="F45" i="2" s="1"/>
  <c r="G44" i="1"/>
  <c r="H44" i="1" s="1"/>
  <c r="G43" i="1"/>
  <c r="G42" i="1"/>
  <c r="G41" i="1"/>
  <c r="G40" i="1"/>
  <c r="G39" i="1"/>
  <c r="G38" i="1"/>
  <c r="H38" i="1" s="1"/>
  <c r="G37" i="1"/>
  <c r="G36" i="1"/>
  <c r="G35" i="1"/>
  <c r="G34" i="1"/>
  <c r="H34" i="1" s="1"/>
  <c r="G33" i="1"/>
  <c r="H33" i="1" s="1"/>
  <c r="G32" i="1"/>
  <c r="G31" i="1"/>
  <c r="J30" i="1"/>
  <c r="K30" i="1" s="1"/>
  <c r="L30" i="1" s="1"/>
  <c r="O30" i="1" s="1"/>
  <c r="G29" i="1"/>
  <c r="H29" i="1" s="1"/>
  <c r="F29" i="2" s="1"/>
  <c r="G28" i="1"/>
  <c r="G27" i="1"/>
  <c r="H27" i="1" s="1"/>
  <c r="G26" i="1"/>
  <c r="J25" i="1"/>
  <c r="K25" i="1" s="1"/>
  <c r="G24" i="1"/>
  <c r="H24" i="1" s="1"/>
  <c r="G23" i="1"/>
  <c r="G22" i="1"/>
  <c r="H22" i="1" s="1"/>
  <c r="G21" i="1"/>
  <c r="H21" i="1" s="1"/>
  <c r="G20" i="1"/>
  <c r="G19" i="1"/>
  <c r="H19" i="1" s="1"/>
  <c r="G18" i="1"/>
  <c r="H18" i="1" s="1"/>
  <c r="G17" i="1"/>
  <c r="H17" i="1" s="1"/>
  <c r="G16" i="1"/>
  <c r="G15" i="1"/>
  <c r="H15" i="1" s="1"/>
  <c r="F15" i="2" s="1"/>
  <c r="G14" i="1"/>
  <c r="H14" i="1" s="1"/>
  <c r="F14" i="2" s="1"/>
  <c r="G13" i="1"/>
  <c r="H13" i="1" s="1"/>
  <c r="F13" i="2" s="1"/>
  <c r="J12" i="1"/>
  <c r="K12" i="1" s="1"/>
  <c r="G11" i="1"/>
  <c r="G10" i="1"/>
  <c r="G9" i="1"/>
  <c r="H9" i="1" s="1"/>
  <c r="G8" i="1"/>
  <c r="G7" i="1"/>
  <c r="H7" i="1" s="1"/>
  <c r="G6" i="1"/>
  <c r="G5" i="1"/>
  <c r="G4" i="1"/>
  <c r="D49" i="10" l="1"/>
  <c r="E49" i="10" s="1"/>
  <c r="C49" i="10"/>
  <c r="N11" i="10"/>
  <c r="E39" i="10"/>
  <c r="E35" i="10"/>
  <c r="E19" i="10"/>
  <c r="E7" i="10"/>
  <c r="E3" i="10"/>
  <c r="E42" i="10"/>
  <c r="E34" i="10"/>
  <c r="E18" i="10"/>
  <c r="E10" i="10"/>
  <c r="E33" i="10"/>
  <c r="E17" i="10"/>
  <c r="E13" i="10"/>
  <c r="E5" i="10"/>
  <c r="E40" i="10"/>
  <c r="E36" i="10"/>
  <c r="E32" i="10"/>
  <c r="E20" i="10"/>
  <c r="E12" i="10"/>
  <c r="E8" i="10"/>
  <c r="E4" i="10"/>
  <c r="O251" i="1"/>
  <c r="D5" i="7"/>
  <c r="D61" i="7"/>
  <c r="D33" i="7"/>
  <c r="C8" i="7"/>
  <c r="F21" i="2"/>
  <c r="F145" i="2"/>
  <c r="C257" i="2"/>
  <c r="C257" i="7"/>
  <c r="C241" i="2"/>
  <c r="C241" i="7"/>
  <c r="C225" i="2"/>
  <c r="C225" i="7"/>
  <c r="C209" i="2"/>
  <c r="C209" i="7"/>
  <c r="D6" i="2"/>
  <c r="D6" i="7"/>
  <c r="C2" i="7"/>
  <c r="B5" i="7"/>
  <c r="C6" i="7"/>
  <c r="D197" i="7"/>
  <c r="D21" i="7"/>
  <c r="F61" i="2"/>
  <c r="F149" i="2"/>
  <c r="F245" i="2"/>
  <c r="F249" i="2"/>
  <c r="F253" i="2"/>
  <c r="B8" i="2"/>
  <c r="B8" i="7"/>
  <c r="C21" i="2"/>
  <c r="C21" i="7"/>
  <c r="C5" i="2"/>
  <c r="C5" i="7"/>
  <c r="D2" i="2"/>
  <c r="D2" i="7"/>
  <c r="F244" i="2"/>
  <c r="B6" i="2"/>
  <c r="B6" i="7"/>
  <c r="B2" i="2"/>
  <c r="B2" i="7"/>
  <c r="D172" i="2"/>
  <c r="D172" i="7"/>
  <c r="D156" i="2"/>
  <c r="D156" i="7"/>
  <c r="D148" i="2"/>
  <c r="D148" i="7"/>
  <c r="D8" i="2"/>
  <c r="D8" i="7"/>
  <c r="B155" i="7"/>
  <c r="B147" i="7"/>
  <c r="B139" i="7"/>
  <c r="D229" i="7"/>
  <c r="D129" i="7"/>
  <c r="D117" i="7"/>
  <c r="D245" i="2"/>
  <c r="F19" i="2"/>
  <c r="F47" i="2"/>
  <c r="F63" i="2"/>
  <c r="F71" i="2"/>
  <c r="F91" i="2"/>
  <c r="F103" i="2"/>
  <c r="F123" i="2"/>
  <c r="F131" i="2"/>
  <c r="F147" i="2"/>
  <c r="F159" i="2"/>
  <c r="F167" i="2"/>
  <c r="F191" i="2"/>
  <c r="F207" i="2"/>
  <c r="F227" i="2"/>
  <c r="F243" i="2"/>
  <c r="F251" i="2"/>
  <c r="F258" i="2"/>
  <c r="B167" i="2"/>
  <c r="B159" i="2"/>
  <c r="B131" i="2"/>
  <c r="B123" i="2"/>
  <c r="B115" i="2"/>
  <c r="B107" i="2"/>
  <c r="B99" i="2"/>
  <c r="B91" i="2"/>
  <c r="B83" i="2"/>
  <c r="B75" i="2"/>
  <c r="B67" i="2"/>
  <c r="B59" i="2"/>
  <c r="B51" i="2"/>
  <c r="B43" i="2"/>
  <c r="B35" i="2"/>
  <c r="B27" i="2"/>
  <c r="B23" i="2"/>
  <c r="C132" i="2"/>
  <c r="C124" i="2"/>
  <c r="C116" i="2"/>
  <c r="C108" i="2"/>
  <c r="C100" i="2"/>
  <c r="C92" i="2"/>
  <c r="C84" i="2"/>
  <c r="C72" i="2"/>
  <c r="C64" i="2"/>
  <c r="C56" i="2"/>
  <c r="C48" i="2"/>
  <c r="C40" i="2"/>
  <c r="C32" i="2"/>
  <c r="F24" i="2"/>
  <c r="F48" i="2"/>
  <c r="F56" i="2"/>
  <c r="F64" i="2"/>
  <c r="F88" i="2"/>
  <c r="F96" i="2"/>
  <c r="F112" i="2"/>
  <c r="F172" i="2"/>
  <c r="D160" i="2"/>
  <c r="D152" i="2"/>
  <c r="F25" i="2"/>
  <c r="F9" i="2"/>
  <c r="F17" i="2"/>
  <c r="F33" i="2"/>
  <c r="F57" i="2"/>
  <c r="F65" i="2"/>
  <c r="F113" i="2"/>
  <c r="F173" i="2"/>
  <c r="F201" i="2"/>
  <c r="F225" i="2"/>
  <c r="B17" i="2"/>
  <c r="B13" i="2"/>
  <c r="B9" i="2"/>
  <c r="C18" i="2"/>
  <c r="C14" i="2"/>
  <c r="C10" i="2"/>
  <c r="D15" i="2"/>
  <c r="D11" i="2"/>
  <c r="F7" i="2"/>
  <c r="F27" i="2"/>
  <c r="F51" i="2"/>
  <c r="F87" i="2"/>
  <c r="F99" i="2"/>
  <c r="F119" i="2"/>
  <c r="F127" i="2"/>
  <c r="F143" i="2"/>
  <c r="F151" i="2"/>
  <c r="F195" i="2"/>
  <c r="F203" i="2"/>
  <c r="F211" i="2"/>
  <c r="F219" i="2"/>
  <c r="F239" i="2"/>
  <c r="F247" i="2"/>
  <c r="F254" i="2"/>
  <c r="B151" i="2"/>
  <c r="B143" i="2"/>
  <c r="B135" i="2"/>
  <c r="B127" i="2"/>
  <c r="B119" i="2"/>
  <c r="B111" i="2"/>
  <c r="B103" i="2"/>
  <c r="B95" i="2"/>
  <c r="B87" i="2"/>
  <c r="B79" i="2"/>
  <c r="B71" i="2"/>
  <c r="B63" i="2"/>
  <c r="B55" i="2"/>
  <c r="B47" i="2"/>
  <c r="B39" i="2"/>
  <c r="B31" i="2"/>
  <c r="C128" i="2"/>
  <c r="C120" i="2"/>
  <c r="C112" i="2"/>
  <c r="C104" i="2"/>
  <c r="C96" i="2"/>
  <c r="C88" i="2"/>
  <c r="C80" i="2"/>
  <c r="C76" i="2"/>
  <c r="C68" i="2"/>
  <c r="C60" i="2"/>
  <c r="C52" i="2"/>
  <c r="C44" i="2"/>
  <c r="C36" i="2"/>
  <c r="C28" i="2"/>
  <c r="C24" i="2"/>
  <c r="D181" i="2"/>
  <c r="F30" i="2"/>
  <c r="F44" i="2"/>
  <c r="F84" i="2"/>
  <c r="F100" i="2"/>
  <c r="F108" i="2"/>
  <c r="F116" i="2"/>
  <c r="F144" i="2"/>
  <c r="F152" i="2"/>
  <c r="F160" i="2"/>
  <c r="F176" i="2"/>
  <c r="F248" i="2"/>
  <c r="D168" i="2"/>
  <c r="D144" i="2"/>
  <c r="D136" i="2"/>
  <c r="F89" i="2"/>
  <c r="F97" i="2"/>
  <c r="F121" i="2"/>
  <c r="F141" i="2"/>
  <c r="F169" i="2"/>
  <c r="F185" i="2"/>
  <c r="F193" i="2"/>
  <c r="F213" i="2"/>
  <c r="F229" i="2"/>
  <c r="F237" i="2"/>
  <c r="F18" i="2"/>
  <c r="F22" i="2"/>
  <c r="F34" i="2"/>
  <c r="F38" i="2"/>
  <c r="F46" i="2"/>
  <c r="F50" i="2"/>
  <c r="F58" i="2"/>
  <c r="F62" i="2"/>
  <c r="F70" i="2"/>
  <c r="F86" i="2"/>
  <c r="F90" i="2"/>
  <c r="F110" i="2"/>
  <c r="F126" i="2"/>
  <c r="F130" i="2"/>
  <c r="F134" i="2"/>
  <c r="F142" i="2"/>
  <c r="F146" i="2"/>
  <c r="F150" i="2"/>
  <c r="F166" i="2"/>
  <c r="F170" i="2"/>
  <c r="F174" i="2"/>
  <c r="F178" i="2"/>
  <c r="F182" i="2"/>
  <c r="F202" i="2"/>
  <c r="F214" i="2"/>
  <c r="F218" i="2"/>
  <c r="F230" i="2"/>
  <c r="F238" i="2"/>
  <c r="F246" i="2"/>
  <c r="F250" i="2"/>
  <c r="B252" i="2"/>
  <c r="B240" i="2"/>
  <c r="B228" i="2"/>
  <c r="B220" i="2"/>
  <c r="B208" i="2"/>
  <c r="B196" i="2"/>
  <c r="B180" i="2"/>
  <c r="B160" i="2"/>
  <c r="B148" i="2"/>
  <c r="B136" i="2"/>
  <c r="B124" i="2"/>
  <c r="B112" i="2"/>
  <c r="B104" i="2"/>
  <c r="B92" i="2"/>
  <c r="B76" i="2"/>
  <c r="B68" i="2"/>
  <c r="B60" i="2"/>
  <c r="B48" i="2"/>
  <c r="B36" i="2"/>
  <c r="C253" i="2"/>
  <c r="C229" i="2"/>
  <c r="C217" i="2"/>
  <c r="C205" i="2"/>
  <c r="C197" i="2"/>
  <c r="C185" i="2"/>
  <c r="C173" i="2"/>
  <c r="C161" i="2"/>
  <c r="C149" i="2"/>
  <c r="C137" i="2"/>
  <c r="C125" i="2"/>
  <c r="C113" i="2"/>
  <c r="C97" i="2"/>
  <c r="C85" i="2"/>
  <c r="C73" i="2"/>
  <c r="C61" i="2"/>
  <c r="C49" i="2"/>
  <c r="C37" i="2"/>
  <c r="C25" i="2"/>
  <c r="D258" i="2"/>
  <c r="D246" i="2"/>
  <c r="D234" i="2"/>
  <c r="D222" i="2"/>
  <c r="D210" i="2"/>
  <c r="D198" i="2"/>
  <c r="D186" i="2"/>
  <c r="D174" i="2"/>
  <c r="D162" i="2"/>
  <c r="D150" i="2"/>
  <c r="D138" i="2"/>
  <c r="D126" i="2"/>
  <c r="D114" i="2"/>
  <c r="D102" i="2"/>
  <c r="D90" i="2"/>
  <c r="D78" i="2"/>
  <c r="D66" i="2"/>
  <c r="D54" i="2"/>
  <c r="D42" i="2"/>
  <c r="D30" i="2"/>
  <c r="B243" i="2"/>
  <c r="B231" i="2"/>
  <c r="B223" i="2"/>
  <c r="B207" i="2"/>
  <c r="B195" i="2"/>
  <c r="B187" i="2"/>
  <c r="B179" i="2"/>
  <c r="C256" i="2"/>
  <c r="C252" i="2"/>
  <c r="C248" i="2"/>
  <c r="C244" i="2"/>
  <c r="C240" i="2"/>
  <c r="C236" i="2"/>
  <c r="C232" i="2"/>
  <c r="C228" i="2"/>
  <c r="C224" i="2"/>
  <c r="C220" i="2"/>
  <c r="C216" i="2"/>
  <c r="C212" i="2"/>
  <c r="C208" i="2"/>
  <c r="C204" i="2"/>
  <c r="C200" i="2"/>
  <c r="C196" i="2"/>
  <c r="C192" i="2"/>
  <c r="C188" i="2"/>
  <c r="C184" i="2"/>
  <c r="C180" i="2"/>
  <c r="C176" i="2"/>
  <c r="C172" i="2"/>
  <c r="C168" i="2"/>
  <c r="C164" i="2"/>
  <c r="C160" i="2"/>
  <c r="C156" i="2"/>
  <c r="C152" i="2"/>
  <c r="C148" i="2"/>
  <c r="C144" i="2"/>
  <c r="C140" i="2"/>
  <c r="C136" i="2"/>
  <c r="D257" i="2"/>
  <c r="D253" i="2"/>
  <c r="D249" i="2"/>
  <c r="D241" i="2"/>
  <c r="D237" i="2"/>
  <c r="D233" i="2"/>
  <c r="D225" i="2"/>
  <c r="D221" i="2"/>
  <c r="D217" i="2"/>
  <c r="D209" i="2"/>
  <c r="D205" i="2"/>
  <c r="D201" i="2"/>
  <c r="D193" i="2"/>
  <c r="D189" i="2"/>
  <c r="D185" i="2"/>
  <c r="D177" i="2"/>
  <c r="D173" i="2"/>
  <c r="D169" i="2"/>
  <c r="D165" i="2"/>
  <c r="D161" i="2"/>
  <c r="D157" i="2"/>
  <c r="D153" i="2"/>
  <c r="D149" i="2"/>
  <c r="D145" i="2"/>
  <c r="D141" i="2"/>
  <c r="D137" i="2"/>
  <c r="B256" i="2"/>
  <c r="B244" i="2"/>
  <c r="B232" i="2"/>
  <c r="B212" i="2"/>
  <c r="B200" i="2"/>
  <c r="B188" i="2"/>
  <c r="B176" i="2"/>
  <c r="B168" i="2"/>
  <c r="B156" i="2"/>
  <c r="B144" i="2"/>
  <c r="B132" i="2"/>
  <c r="B120" i="2"/>
  <c r="B108" i="2"/>
  <c r="B96" i="2"/>
  <c r="B84" i="2"/>
  <c r="B72" i="2"/>
  <c r="B56" i="2"/>
  <c r="B44" i="2"/>
  <c r="B32" i="2"/>
  <c r="B24" i="2"/>
  <c r="C245" i="2"/>
  <c r="C233" i="2"/>
  <c r="C221" i="2"/>
  <c r="C169" i="2"/>
  <c r="C157" i="2"/>
  <c r="C145" i="2"/>
  <c r="C133" i="2"/>
  <c r="C121" i="2"/>
  <c r="C109" i="2"/>
  <c r="C101" i="2"/>
  <c r="C89" i="2"/>
  <c r="C77" i="2"/>
  <c r="C65" i="2"/>
  <c r="C53" i="2"/>
  <c r="C41" i="2"/>
  <c r="C29" i="2"/>
  <c r="D250" i="2"/>
  <c r="D238" i="2"/>
  <c r="D226" i="2"/>
  <c r="D214" i="2"/>
  <c r="D202" i="2"/>
  <c r="D190" i="2"/>
  <c r="D178" i="2"/>
  <c r="D166" i="2"/>
  <c r="D154" i="2"/>
  <c r="D142" i="2"/>
  <c r="D130" i="2"/>
  <c r="D118" i="2"/>
  <c r="D106" i="2"/>
  <c r="D94" i="2"/>
  <c r="D82" i="2"/>
  <c r="D70" i="2"/>
  <c r="D58" i="2"/>
  <c r="D46" i="2"/>
  <c r="D34" i="2"/>
  <c r="B251" i="2"/>
  <c r="B239" i="2"/>
  <c r="B235" i="2"/>
  <c r="B215" i="2"/>
  <c r="B211" i="2"/>
  <c r="B199" i="2"/>
  <c r="B183" i="2"/>
  <c r="B258" i="2"/>
  <c r="B254" i="2"/>
  <c r="B250" i="2"/>
  <c r="B246" i="2"/>
  <c r="B242" i="2"/>
  <c r="B238" i="2"/>
  <c r="B234" i="2"/>
  <c r="B230" i="2"/>
  <c r="B226" i="2"/>
  <c r="B222" i="2"/>
  <c r="B218" i="2"/>
  <c r="B214" i="2"/>
  <c r="B210" i="2"/>
  <c r="B206" i="2"/>
  <c r="B202" i="2"/>
  <c r="B198" i="2"/>
  <c r="B194" i="2"/>
  <c r="B190" i="2"/>
  <c r="B186" i="2"/>
  <c r="B182" i="2"/>
  <c r="B178" i="2"/>
  <c r="B174" i="2"/>
  <c r="B170" i="2"/>
  <c r="B166" i="2"/>
  <c r="B162" i="2"/>
  <c r="B158" i="2"/>
  <c r="B154" i="2"/>
  <c r="B150" i="2"/>
  <c r="B146" i="2"/>
  <c r="B142" i="2"/>
  <c r="B138" i="2"/>
  <c r="B134" i="2"/>
  <c r="B130" i="2"/>
  <c r="B126" i="2"/>
  <c r="B122" i="2"/>
  <c r="B118" i="2"/>
  <c r="B114" i="2"/>
  <c r="B110" i="2"/>
  <c r="B106" i="2"/>
  <c r="B102" i="2"/>
  <c r="B98" i="2"/>
  <c r="B94" i="2"/>
  <c r="B90" i="2"/>
  <c r="B86" i="2"/>
  <c r="B82" i="2"/>
  <c r="B78" i="2"/>
  <c r="B74" i="2"/>
  <c r="B70" i="2"/>
  <c r="B66" i="2"/>
  <c r="B62" i="2"/>
  <c r="B58" i="2"/>
  <c r="B54" i="2"/>
  <c r="B50" i="2"/>
  <c r="B46" i="2"/>
  <c r="B42" i="2"/>
  <c r="B38" i="2"/>
  <c r="B34" i="2"/>
  <c r="B30" i="2"/>
  <c r="B26" i="2"/>
  <c r="B22" i="2"/>
  <c r="C255" i="2"/>
  <c r="C251" i="2"/>
  <c r="C247" i="2"/>
  <c r="C243" i="2"/>
  <c r="C239" i="2"/>
  <c r="C235" i="2"/>
  <c r="C231" i="2"/>
  <c r="C227" i="2"/>
  <c r="C223" i="2"/>
  <c r="C219" i="2"/>
  <c r="C215" i="2"/>
  <c r="C211" i="2"/>
  <c r="C207" i="2"/>
  <c r="C203" i="2"/>
  <c r="C199" i="2"/>
  <c r="C195" i="2"/>
  <c r="C191" i="2"/>
  <c r="C187" i="2"/>
  <c r="C183" i="2"/>
  <c r="C179" i="2"/>
  <c r="C175" i="2"/>
  <c r="C171" i="2"/>
  <c r="C167" i="2"/>
  <c r="C163" i="2"/>
  <c r="C159" i="2"/>
  <c r="C155" i="2"/>
  <c r="C151" i="2"/>
  <c r="C147" i="2"/>
  <c r="C143" i="2"/>
  <c r="C139" i="2"/>
  <c r="C135" i="2"/>
  <c r="C131" i="2"/>
  <c r="C127" i="2"/>
  <c r="C123" i="2"/>
  <c r="C119" i="2"/>
  <c r="C115" i="2"/>
  <c r="C111" i="2"/>
  <c r="C107" i="2"/>
  <c r="C103" i="2"/>
  <c r="C99" i="2"/>
  <c r="C95" i="2"/>
  <c r="C91" i="2"/>
  <c r="C87" i="2"/>
  <c r="C83" i="2"/>
  <c r="C79" i="2"/>
  <c r="C75" i="2"/>
  <c r="C71" i="2"/>
  <c r="C67" i="2"/>
  <c r="C63" i="2"/>
  <c r="C59" i="2"/>
  <c r="C55" i="2"/>
  <c r="C51" i="2"/>
  <c r="C47" i="2"/>
  <c r="C43" i="2"/>
  <c r="C39" i="2"/>
  <c r="C35" i="2"/>
  <c r="C31" i="2"/>
  <c r="C27" i="2"/>
  <c r="C23" i="2"/>
  <c r="C19" i="2"/>
  <c r="D256" i="2"/>
  <c r="D252" i="2"/>
  <c r="D248" i="2"/>
  <c r="D244" i="2"/>
  <c r="D240" i="2"/>
  <c r="D236" i="2"/>
  <c r="D232" i="2"/>
  <c r="D228" i="2"/>
  <c r="D224" i="2"/>
  <c r="D220" i="2"/>
  <c r="D216" i="2"/>
  <c r="D212" i="2"/>
  <c r="D208" i="2"/>
  <c r="D204" i="2"/>
  <c r="D200" i="2"/>
  <c r="D196" i="2"/>
  <c r="D192" i="2"/>
  <c r="D188" i="2"/>
  <c r="D184" i="2"/>
  <c r="D180" i="2"/>
  <c r="D176" i="2"/>
  <c r="D132" i="2"/>
  <c r="D128" i="2"/>
  <c r="D124" i="2"/>
  <c r="D120" i="2"/>
  <c r="D116" i="2"/>
  <c r="D112" i="2"/>
  <c r="D108" i="2"/>
  <c r="D104" i="2"/>
  <c r="D100" i="2"/>
  <c r="D96" i="2"/>
  <c r="D92" i="2"/>
  <c r="D88" i="2"/>
  <c r="D84" i="2"/>
  <c r="D80" i="2"/>
  <c r="D76" i="2"/>
  <c r="D72" i="2"/>
  <c r="D68" i="2"/>
  <c r="D64" i="2"/>
  <c r="D60" i="2"/>
  <c r="D56" i="2"/>
  <c r="D52" i="2"/>
  <c r="D48" i="2"/>
  <c r="D44" i="2"/>
  <c r="D40" i="2"/>
  <c r="D36" i="2"/>
  <c r="D32" i="2"/>
  <c r="D28" i="2"/>
  <c r="D24" i="2"/>
  <c r="D20" i="2"/>
  <c r="B248" i="2"/>
  <c r="B236" i="2"/>
  <c r="B224" i="2"/>
  <c r="B216" i="2"/>
  <c r="B204" i="2"/>
  <c r="B192" i="2"/>
  <c r="B184" i="2"/>
  <c r="B172" i="2"/>
  <c r="B164" i="2"/>
  <c r="B152" i="2"/>
  <c r="B140" i="2"/>
  <c r="B128" i="2"/>
  <c r="B116" i="2"/>
  <c r="B100" i="2"/>
  <c r="B88" i="2"/>
  <c r="B80" i="2"/>
  <c r="B64" i="2"/>
  <c r="B52" i="2"/>
  <c r="B40" i="2"/>
  <c r="B28" i="2"/>
  <c r="C249" i="2"/>
  <c r="C237" i="2"/>
  <c r="C213" i="2"/>
  <c r="C201" i="2"/>
  <c r="C189" i="2"/>
  <c r="C181" i="2"/>
  <c r="C165" i="2"/>
  <c r="C153" i="2"/>
  <c r="C141" i="2"/>
  <c r="C129" i="2"/>
  <c r="C117" i="2"/>
  <c r="C105" i="2"/>
  <c r="C93" i="2"/>
  <c r="C81" i="2"/>
  <c r="C69" i="2"/>
  <c r="C57" i="2"/>
  <c r="C45" i="2"/>
  <c r="C33" i="2"/>
  <c r="D254" i="2"/>
  <c r="D242" i="2"/>
  <c r="D230" i="2"/>
  <c r="D218" i="2"/>
  <c r="D206" i="2"/>
  <c r="D194" i="2"/>
  <c r="D182" i="2"/>
  <c r="D170" i="2"/>
  <c r="D158" i="2"/>
  <c r="D146" i="2"/>
  <c r="D134" i="2"/>
  <c r="D122" i="2"/>
  <c r="D110" i="2"/>
  <c r="D98" i="2"/>
  <c r="D86" i="2"/>
  <c r="D74" i="2"/>
  <c r="D62" i="2"/>
  <c r="D50" i="2"/>
  <c r="D38" i="2"/>
  <c r="D26" i="2"/>
  <c r="D22" i="2"/>
  <c r="N130" i="1"/>
  <c r="B255" i="2"/>
  <c r="B247" i="2"/>
  <c r="B227" i="2"/>
  <c r="B219" i="2"/>
  <c r="B203" i="2"/>
  <c r="B191" i="2"/>
  <c r="B175" i="2"/>
  <c r="G232" i="2"/>
  <c r="B257" i="2"/>
  <c r="B253" i="2"/>
  <c r="B249" i="2"/>
  <c r="B245" i="2"/>
  <c r="B241" i="2"/>
  <c r="B237" i="2"/>
  <c r="B233" i="2"/>
  <c r="B229" i="2"/>
  <c r="B225" i="2"/>
  <c r="B221" i="2"/>
  <c r="B217" i="2"/>
  <c r="B213" i="2"/>
  <c r="B209" i="2"/>
  <c r="B205" i="2"/>
  <c r="B201" i="2"/>
  <c r="B197" i="2"/>
  <c r="B193" i="2"/>
  <c r="B189" i="2"/>
  <c r="B185" i="2"/>
  <c r="B181" i="2"/>
  <c r="B177" i="2"/>
  <c r="B173" i="2"/>
  <c r="B169" i="2"/>
  <c r="B165" i="2"/>
  <c r="B161" i="2"/>
  <c r="B157" i="2"/>
  <c r="B153" i="2"/>
  <c r="B149" i="2"/>
  <c r="B145" i="2"/>
  <c r="B141" i="2"/>
  <c r="B137" i="2"/>
  <c r="B133" i="2"/>
  <c r="B129" i="2"/>
  <c r="B125" i="2"/>
  <c r="B121" i="2"/>
  <c r="B117" i="2"/>
  <c r="B113" i="2"/>
  <c r="B109" i="2"/>
  <c r="B105" i="2"/>
  <c r="B101" i="2"/>
  <c r="B97" i="2"/>
  <c r="B93" i="2"/>
  <c r="B89" i="2"/>
  <c r="B85" i="2"/>
  <c r="B81" i="2"/>
  <c r="B77" i="2"/>
  <c r="B73" i="2"/>
  <c r="B69" i="2"/>
  <c r="B65" i="2"/>
  <c r="B61" i="2"/>
  <c r="B57" i="2"/>
  <c r="B53" i="2"/>
  <c r="B49" i="2"/>
  <c r="B45" i="2"/>
  <c r="B41" i="2"/>
  <c r="B37" i="2"/>
  <c r="B33" i="2"/>
  <c r="B29" i="2"/>
  <c r="B25" i="2"/>
  <c r="B21" i="2"/>
  <c r="C258" i="2"/>
  <c r="C254" i="2"/>
  <c r="C250" i="2"/>
  <c r="C246" i="2"/>
  <c r="C242" i="2"/>
  <c r="C238" i="2"/>
  <c r="C234" i="2"/>
  <c r="C230" i="2"/>
  <c r="C226" i="2"/>
  <c r="C222" i="2"/>
  <c r="C218" i="2"/>
  <c r="C214" i="2"/>
  <c r="C210" i="2"/>
  <c r="C206" i="2"/>
  <c r="C202" i="2"/>
  <c r="C198" i="2"/>
  <c r="C194" i="2"/>
  <c r="C190" i="2"/>
  <c r="C186" i="2"/>
  <c r="C182" i="2"/>
  <c r="C178" i="2"/>
  <c r="C174" i="2"/>
  <c r="C170" i="2"/>
  <c r="C166" i="2"/>
  <c r="C162" i="2"/>
  <c r="C158" i="2"/>
  <c r="C154" i="2"/>
  <c r="C150" i="2"/>
  <c r="C146" i="2"/>
  <c r="C142" i="2"/>
  <c r="C138" i="2"/>
  <c r="C134" i="2"/>
  <c r="C130" i="2"/>
  <c r="C126" i="2"/>
  <c r="C122" i="2"/>
  <c r="C118" i="2"/>
  <c r="C114" i="2"/>
  <c r="C110" i="2"/>
  <c r="C106" i="2"/>
  <c r="C102" i="2"/>
  <c r="C98" i="2"/>
  <c r="C94" i="2"/>
  <c r="C90" i="2"/>
  <c r="C86" i="2"/>
  <c r="C82" i="2"/>
  <c r="C78" i="2"/>
  <c r="C74" i="2"/>
  <c r="C70" i="2"/>
  <c r="C66" i="2"/>
  <c r="C62" i="2"/>
  <c r="C58" i="2"/>
  <c r="C54" i="2"/>
  <c r="C50" i="2"/>
  <c r="C46" i="2"/>
  <c r="C42" i="2"/>
  <c r="C38" i="2"/>
  <c r="C34" i="2"/>
  <c r="C30" i="2"/>
  <c r="C26" i="2"/>
  <c r="C22" i="2"/>
  <c r="D255" i="2"/>
  <c r="D251" i="2"/>
  <c r="D247" i="2"/>
  <c r="D243" i="2"/>
  <c r="D239" i="2"/>
  <c r="D235" i="2"/>
  <c r="D231" i="2"/>
  <c r="D227" i="2"/>
  <c r="D223" i="2"/>
  <c r="D219" i="2"/>
  <c r="D215" i="2"/>
  <c r="D211" i="2"/>
  <c r="D207" i="2"/>
  <c r="D203" i="2"/>
  <c r="D199" i="2"/>
  <c r="D195" i="2"/>
  <c r="D191" i="2"/>
  <c r="D187" i="2"/>
  <c r="D183" i="2"/>
  <c r="D179" i="2"/>
  <c r="D175" i="2"/>
  <c r="D171" i="2"/>
  <c r="D167" i="2"/>
  <c r="D163" i="2"/>
  <c r="D159" i="2"/>
  <c r="D155" i="2"/>
  <c r="D151" i="2"/>
  <c r="D147" i="2"/>
  <c r="D143" i="2"/>
  <c r="D139" i="2"/>
  <c r="D135" i="2"/>
  <c r="D131" i="2"/>
  <c r="D127" i="2"/>
  <c r="D123" i="2"/>
  <c r="D119" i="2"/>
  <c r="D115" i="2"/>
  <c r="D111" i="2"/>
  <c r="D107" i="2"/>
  <c r="D103" i="2"/>
  <c r="D99" i="2"/>
  <c r="D95" i="2"/>
  <c r="D91" i="2"/>
  <c r="D87" i="2"/>
  <c r="D83" i="2"/>
  <c r="D79" i="2"/>
  <c r="D75" i="2"/>
  <c r="D71" i="2"/>
  <c r="D67" i="2"/>
  <c r="D63" i="2"/>
  <c r="D59" i="2"/>
  <c r="D55" i="2"/>
  <c r="D51" i="2"/>
  <c r="D47" i="2"/>
  <c r="D43" i="2"/>
  <c r="D39" i="2"/>
  <c r="D35" i="2"/>
  <c r="D31" i="2"/>
  <c r="D27" i="2"/>
  <c r="D23" i="2"/>
  <c r="D19" i="2"/>
  <c r="N191" i="1"/>
  <c r="I188" i="1"/>
  <c r="N209" i="1"/>
  <c r="G209" i="7" s="1"/>
  <c r="N189" i="1"/>
  <c r="N165" i="1"/>
  <c r="I148" i="1"/>
  <c r="F148" i="2"/>
  <c r="I252" i="1"/>
  <c r="F252" i="2"/>
  <c r="K159" i="1"/>
  <c r="N239" i="1"/>
  <c r="N159" i="1"/>
  <c r="I168" i="1"/>
  <c r="F168" i="2"/>
  <c r="N38" i="1"/>
  <c r="N121" i="1"/>
  <c r="N218" i="1"/>
  <c r="H226" i="1"/>
  <c r="N226" i="1"/>
  <c r="G226" i="7" s="1"/>
  <c r="N48" i="1"/>
  <c r="N34" i="1"/>
  <c r="N257" i="1"/>
  <c r="G257" i="7" s="1"/>
  <c r="K256" i="1"/>
  <c r="N255" i="1"/>
  <c r="G255" i="7" s="1"/>
  <c r="N251" i="1"/>
  <c r="G251" i="7" s="1"/>
  <c r="J244" i="1"/>
  <c r="K244" i="1" s="1"/>
  <c r="N242" i="1"/>
  <c r="N238" i="1"/>
  <c r="N237" i="1"/>
  <c r="N235" i="1"/>
  <c r="K235" i="1"/>
  <c r="N234" i="1"/>
  <c r="N233" i="1"/>
  <c r="G233" i="7" s="1"/>
  <c r="N231" i="1"/>
  <c r="G231" i="7" s="1"/>
  <c r="N229" i="1"/>
  <c r="G229" i="7" s="1"/>
  <c r="N223" i="1"/>
  <c r="N222" i="1"/>
  <c r="N221" i="1"/>
  <c r="N219" i="1"/>
  <c r="N217" i="1"/>
  <c r="K216" i="1"/>
  <c r="N216" i="1"/>
  <c r="N215" i="1"/>
  <c r="N213" i="1"/>
  <c r="N211" i="1"/>
  <c r="G211" i="7" s="1"/>
  <c r="J207" i="1"/>
  <c r="K207" i="1" s="1"/>
  <c r="N207" i="1" s="1"/>
  <c r="N206" i="1"/>
  <c r="J204" i="1"/>
  <c r="K204" i="1" s="1"/>
  <c r="L204" i="1" s="1"/>
  <c r="N201" i="1"/>
  <c r="N199" i="1"/>
  <c r="G199" i="7" s="1"/>
  <c r="K196" i="1"/>
  <c r="N194" i="1"/>
  <c r="N193" i="1"/>
  <c r="K191" i="1"/>
  <c r="N188" i="1"/>
  <c r="N187" i="1"/>
  <c r="N185" i="1"/>
  <c r="N183" i="1"/>
  <c r="N181" i="1"/>
  <c r="N180" i="1"/>
  <c r="J179" i="1"/>
  <c r="K179" i="1" s="1"/>
  <c r="L179" i="1" s="1"/>
  <c r="N178" i="1"/>
  <c r="K176" i="1"/>
  <c r="N173" i="1"/>
  <c r="G173" i="7" s="1"/>
  <c r="N171" i="1"/>
  <c r="K171" i="1"/>
  <c r="N169" i="1"/>
  <c r="N168" i="1"/>
  <c r="N167" i="1"/>
  <c r="N163" i="1"/>
  <c r="N162" i="1"/>
  <c r="I127" i="1"/>
  <c r="N131" i="1"/>
  <c r="N39" i="1"/>
  <c r="I135" i="1"/>
  <c r="N71" i="1"/>
  <c r="I123" i="1"/>
  <c r="I139" i="1"/>
  <c r="N27" i="1"/>
  <c r="G27" i="7" s="1"/>
  <c r="N202" i="1"/>
  <c r="N198" i="1"/>
  <c r="N182" i="1"/>
  <c r="N90" i="1"/>
  <c r="N114" i="1"/>
  <c r="G114" i="7" s="1"/>
  <c r="N78" i="1"/>
  <c r="G78" i="7" s="1"/>
  <c r="N18" i="1"/>
  <c r="N30" i="1"/>
  <c r="I46" i="1"/>
  <c r="I50" i="1"/>
  <c r="I54" i="1"/>
  <c r="I58" i="1"/>
  <c r="I62" i="1"/>
  <c r="N66" i="1"/>
  <c r="I70" i="1"/>
  <c r="I78" i="1"/>
  <c r="N82" i="1"/>
  <c r="I86" i="1"/>
  <c r="I90" i="1"/>
  <c r="I94" i="1"/>
  <c r="N98" i="1"/>
  <c r="G98" i="7" s="1"/>
  <c r="I102" i="1"/>
  <c r="I106" i="1"/>
  <c r="I110" i="1"/>
  <c r="I118" i="1"/>
  <c r="N154" i="1"/>
  <c r="G154" i="7" s="1"/>
  <c r="N174" i="1"/>
  <c r="N158" i="1"/>
  <c r="N106" i="1"/>
  <c r="G106" i="7" s="1"/>
  <c r="N14" i="1"/>
  <c r="N161" i="1"/>
  <c r="N153" i="1"/>
  <c r="G153" i="7" s="1"/>
  <c r="J151" i="1"/>
  <c r="K151" i="1" s="1"/>
  <c r="N140" i="1"/>
  <c r="N139" i="1"/>
  <c r="G139" i="7" s="1"/>
  <c r="K139" i="1"/>
  <c r="N136" i="1"/>
  <c r="N135" i="1"/>
  <c r="K135" i="1"/>
  <c r="N134" i="1"/>
  <c r="N133" i="1"/>
  <c r="N132" i="1"/>
  <c r="K131" i="1"/>
  <c r="N129" i="1"/>
  <c r="G129" i="7" s="1"/>
  <c r="J127" i="1"/>
  <c r="K127" i="1" s="1"/>
  <c r="N127" i="1" s="1"/>
  <c r="N126" i="1"/>
  <c r="G126" i="7" s="1"/>
  <c r="N125" i="1"/>
  <c r="N123" i="1"/>
  <c r="K122" i="1"/>
  <c r="C19" i="10" s="1"/>
  <c r="N122" i="1"/>
  <c r="G122" i="7" s="1"/>
  <c r="N119" i="1"/>
  <c r="N118" i="1"/>
  <c r="G118" i="7" s="1"/>
  <c r="N116" i="1"/>
  <c r="G116" i="7" s="1"/>
  <c r="N115" i="1"/>
  <c r="N107" i="1"/>
  <c r="K106" i="1"/>
  <c r="C13" i="10" s="1"/>
  <c r="N102" i="1"/>
  <c r="G102" i="7" s="1"/>
  <c r="N94" i="1"/>
  <c r="K94" i="1"/>
  <c r="N86" i="1"/>
  <c r="N83" i="1"/>
  <c r="K78" i="1"/>
  <c r="N76" i="1"/>
  <c r="N75" i="1"/>
  <c r="N62" i="1"/>
  <c r="K62" i="1"/>
  <c r="K54" i="1"/>
  <c r="N52" i="1"/>
  <c r="N50" i="1"/>
  <c r="K46" i="1"/>
  <c r="N44" i="1"/>
  <c r="H66" i="1"/>
  <c r="I82" i="1"/>
  <c r="I74" i="1"/>
  <c r="N79" i="1"/>
  <c r="G79" i="7" s="1"/>
  <c r="H79" i="1"/>
  <c r="H98" i="1"/>
  <c r="N55" i="1"/>
  <c r="K50" i="1"/>
  <c r="J58" i="1"/>
  <c r="K58" i="1" s="1"/>
  <c r="L58" i="1" s="1"/>
  <c r="K74" i="1"/>
  <c r="N95" i="1"/>
  <c r="H95" i="1"/>
  <c r="J110" i="1"/>
  <c r="K110" i="1" s="1"/>
  <c r="H114" i="1"/>
  <c r="K130" i="1"/>
  <c r="K134" i="1"/>
  <c r="K140" i="1"/>
  <c r="J143" i="1"/>
  <c r="K143" i="1" s="1"/>
  <c r="K155" i="1"/>
  <c r="C33" i="10" s="1"/>
  <c r="I155" i="1"/>
  <c r="J160" i="1"/>
  <c r="K160" i="1" s="1"/>
  <c r="L160" i="1" s="1"/>
  <c r="K163" i="1"/>
  <c r="K180" i="1"/>
  <c r="K183" i="1"/>
  <c r="K211" i="1"/>
  <c r="L8" i="10" s="1"/>
  <c r="N92" i="1"/>
  <c r="G92" i="7" s="1"/>
  <c r="N74" i="1"/>
  <c r="N67" i="1"/>
  <c r="N60" i="1"/>
  <c r="G60" i="7" s="1"/>
  <c r="N54" i="1"/>
  <c r="N46" i="1"/>
  <c r="N23" i="1"/>
  <c r="H23" i="1"/>
  <c r="N59" i="1"/>
  <c r="K90" i="1"/>
  <c r="N111" i="1"/>
  <c r="G111" i="7" s="1"/>
  <c r="H111" i="1"/>
  <c r="K123" i="1"/>
  <c r="K128" i="1"/>
  <c r="K132" i="1"/>
  <c r="K136" i="1"/>
  <c r="J147" i="1"/>
  <c r="K147" i="1" s="1"/>
  <c r="J152" i="1"/>
  <c r="K152" i="1" s="1"/>
  <c r="K167" i="1"/>
  <c r="K172" i="1"/>
  <c r="C34" i="10" s="1"/>
  <c r="K187" i="1"/>
  <c r="K192" i="1"/>
  <c r="K215" i="1"/>
  <c r="K224" i="1"/>
  <c r="K231" i="1"/>
  <c r="C39" i="10" s="1"/>
  <c r="K236" i="1"/>
  <c r="J243" i="1"/>
  <c r="K243" i="1" s="1"/>
  <c r="K255" i="1"/>
  <c r="K7" i="1"/>
  <c r="K17" i="1"/>
  <c r="I17" i="1"/>
  <c r="K28" i="1"/>
  <c r="I42" i="1"/>
  <c r="K49" i="1"/>
  <c r="K53" i="1"/>
  <c r="I53" i="1"/>
  <c r="J57" i="1"/>
  <c r="K57" i="1" s="1"/>
  <c r="L57" i="1" s="1"/>
  <c r="K61" i="1"/>
  <c r="C8" i="10" s="1"/>
  <c r="I61" i="1"/>
  <c r="K88" i="1"/>
  <c r="K93" i="1"/>
  <c r="I93" i="1"/>
  <c r="K104" i="1"/>
  <c r="J109" i="1"/>
  <c r="K109" i="1" s="1"/>
  <c r="L109" i="1" s="1"/>
  <c r="I109" i="1"/>
  <c r="K177" i="1"/>
  <c r="I177" i="1"/>
  <c r="I195" i="1"/>
  <c r="K197" i="1"/>
  <c r="C35" i="10" s="1"/>
  <c r="I197" i="1"/>
  <c r="I203" i="1"/>
  <c r="K205" i="1"/>
  <c r="I205" i="1"/>
  <c r="N203" i="1"/>
  <c r="N195" i="1"/>
  <c r="N155" i="1"/>
  <c r="G155" i="7" s="1"/>
  <c r="K4" i="1"/>
  <c r="K8" i="1"/>
  <c r="I18" i="1"/>
  <c r="K22" i="1"/>
  <c r="C4" i="10" s="1"/>
  <c r="K29" i="1"/>
  <c r="K33" i="1"/>
  <c r="C5" i="10" s="1"/>
  <c r="K37" i="1"/>
  <c r="K43" i="1"/>
  <c r="K68" i="1"/>
  <c r="J70" i="1"/>
  <c r="K70" i="1" s="1"/>
  <c r="L70" i="1" s="1"/>
  <c r="K73" i="1"/>
  <c r="K75" i="1"/>
  <c r="I75" i="1"/>
  <c r="K84" i="1"/>
  <c r="K86" i="1"/>
  <c r="K89" i="1"/>
  <c r="J91" i="1"/>
  <c r="K91" i="1" s="1"/>
  <c r="I91" i="1"/>
  <c r="K100" i="1"/>
  <c r="K102" i="1"/>
  <c r="K105" i="1"/>
  <c r="K107" i="1"/>
  <c r="I107" i="1"/>
  <c r="K116" i="1"/>
  <c r="L5" i="10" s="1"/>
  <c r="K118" i="1"/>
  <c r="C18" i="10" s="1"/>
  <c r="K121" i="1"/>
  <c r="I121" i="1"/>
  <c r="K124" i="1"/>
  <c r="C20" i="10" s="1"/>
  <c r="I126" i="1"/>
  <c r="I131" i="1"/>
  <c r="K133" i="1"/>
  <c r="I133" i="1"/>
  <c r="K138" i="1"/>
  <c r="J144" i="1"/>
  <c r="K144" i="1" s="1"/>
  <c r="L144" i="1" s="1"/>
  <c r="O144" i="1" s="1"/>
  <c r="I147" i="1"/>
  <c r="J148" i="1"/>
  <c r="K148" i="1" s="1"/>
  <c r="I151" i="1"/>
  <c r="K153" i="1"/>
  <c r="C32" i="10" s="1"/>
  <c r="I153" i="1"/>
  <c r="K164" i="1"/>
  <c r="I167" i="1"/>
  <c r="K168" i="1"/>
  <c r="I171" i="1"/>
  <c r="K173" i="1"/>
  <c r="L7" i="10" s="1"/>
  <c r="I173" i="1"/>
  <c r="J175" i="1"/>
  <c r="K175" i="1" s="1"/>
  <c r="L175" i="1" s="1"/>
  <c r="K184" i="1"/>
  <c r="I187" i="1"/>
  <c r="K188" i="1"/>
  <c r="K193" i="1"/>
  <c r="I193" i="1"/>
  <c r="K195" i="1"/>
  <c r="K200" i="1"/>
  <c r="K203" i="1"/>
  <c r="J208" i="1"/>
  <c r="K208" i="1" s="1"/>
  <c r="L208" i="1" s="1"/>
  <c r="K213" i="1"/>
  <c r="I213" i="1"/>
  <c r="K221" i="1"/>
  <c r="I221" i="1"/>
  <c r="K11" i="1"/>
  <c r="K21" i="1"/>
  <c r="C3" i="10" s="1"/>
  <c r="I21" i="1"/>
  <c r="K32" i="1"/>
  <c r="K39" i="1"/>
  <c r="I39" i="1"/>
  <c r="J47" i="1"/>
  <c r="K47" i="1" s="1"/>
  <c r="I47" i="1"/>
  <c r="K51" i="1"/>
  <c r="I51" i="1"/>
  <c r="K55" i="1"/>
  <c r="I55" i="1"/>
  <c r="K59" i="1"/>
  <c r="I59" i="1"/>
  <c r="K63" i="1"/>
  <c r="I63" i="1"/>
  <c r="K72" i="1"/>
  <c r="I72" i="1"/>
  <c r="K77" i="1"/>
  <c r="K120" i="1"/>
  <c r="I120" i="1"/>
  <c r="K157" i="1"/>
  <c r="I157" i="1"/>
  <c r="J220" i="1"/>
  <c r="K220" i="1" s="1"/>
  <c r="L220" i="1" s="1"/>
  <c r="N210" i="1"/>
  <c r="N190" i="1"/>
  <c r="N186" i="1"/>
  <c r="N170" i="1"/>
  <c r="N166" i="1"/>
  <c r="N138" i="1"/>
  <c r="G138" i="7" s="1"/>
  <c r="N63" i="1"/>
  <c r="N7" i="1"/>
  <c r="K5" i="1"/>
  <c r="K9" i="1"/>
  <c r="K13" i="1"/>
  <c r="K16" i="1"/>
  <c r="I16" i="1"/>
  <c r="K19" i="1"/>
  <c r="K23" i="1"/>
  <c r="I26" i="1"/>
  <c r="I34" i="1"/>
  <c r="K38" i="1"/>
  <c r="I38" i="1"/>
  <c r="K40" i="1"/>
  <c r="K44" i="1"/>
  <c r="I44" i="1"/>
  <c r="K48" i="1"/>
  <c r="I48" i="1"/>
  <c r="K52" i="1"/>
  <c r="I52" i="1"/>
  <c r="J56" i="1"/>
  <c r="K56" i="1" s="1"/>
  <c r="L56" i="1" s="1"/>
  <c r="I56" i="1"/>
  <c r="K60" i="1"/>
  <c r="C7" i="10" s="1"/>
  <c r="I60" i="1"/>
  <c r="K64" i="1"/>
  <c r="K66" i="1"/>
  <c r="K69" i="1"/>
  <c r="L69" i="1" s="1"/>
  <c r="K71" i="1"/>
  <c r="I71" i="1"/>
  <c r="K80" i="1"/>
  <c r="K82" i="1"/>
  <c r="J85" i="1"/>
  <c r="K85" i="1" s="1"/>
  <c r="L85" i="1" s="1"/>
  <c r="J87" i="1"/>
  <c r="K87" i="1" s="1"/>
  <c r="L87" i="1" s="1"/>
  <c r="I87" i="1"/>
  <c r="J96" i="1"/>
  <c r="K96" i="1" s="1"/>
  <c r="K98" i="1"/>
  <c r="C12" i="10" s="1"/>
  <c r="J101" i="1"/>
  <c r="K101" i="1" s="1"/>
  <c r="L101" i="1" s="1"/>
  <c r="I101" i="1"/>
  <c r="J103" i="1"/>
  <c r="K103" i="1" s="1"/>
  <c r="L103" i="1" s="1"/>
  <c r="I103" i="1"/>
  <c r="J112" i="1"/>
  <c r="K112" i="1" s="1"/>
  <c r="K114" i="1"/>
  <c r="L4" i="10" s="1"/>
  <c r="K117" i="1"/>
  <c r="C17" i="10" s="1"/>
  <c r="K119" i="1"/>
  <c r="I119" i="1"/>
  <c r="K125" i="1"/>
  <c r="I125" i="1"/>
  <c r="I130" i="1"/>
  <c r="J145" i="1"/>
  <c r="K145" i="1" s="1"/>
  <c r="I145" i="1"/>
  <c r="J149" i="1"/>
  <c r="K149" i="1" s="1"/>
  <c r="I149" i="1"/>
  <c r="I163" i="1"/>
  <c r="K165" i="1"/>
  <c r="I165" i="1"/>
  <c r="K169" i="1"/>
  <c r="I169" i="1"/>
  <c r="I183" i="1"/>
  <c r="K185" i="1"/>
  <c r="I185" i="1"/>
  <c r="K189" i="1"/>
  <c r="I189" i="1"/>
  <c r="K201" i="1"/>
  <c r="I201" i="1"/>
  <c r="K209" i="1"/>
  <c r="I209" i="1"/>
  <c r="K239" i="1"/>
  <c r="I248" i="1"/>
  <c r="J248" i="1"/>
  <c r="K248" i="1" s="1"/>
  <c r="I138" i="1"/>
  <c r="K15" i="1"/>
  <c r="I15" i="1"/>
  <c r="K24" i="1"/>
  <c r="K36" i="1"/>
  <c r="K45" i="1"/>
  <c r="K79" i="1"/>
  <c r="L2" i="10" s="1"/>
  <c r="K95" i="1"/>
  <c r="K111" i="1"/>
  <c r="L3" i="10" s="1"/>
  <c r="K241" i="1"/>
  <c r="I241" i="1"/>
  <c r="N241" i="1"/>
  <c r="G241" i="7" s="1"/>
  <c r="N205" i="1"/>
  <c r="N197" i="1"/>
  <c r="G197" i="7" s="1"/>
  <c r="N177" i="1"/>
  <c r="N157" i="1"/>
  <c r="N124" i="1"/>
  <c r="G124" i="7" s="1"/>
  <c r="N120" i="1"/>
  <c r="N104" i="1"/>
  <c r="N88" i="1"/>
  <c r="N72" i="1"/>
  <c r="N51" i="1"/>
  <c r="N15" i="1"/>
  <c r="K6" i="1"/>
  <c r="I10" i="1"/>
  <c r="K14" i="1"/>
  <c r="K20" i="1"/>
  <c r="K27" i="1"/>
  <c r="K31" i="1"/>
  <c r="K35" i="1"/>
  <c r="K41" i="1"/>
  <c r="K65" i="1"/>
  <c r="K67" i="1"/>
  <c r="I67" i="1"/>
  <c r="K76" i="1"/>
  <c r="K81" i="1"/>
  <c r="K83" i="1"/>
  <c r="I83" i="1"/>
  <c r="K92" i="1"/>
  <c r="C10" i="10" s="1"/>
  <c r="K97" i="1"/>
  <c r="J99" i="1"/>
  <c r="K99" i="1" s="1"/>
  <c r="L99" i="1" s="1"/>
  <c r="I99" i="1"/>
  <c r="J108" i="1"/>
  <c r="K108" i="1" s="1"/>
  <c r="K113" i="1"/>
  <c r="K115" i="1"/>
  <c r="I115" i="1"/>
  <c r="I122" i="1"/>
  <c r="K129" i="1"/>
  <c r="I129" i="1"/>
  <c r="I134" i="1"/>
  <c r="K137" i="1"/>
  <c r="J141" i="1"/>
  <c r="K141" i="1" s="1"/>
  <c r="I141" i="1"/>
  <c r="K161" i="1"/>
  <c r="I161" i="1"/>
  <c r="I179" i="1"/>
  <c r="K181" i="1"/>
  <c r="I181" i="1"/>
  <c r="I199" i="1"/>
  <c r="K199" i="1"/>
  <c r="C36" i="10" s="1"/>
  <c r="I212" i="1"/>
  <c r="K212" i="1"/>
  <c r="I219" i="1"/>
  <c r="K219" i="1"/>
  <c r="K228" i="1"/>
  <c r="I211" i="1"/>
  <c r="I215" i="1"/>
  <c r="K217" i="1"/>
  <c r="I217" i="1"/>
  <c r="I231" i="1"/>
  <c r="K232" i="1"/>
  <c r="I235" i="1"/>
  <c r="K237" i="1"/>
  <c r="I237" i="1"/>
  <c r="I251" i="1"/>
  <c r="J252" i="1"/>
  <c r="K252" i="1" s="1"/>
  <c r="K257" i="1"/>
  <c r="I257" i="1"/>
  <c r="I256" i="1"/>
  <c r="I244" i="1"/>
  <c r="I240" i="1"/>
  <c r="I236" i="1"/>
  <c r="I228" i="1"/>
  <c r="I224" i="1"/>
  <c r="I220" i="1"/>
  <c r="I216" i="1"/>
  <c r="I208" i="1"/>
  <c r="I204" i="1"/>
  <c r="I200" i="1"/>
  <c r="I196" i="1"/>
  <c r="I192" i="1"/>
  <c r="I184" i="1"/>
  <c r="I180" i="1"/>
  <c r="I176" i="1"/>
  <c r="I172" i="1"/>
  <c r="I164" i="1"/>
  <c r="I160" i="1"/>
  <c r="I156" i="1"/>
  <c r="I152" i="1"/>
  <c r="I144" i="1"/>
  <c r="I140" i="1"/>
  <c r="I136" i="1"/>
  <c r="I128" i="1"/>
  <c r="I124" i="1"/>
  <c r="I227" i="1"/>
  <c r="K229" i="1"/>
  <c r="L10" i="10" s="1"/>
  <c r="I229" i="1"/>
  <c r="K233" i="1"/>
  <c r="C40" i="10" s="1"/>
  <c r="I233" i="1"/>
  <c r="I247" i="1"/>
  <c r="J249" i="1"/>
  <c r="K249" i="1" s="1"/>
  <c r="I249" i="1"/>
  <c r="J253" i="1"/>
  <c r="K253" i="1" s="1"/>
  <c r="I253" i="1"/>
  <c r="J225" i="1"/>
  <c r="K225" i="1" s="1"/>
  <c r="I225" i="1"/>
  <c r="J227" i="1"/>
  <c r="K227" i="1" s="1"/>
  <c r="K240" i="1"/>
  <c r="I243" i="1"/>
  <c r="J245" i="1"/>
  <c r="K245" i="1" s="1"/>
  <c r="I245" i="1"/>
  <c r="J247" i="1"/>
  <c r="K247" i="1" s="1"/>
  <c r="N100" i="1"/>
  <c r="N84" i="1"/>
  <c r="N68" i="1"/>
  <c r="I64" i="1"/>
  <c r="I80" i="1"/>
  <c r="I88" i="1"/>
  <c r="I96" i="1"/>
  <c r="I104" i="1"/>
  <c r="I112" i="1"/>
  <c r="I132" i="1"/>
  <c r="N256" i="1"/>
  <c r="G256" i="7" s="1"/>
  <c r="N240" i="1"/>
  <c r="G240" i="7" s="1"/>
  <c r="N236" i="1"/>
  <c r="N232" i="1"/>
  <c r="N228" i="1"/>
  <c r="N224" i="1"/>
  <c r="N212" i="1"/>
  <c r="N200" i="1"/>
  <c r="N196" i="1"/>
  <c r="N192" i="1"/>
  <c r="N184" i="1"/>
  <c r="N176" i="1"/>
  <c r="G176" i="7" s="1"/>
  <c r="N172" i="1"/>
  <c r="G172" i="7" s="1"/>
  <c r="N164" i="1"/>
  <c r="N156" i="1"/>
  <c r="G156" i="7" s="1"/>
  <c r="I68" i="1"/>
  <c r="I76" i="1"/>
  <c r="I84" i="1"/>
  <c r="I92" i="1"/>
  <c r="I100" i="1"/>
  <c r="I108" i="1"/>
  <c r="I116" i="1"/>
  <c r="N80" i="1"/>
  <c r="N64" i="1"/>
  <c r="N11" i="1"/>
  <c r="I7" i="1"/>
  <c r="I143" i="1"/>
  <c r="I159" i="1"/>
  <c r="I175" i="1"/>
  <c r="I191" i="1"/>
  <c r="I207" i="1"/>
  <c r="I223" i="1"/>
  <c r="I239" i="1"/>
  <c r="I255" i="1"/>
  <c r="I43" i="1"/>
  <c r="N43" i="1"/>
  <c r="K42" i="1"/>
  <c r="N42" i="1"/>
  <c r="N40" i="1"/>
  <c r="I40" i="1"/>
  <c r="N36" i="1"/>
  <c r="G36" i="7" s="1"/>
  <c r="I36" i="1"/>
  <c r="N35" i="1"/>
  <c r="I35" i="1"/>
  <c r="K34" i="1"/>
  <c r="I32" i="1"/>
  <c r="N32" i="1"/>
  <c r="I31" i="1"/>
  <c r="N31" i="1"/>
  <c r="I30" i="1"/>
  <c r="I28" i="1"/>
  <c r="N28" i="1"/>
  <c r="I27" i="1"/>
  <c r="K26" i="1"/>
  <c r="N26" i="1"/>
  <c r="G26" i="7" s="1"/>
  <c r="I24" i="1"/>
  <c r="N24" i="1"/>
  <c r="I22" i="1"/>
  <c r="N22" i="1"/>
  <c r="G22" i="7" s="1"/>
  <c r="N20" i="1"/>
  <c r="I20" i="1"/>
  <c r="N19" i="1"/>
  <c r="I19" i="1"/>
  <c r="K18" i="1"/>
  <c r="I14" i="1"/>
  <c r="I12" i="1"/>
  <c r="I11" i="1"/>
  <c r="K10" i="1"/>
  <c r="N10" i="1"/>
  <c r="I8" i="1"/>
  <c r="I6" i="1"/>
  <c r="N6" i="1"/>
  <c r="G6" i="7" s="1"/>
  <c r="I4" i="1"/>
  <c r="N137" i="1"/>
  <c r="G137" i="7" s="1"/>
  <c r="N117" i="1"/>
  <c r="G117" i="7" s="1"/>
  <c r="N113" i="1"/>
  <c r="N105" i="1"/>
  <c r="N97" i="1"/>
  <c r="N93" i="1"/>
  <c r="N89" i="1"/>
  <c r="N81" i="1"/>
  <c r="N77" i="1"/>
  <c r="N73" i="1"/>
  <c r="N65" i="1"/>
  <c r="N61" i="1"/>
  <c r="G61" i="7" s="1"/>
  <c r="N53" i="1"/>
  <c r="N49" i="1"/>
  <c r="N45" i="1"/>
  <c r="N41" i="1"/>
  <c r="N37" i="1"/>
  <c r="N33" i="1"/>
  <c r="G33" i="7" s="1"/>
  <c r="N29" i="1"/>
  <c r="L25" i="1"/>
  <c r="N21" i="1"/>
  <c r="G21" i="7" s="1"/>
  <c r="N17" i="1"/>
  <c r="N13" i="1"/>
  <c r="N9" i="1"/>
  <c r="N5" i="1"/>
  <c r="G5" i="7" s="1"/>
  <c r="I5" i="1"/>
  <c r="I9" i="1"/>
  <c r="I13" i="1"/>
  <c r="I25" i="1"/>
  <c r="I29" i="1"/>
  <c r="I33" i="1"/>
  <c r="I37" i="1"/>
  <c r="I41" i="1"/>
  <c r="I45" i="1"/>
  <c r="I49" i="1"/>
  <c r="I57" i="1"/>
  <c r="I65" i="1"/>
  <c r="I69" i="1"/>
  <c r="I73" i="1"/>
  <c r="I77" i="1"/>
  <c r="I81" i="1"/>
  <c r="I85" i="1"/>
  <c r="I89" i="1"/>
  <c r="I97" i="1"/>
  <c r="I105" i="1"/>
  <c r="I113" i="1"/>
  <c r="I117" i="1"/>
  <c r="K126" i="1"/>
  <c r="L6" i="10" s="1"/>
  <c r="I137" i="1"/>
  <c r="J146" i="1"/>
  <c r="K146" i="1" s="1"/>
  <c r="I146" i="1"/>
  <c r="K154" i="1"/>
  <c r="I154" i="1"/>
  <c r="K162" i="1"/>
  <c r="I162" i="1"/>
  <c r="K170" i="1"/>
  <c r="I170" i="1"/>
  <c r="K178" i="1"/>
  <c r="I178" i="1"/>
  <c r="K186" i="1"/>
  <c r="I186" i="1"/>
  <c r="K194" i="1"/>
  <c r="I194" i="1"/>
  <c r="K202" i="1"/>
  <c r="I202" i="1"/>
  <c r="K210" i="1"/>
  <c r="I210" i="1"/>
  <c r="K218" i="1"/>
  <c r="I218" i="1"/>
  <c r="K226" i="1"/>
  <c r="L9" i="10" s="1"/>
  <c r="K234" i="1"/>
  <c r="I234" i="1"/>
  <c r="K242" i="1"/>
  <c r="I242" i="1"/>
  <c r="J250" i="1"/>
  <c r="K250" i="1" s="1"/>
  <c r="I250" i="1"/>
  <c r="J258" i="1"/>
  <c r="K258" i="1" s="1"/>
  <c r="L258" i="1" s="1"/>
  <c r="I258" i="1"/>
  <c r="N16" i="1"/>
  <c r="L12" i="1"/>
  <c r="N8" i="1"/>
  <c r="G8" i="7" s="1"/>
  <c r="N4" i="1"/>
  <c r="J142" i="1"/>
  <c r="K142" i="1" s="1"/>
  <c r="I142" i="1"/>
  <c r="J150" i="1"/>
  <c r="K150" i="1" s="1"/>
  <c r="I150" i="1"/>
  <c r="K158" i="1"/>
  <c r="I158" i="1"/>
  <c r="K166" i="1"/>
  <c r="I166" i="1"/>
  <c r="K174" i="1"/>
  <c r="I174" i="1"/>
  <c r="K182" i="1"/>
  <c r="I182" i="1"/>
  <c r="K190" i="1"/>
  <c r="I190" i="1"/>
  <c r="K198" i="1"/>
  <c r="I198" i="1"/>
  <c r="K206" i="1"/>
  <c r="I206" i="1"/>
  <c r="J214" i="1"/>
  <c r="K214" i="1" s="1"/>
  <c r="L214" i="1" s="1"/>
  <c r="I214" i="1"/>
  <c r="K222" i="1"/>
  <c r="I222" i="1"/>
  <c r="K230" i="1"/>
  <c r="I230" i="1"/>
  <c r="K238" i="1"/>
  <c r="I238" i="1"/>
  <c r="J246" i="1"/>
  <c r="K246" i="1" s="1"/>
  <c r="I246" i="1"/>
  <c r="J254" i="1"/>
  <c r="K254" i="1" s="1"/>
  <c r="I254" i="1"/>
  <c r="L225" i="1" l="1"/>
  <c r="C37" i="10"/>
  <c r="L151" i="1"/>
  <c r="C30" i="10"/>
  <c r="L246" i="1"/>
  <c r="C44" i="10"/>
  <c r="L149" i="1"/>
  <c r="C28" i="10"/>
  <c r="L96" i="1"/>
  <c r="C11" i="10"/>
  <c r="L148" i="1"/>
  <c r="C27" i="10"/>
  <c r="L110" i="1"/>
  <c r="C15" i="10"/>
  <c r="L91" i="1"/>
  <c r="C9" i="10"/>
  <c r="L150" i="1"/>
  <c r="C29" i="10"/>
  <c r="L247" i="1"/>
  <c r="C45" i="10"/>
  <c r="L227" i="1"/>
  <c r="C38" i="10"/>
  <c r="L253" i="1"/>
  <c r="C51" i="10"/>
  <c r="L243" i="1"/>
  <c r="C41" i="10"/>
  <c r="N244" i="1"/>
  <c r="G244" i="7" s="1"/>
  <c r="C42" i="10"/>
  <c r="L146" i="1"/>
  <c r="C25" i="10"/>
  <c r="L249" i="1"/>
  <c r="C47" i="10"/>
  <c r="L108" i="1"/>
  <c r="C14" i="10"/>
  <c r="L147" i="1"/>
  <c r="C26" i="10"/>
  <c r="L143" i="1"/>
  <c r="C23" i="10"/>
  <c r="L254" i="1"/>
  <c r="C52" i="10"/>
  <c r="L142" i="1"/>
  <c r="C22" i="10"/>
  <c r="L250" i="1"/>
  <c r="C48" i="10"/>
  <c r="L245" i="1"/>
  <c r="C43" i="10"/>
  <c r="L252" i="1"/>
  <c r="C50" i="10"/>
  <c r="L141" i="1"/>
  <c r="C21" i="10"/>
  <c r="L248" i="1"/>
  <c r="C46" i="10"/>
  <c r="L145" i="1"/>
  <c r="C24" i="10"/>
  <c r="L112" i="1"/>
  <c r="C16" i="10"/>
  <c r="L47" i="1"/>
  <c r="C6" i="10"/>
  <c r="L152" i="1"/>
  <c r="C31" i="10"/>
  <c r="N214" i="1"/>
  <c r="O214" i="1"/>
  <c r="N69" i="1"/>
  <c r="O69" i="1"/>
  <c r="N58" i="1"/>
  <c r="O58" i="1"/>
  <c r="N208" i="1"/>
  <c r="O208" i="1"/>
  <c r="N258" i="1"/>
  <c r="O258" i="1"/>
  <c r="N109" i="1"/>
  <c r="O109" i="1"/>
  <c r="N25" i="1"/>
  <c r="O25" i="1"/>
  <c r="N101" i="1"/>
  <c r="O101" i="1"/>
  <c r="N87" i="1"/>
  <c r="O87" i="1"/>
  <c r="N56" i="1"/>
  <c r="O56" i="1"/>
  <c r="N175" i="1"/>
  <c r="O175" i="1"/>
  <c r="N70" i="1"/>
  <c r="O70" i="1"/>
  <c r="N179" i="1"/>
  <c r="O179" i="1"/>
  <c r="N103" i="1"/>
  <c r="O103" i="1"/>
  <c r="N160" i="1"/>
  <c r="O160" i="1"/>
  <c r="N12" i="1"/>
  <c r="O12" i="1"/>
  <c r="N99" i="1"/>
  <c r="O99" i="1"/>
  <c r="N220" i="1"/>
  <c r="O220" i="1"/>
  <c r="N85" i="1"/>
  <c r="O85" i="1"/>
  <c r="N57" i="1"/>
  <c r="O57" i="1"/>
  <c r="N204" i="1"/>
  <c r="O204" i="1"/>
  <c r="N150" i="1"/>
  <c r="G150" i="7" s="1"/>
  <c r="F150" i="7"/>
  <c r="N96" i="1"/>
  <c r="G96" i="7" s="1"/>
  <c r="F96" i="7"/>
  <c r="N227" i="1"/>
  <c r="G227" i="7" s="1"/>
  <c r="F227" i="7"/>
  <c r="N253" i="1"/>
  <c r="G253" i="7" s="1"/>
  <c r="F253" i="7"/>
  <c r="N243" i="1"/>
  <c r="G243" i="7" s="1"/>
  <c r="F243" i="7"/>
  <c r="N148" i="1"/>
  <c r="G148" i="7" s="1"/>
  <c r="F148" i="7"/>
  <c r="N142" i="1"/>
  <c r="G142" i="7" s="1"/>
  <c r="F142" i="7"/>
  <c r="N250" i="1"/>
  <c r="G250" i="7" s="1"/>
  <c r="F250" i="7"/>
  <c r="N245" i="1"/>
  <c r="G245" i="7" s="1"/>
  <c r="F245" i="7"/>
  <c r="N252" i="1"/>
  <c r="G252" i="7" s="1"/>
  <c r="F252" i="7"/>
  <c r="N141" i="1"/>
  <c r="G141" i="7" s="1"/>
  <c r="F141" i="7"/>
  <c r="N248" i="1"/>
  <c r="G248" i="7" s="1"/>
  <c r="F248" i="7"/>
  <c r="N145" i="1"/>
  <c r="G145" i="7" s="1"/>
  <c r="F145" i="7"/>
  <c r="N112" i="1"/>
  <c r="G112" i="7" s="1"/>
  <c r="F112" i="7"/>
  <c r="N47" i="1"/>
  <c r="G47" i="7" s="1"/>
  <c r="F47" i="7"/>
  <c r="N144" i="1"/>
  <c r="G144" i="7" s="1"/>
  <c r="F144" i="7"/>
  <c r="N152" i="1"/>
  <c r="G152" i="7" s="1"/>
  <c r="F152" i="7"/>
  <c r="N246" i="1"/>
  <c r="G246" i="7" s="1"/>
  <c r="F246" i="7"/>
  <c r="N247" i="1"/>
  <c r="G247" i="7" s="1"/>
  <c r="F247" i="7"/>
  <c r="N149" i="1"/>
  <c r="G149" i="7" s="1"/>
  <c r="F149" i="7"/>
  <c r="N110" i="1"/>
  <c r="G110" i="7" s="1"/>
  <c r="F110" i="7"/>
  <c r="N254" i="1"/>
  <c r="G254" i="7" s="1"/>
  <c r="F254" i="7"/>
  <c r="N146" i="1"/>
  <c r="G146" i="7" s="1"/>
  <c r="F146" i="7"/>
  <c r="N225" i="1"/>
  <c r="G225" i="7" s="1"/>
  <c r="F225" i="7"/>
  <c r="N249" i="1"/>
  <c r="G249" i="7" s="1"/>
  <c r="F249" i="7"/>
  <c r="N108" i="1"/>
  <c r="G108" i="7" s="1"/>
  <c r="F108" i="7"/>
  <c r="N91" i="1"/>
  <c r="G91" i="7" s="1"/>
  <c r="F91" i="7"/>
  <c r="N147" i="1"/>
  <c r="G147" i="7" s="1"/>
  <c r="F147" i="7"/>
  <c r="N143" i="1"/>
  <c r="G143" i="7" s="1"/>
  <c r="F143" i="7"/>
  <c r="N151" i="1"/>
  <c r="G151" i="7" s="1"/>
  <c r="F151" i="7"/>
  <c r="F226" i="2"/>
  <c r="F23" i="2"/>
  <c r="G206" i="2"/>
  <c r="G97" i="2"/>
  <c r="G37" i="2"/>
  <c r="G14" i="2"/>
  <c r="G20" i="2"/>
  <c r="G27" i="2"/>
  <c r="G239" i="2"/>
  <c r="G108" i="2"/>
  <c r="G245" i="2"/>
  <c r="G233" i="2"/>
  <c r="G160" i="2"/>
  <c r="G220" i="2"/>
  <c r="G212" i="2"/>
  <c r="G141" i="2"/>
  <c r="G189" i="2"/>
  <c r="G101" i="2"/>
  <c r="G48" i="2"/>
  <c r="G55" i="2"/>
  <c r="G221" i="2"/>
  <c r="G153" i="2"/>
  <c r="G107" i="2"/>
  <c r="G18" i="2"/>
  <c r="G203" i="2"/>
  <c r="G61" i="2"/>
  <c r="G155" i="2"/>
  <c r="G54" i="2"/>
  <c r="G218" i="2"/>
  <c r="G202" i="2"/>
  <c r="G186" i="2"/>
  <c r="G170" i="2"/>
  <c r="G154" i="2"/>
  <c r="G137" i="2"/>
  <c r="G105" i="2"/>
  <c r="G81" i="2"/>
  <c r="G65" i="2"/>
  <c r="G41" i="2"/>
  <c r="G25" i="2"/>
  <c r="G8" i="2"/>
  <c r="G12" i="2"/>
  <c r="G22" i="2"/>
  <c r="G30" i="2"/>
  <c r="G32" i="2"/>
  <c r="G36" i="2"/>
  <c r="G255" i="2"/>
  <c r="G191" i="2"/>
  <c r="G7" i="2"/>
  <c r="G116" i="2"/>
  <c r="G84" i="2"/>
  <c r="G104" i="2"/>
  <c r="G64" i="2"/>
  <c r="G253" i="2"/>
  <c r="G247" i="2"/>
  <c r="G136" i="2"/>
  <c r="G156" i="2"/>
  <c r="G176" i="2"/>
  <c r="G196" i="2"/>
  <c r="G216" i="2"/>
  <c r="G236" i="2"/>
  <c r="G257" i="2"/>
  <c r="G237" i="2"/>
  <c r="G231" i="2"/>
  <c r="G211" i="2"/>
  <c r="G181" i="2"/>
  <c r="G134" i="2"/>
  <c r="G115" i="2"/>
  <c r="G99" i="2"/>
  <c r="G83" i="2"/>
  <c r="G67" i="2"/>
  <c r="G165" i="2"/>
  <c r="G125" i="2"/>
  <c r="G34" i="2"/>
  <c r="G16" i="2"/>
  <c r="G120" i="2"/>
  <c r="G187" i="2"/>
  <c r="G133" i="2"/>
  <c r="G195" i="2"/>
  <c r="G53" i="2"/>
  <c r="G110" i="2"/>
  <c r="G94" i="2"/>
  <c r="G78" i="2"/>
  <c r="G58" i="2"/>
  <c r="G135" i="2"/>
  <c r="G254" i="2"/>
  <c r="G222" i="2"/>
  <c r="G190" i="2"/>
  <c r="G158" i="2"/>
  <c r="G250" i="2"/>
  <c r="G77" i="2"/>
  <c r="G13" i="2"/>
  <c r="G175" i="2"/>
  <c r="G76" i="2"/>
  <c r="G96" i="2"/>
  <c r="G227" i="2"/>
  <c r="G180" i="2"/>
  <c r="G240" i="2"/>
  <c r="G217" i="2"/>
  <c r="G129" i="2"/>
  <c r="G138" i="2"/>
  <c r="G145" i="2"/>
  <c r="G87" i="2"/>
  <c r="G56" i="2"/>
  <c r="G26" i="2"/>
  <c r="G63" i="2"/>
  <c r="G147" i="2"/>
  <c r="G17" i="2"/>
  <c r="G106" i="2"/>
  <c r="G70" i="2"/>
  <c r="G148" i="2"/>
  <c r="G210" i="2"/>
  <c r="G162" i="2"/>
  <c r="G117" i="2"/>
  <c r="G89" i="2"/>
  <c r="G49" i="2"/>
  <c r="G33" i="2"/>
  <c r="G9" i="2"/>
  <c r="G24" i="2"/>
  <c r="G31" i="2"/>
  <c r="G35" i="2"/>
  <c r="G40" i="2"/>
  <c r="G223" i="2"/>
  <c r="G159" i="2"/>
  <c r="G100" i="2"/>
  <c r="G68" i="2"/>
  <c r="G132" i="2"/>
  <c r="G88" i="2"/>
  <c r="G225" i="2"/>
  <c r="G249" i="2"/>
  <c r="G124" i="2"/>
  <c r="G144" i="2"/>
  <c r="G164" i="2"/>
  <c r="G184" i="2"/>
  <c r="G204" i="2"/>
  <c r="G224" i="2"/>
  <c r="G244" i="2"/>
  <c r="G235" i="2"/>
  <c r="G179" i="2"/>
  <c r="G169" i="2"/>
  <c r="G163" i="2"/>
  <c r="G119" i="2"/>
  <c r="G71" i="2"/>
  <c r="G38" i="2"/>
  <c r="G157" i="2"/>
  <c r="G21" i="2"/>
  <c r="G131" i="2"/>
  <c r="G91" i="2"/>
  <c r="G197" i="2"/>
  <c r="G93" i="2"/>
  <c r="G74" i="2"/>
  <c r="G102" i="2"/>
  <c r="G86" i="2"/>
  <c r="G50" i="2"/>
  <c r="G123" i="2"/>
  <c r="G168" i="2"/>
  <c r="G238" i="2"/>
  <c r="G174" i="2"/>
  <c r="G142" i="2"/>
  <c r="G234" i="2"/>
  <c r="G57" i="2"/>
  <c r="G4" i="2"/>
  <c r="G140" i="2"/>
  <c r="G200" i="2"/>
  <c r="G10" i="2"/>
  <c r="G209" i="2"/>
  <c r="G183" i="2"/>
  <c r="G47" i="2"/>
  <c r="G193" i="2"/>
  <c r="G171" i="2"/>
  <c r="G121" i="2"/>
  <c r="G177" i="2"/>
  <c r="G90" i="2"/>
  <c r="G139" i="2"/>
  <c r="G188" i="2"/>
  <c r="G194" i="2"/>
  <c r="G178" i="2"/>
  <c r="G146" i="2"/>
  <c r="G73" i="2"/>
  <c r="G246" i="2"/>
  <c r="G230" i="2"/>
  <c r="G214" i="2"/>
  <c r="G198" i="2"/>
  <c r="G182" i="2"/>
  <c r="G166" i="2"/>
  <c r="G150" i="2"/>
  <c r="G258" i="2"/>
  <c r="G242" i="2"/>
  <c r="G113" i="2"/>
  <c r="G85" i="2"/>
  <c r="G69" i="2"/>
  <c r="G45" i="2"/>
  <c r="G29" i="2"/>
  <c r="G5" i="2"/>
  <c r="G6" i="2"/>
  <c r="G11" i="2"/>
  <c r="G19" i="2"/>
  <c r="G28" i="2"/>
  <c r="G43" i="2"/>
  <c r="G207" i="2"/>
  <c r="G143" i="2"/>
  <c r="G92" i="2"/>
  <c r="G112" i="2"/>
  <c r="G80" i="2"/>
  <c r="G243" i="2"/>
  <c r="G229" i="2"/>
  <c r="G128" i="2"/>
  <c r="G152" i="2"/>
  <c r="G172" i="2"/>
  <c r="G192" i="2"/>
  <c r="G208" i="2"/>
  <c r="G228" i="2"/>
  <c r="G256" i="2"/>
  <c r="G251" i="2"/>
  <c r="G215" i="2"/>
  <c r="G219" i="2"/>
  <c r="G199" i="2"/>
  <c r="G161" i="2"/>
  <c r="G122" i="2"/>
  <c r="G241" i="2"/>
  <c r="G15" i="2"/>
  <c r="G248" i="2"/>
  <c r="G201" i="2"/>
  <c r="G185" i="2"/>
  <c r="G149" i="2"/>
  <c r="G130" i="2"/>
  <c r="G103" i="2"/>
  <c r="G60" i="2"/>
  <c r="G52" i="2"/>
  <c r="G44" i="2"/>
  <c r="G72" i="2"/>
  <c r="G59" i="2"/>
  <c r="G51" i="2"/>
  <c r="G39" i="2"/>
  <c r="G213" i="2"/>
  <c r="G173" i="2"/>
  <c r="G167" i="2"/>
  <c r="G151" i="2"/>
  <c r="G126" i="2"/>
  <c r="G75" i="2"/>
  <c r="G205" i="2"/>
  <c r="G109" i="2"/>
  <c r="G42" i="2"/>
  <c r="G82" i="2"/>
  <c r="G118" i="2"/>
  <c r="G62" i="2"/>
  <c r="G46" i="2"/>
  <c r="G127" i="2"/>
  <c r="G252" i="2"/>
  <c r="I226" i="1"/>
  <c r="I23" i="1"/>
  <c r="I114" i="1"/>
  <c r="F114" i="2"/>
  <c r="I98" i="1"/>
  <c r="F98" i="2"/>
  <c r="I111" i="1"/>
  <c r="F111" i="2"/>
  <c r="I79" i="1"/>
  <c r="F79" i="2"/>
  <c r="I66" i="1"/>
  <c r="F66" i="2"/>
  <c r="I95" i="1"/>
  <c r="F95" i="2"/>
  <c r="G3" i="1"/>
  <c r="K3" i="1" s="1"/>
  <c r="I3" i="1"/>
  <c r="O152" i="1" l="1"/>
  <c r="D31" i="10"/>
  <c r="E31" i="10" s="1"/>
  <c r="O112" i="1"/>
  <c r="D16" i="10"/>
  <c r="E16" i="10" s="1"/>
  <c r="O248" i="1"/>
  <c r="D46" i="10"/>
  <c r="E46" i="10" s="1"/>
  <c r="O252" i="1"/>
  <c r="D50" i="10"/>
  <c r="E50" i="10" s="1"/>
  <c r="O250" i="1"/>
  <c r="D48" i="10"/>
  <c r="E48" i="10" s="1"/>
  <c r="O254" i="1"/>
  <c r="D52" i="10"/>
  <c r="E52" i="10" s="1"/>
  <c r="O147" i="1"/>
  <c r="D26" i="10"/>
  <c r="E26" i="10" s="1"/>
  <c r="O249" i="1"/>
  <c r="D47" i="10"/>
  <c r="E47" i="10" s="1"/>
  <c r="O253" i="1"/>
  <c r="D51" i="10"/>
  <c r="E51" i="10" s="1"/>
  <c r="O247" i="1"/>
  <c r="D45" i="10"/>
  <c r="E45" i="10" s="1"/>
  <c r="O91" i="1"/>
  <c r="D9" i="10"/>
  <c r="E9" i="10" s="1"/>
  <c r="O148" i="1"/>
  <c r="D27" i="10"/>
  <c r="E27" i="10" s="1"/>
  <c r="O149" i="1"/>
  <c r="D28" i="10"/>
  <c r="E28" i="10" s="1"/>
  <c r="O151" i="1"/>
  <c r="D30" i="10"/>
  <c r="E30" i="10" s="1"/>
  <c r="O47" i="1"/>
  <c r="D6" i="10"/>
  <c r="E6" i="10" s="1"/>
  <c r="O145" i="1"/>
  <c r="D24" i="10"/>
  <c r="E24" i="10" s="1"/>
  <c r="O141" i="1"/>
  <c r="D21" i="10"/>
  <c r="E21" i="10" s="1"/>
  <c r="O245" i="1"/>
  <c r="D43" i="10"/>
  <c r="E43" i="10" s="1"/>
  <c r="O142" i="1"/>
  <c r="D22" i="10"/>
  <c r="E22" i="10" s="1"/>
  <c r="O143" i="1"/>
  <c r="D23" i="10"/>
  <c r="E23" i="10" s="1"/>
  <c r="O108" i="1"/>
  <c r="D14" i="10"/>
  <c r="E14" i="10" s="1"/>
  <c r="O146" i="1"/>
  <c r="D25" i="10"/>
  <c r="E25" i="10" s="1"/>
  <c r="O243" i="1"/>
  <c r="D41" i="10"/>
  <c r="E41" i="10" s="1"/>
  <c r="O227" i="1"/>
  <c r="D38" i="10"/>
  <c r="E38" i="10" s="1"/>
  <c r="O150" i="1"/>
  <c r="D29" i="10"/>
  <c r="E29" i="10" s="1"/>
  <c r="O110" i="1"/>
  <c r="D15" i="10"/>
  <c r="E15" i="10" s="1"/>
  <c r="O96" i="1"/>
  <c r="D11" i="10"/>
  <c r="E11" i="10" s="1"/>
  <c r="O246" i="1"/>
  <c r="D44" i="10"/>
  <c r="E44" i="10" s="1"/>
  <c r="O225" i="1"/>
  <c r="D37" i="10"/>
  <c r="E37" i="10" s="1"/>
  <c r="G66" i="2"/>
  <c r="G111" i="2"/>
  <c r="G114" i="2"/>
  <c r="G23" i="2"/>
  <c r="G3" i="2"/>
  <c r="G95" i="2"/>
  <c r="G79" i="2"/>
  <c r="G98" i="2"/>
  <c r="G226" i="2"/>
  <c r="N3" i="1"/>
  <c r="J2" i="1"/>
  <c r="K2" i="1" s="1"/>
  <c r="L2" i="1" l="1"/>
  <c r="C2" i="10"/>
  <c r="I2" i="1"/>
  <c r="O2" i="1" l="1"/>
  <c r="D2" i="10"/>
  <c r="E2" i="10" s="1"/>
  <c r="F2" i="7"/>
  <c r="N2" i="1"/>
  <c r="G2" i="7" s="1"/>
  <c r="G259" i="7" s="1"/>
  <c r="G2" i="2"/>
  <c r="G259" i="2" s="1"/>
  <c r="H259" i="7"/>
  <c r="H259"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B5025EB-5EF1-451B-9BEA-3CC396876BA6}" keepAlive="1" name="Consulta - itens_neg" description="Conexão com a consulta 'itens_neg' na pasta de trabalho." type="5" refreshedVersion="8" background="1" saveData="1">
    <dbPr connection="Provider=Microsoft.Mashup.OleDb.1;Data Source=$Workbook$;Location=itens_neg;Extended Properties=&quot;&quot;" command="SELECT * FROM [itens_neg]"/>
  </connection>
  <connection id="2" xr16:uid="{CE326CC8-CA7A-4933-AE35-5561D5E08488}" keepAlive="1" name="Consulta - itens_neg (2)" description="Conexão com a consulta 'itens_neg (2)' na pasta de trabalho." type="5" refreshedVersion="0" background="1">
    <dbPr connection="Provider=Microsoft.Mashup.OleDb.1;Data Source=$Workbook$;Location=&quot;itens_neg (2)&quot;;Extended Properties=&quot;&quot;" command="SELECT * FROM [itens_neg (2)]"/>
  </connection>
  <connection id="3" xr16:uid="{A014EAC9-57DC-4141-88EC-5D278693B1B7}" keepAlive="1" name="Consulta - itens_neg (3)" description="Conexão com a consulta 'itens_neg (3)' na pasta de trabalho." type="5" refreshedVersion="0" background="1">
    <dbPr connection="Provider=Microsoft.Mashup.OleDb.1;Data Source=$Workbook$;Location=&quot;itens_neg (3)&quot;;Extended Properties=&quot;&quot;" command="SELECT * FROM [itens_neg (3)]"/>
  </connection>
  <connection id="4" xr16:uid="{6090A71B-84DD-4186-BBE5-1F4002D24EA7}" keepAlive="1" name="Consulta - itens_neg (4)" description="Conexão com a consulta 'itens_neg (4)' na pasta de trabalho." type="5" refreshedVersion="8" background="1" saveData="1">
    <dbPr connection="Provider=Microsoft.Mashup.OleDb.1;Data Source=$Workbook$;Location=&quot;itens_neg (4)&quot;;Extended Properties=&quot;&quot;" command="SELECT * FROM [itens_neg (4)]"/>
  </connection>
</connections>
</file>

<file path=xl/sharedStrings.xml><?xml version="1.0" encoding="utf-8"?>
<sst xmlns="http://schemas.openxmlformats.org/spreadsheetml/2006/main" count="1938" uniqueCount="898">
  <si>
    <t>ITEM</t>
  </si>
  <si>
    <t>QTD</t>
  </si>
  <si>
    <t>UND</t>
  </si>
  <si>
    <t>VALOR TOTAL</t>
  </si>
  <si>
    <t>VALOR DE CUSTO</t>
  </si>
  <si>
    <t>DESCRIÇÃO</t>
  </si>
  <si>
    <t>MARCA</t>
  </si>
  <si>
    <t>Total</t>
  </si>
  <si>
    <t>VALOR UNITÁRIO</t>
  </si>
  <si>
    <t>TOTAL POR EXTENSO</t>
  </si>
  <si>
    <t>PERCENTUAL MÍNIMO</t>
  </si>
  <si>
    <t>VALOR MÍNIMO</t>
  </si>
  <si>
    <t>LANCE ATUAL</t>
  </si>
  <si>
    <t>POSIÇÃO</t>
  </si>
  <si>
    <t>VALOR TOTAL DO LANCE</t>
  </si>
  <si>
    <t>CUSTO + PERCENTUAL DE ENTRADA</t>
  </si>
  <si>
    <t>PERCENTUAL DE ENTRADA</t>
  </si>
  <si>
    <r>
      <rPr>
        <b/>
        <sz val="9"/>
        <rFont val="Times New Roman"/>
        <family val="1"/>
      </rPr>
      <t>ITEM</t>
    </r>
  </si>
  <si>
    <r>
      <rPr>
        <b/>
        <sz val="9"/>
        <rFont val="Times New Roman"/>
        <family val="1"/>
      </rPr>
      <t>UNIDADE</t>
    </r>
  </si>
  <si>
    <t>QUANT</t>
  </si>
  <si>
    <r>
      <rPr>
        <sz val="9"/>
        <rFont val="Times New Roman"/>
        <family val="1"/>
      </rPr>
      <t>Suxametônio cloreto, dosagem: 100 mg, indicação: injetável</t>
    </r>
  </si>
  <si>
    <r>
      <rPr>
        <sz val="9"/>
        <rFont val="Times New Roman"/>
        <family val="1"/>
      </rPr>
      <t>Frasco- ampola</t>
    </r>
  </si>
  <si>
    <r>
      <rPr>
        <sz val="9"/>
        <rFont val="Times New Roman"/>
        <family val="1"/>
      </rPr>
      <t>Salbutamol, dosagem: 100 mcg/dose, forma farmacêutica: aerossol oral</t>
    </r>
  </si>
  <si>
    <r>
      <rPr>
        <sz val="9"/>
        <rFont val="Times New Roman"/>
        <family val="1"/>
      </rPr>
      <t>Frasco 200 doses</t>
    </r>
  </si>
  <si>
    <r>
      <rPr>
        <sz val="9"/>
        <rFont val="Times New Roman"/>
        <family val="1"/>
      </rPr>
      <t>Propofol, dosagem: 10 mg/ml, forma farmacêutica: emulsão injetável. Frasco 20 mL</t>
    </r>
  </si>
  <si>
    <r>
      <rPr>
        <sz val="9"/>
        <rFont val="Times New Roman"/>
        <family val="1"/>
      </rPr>
      <t>Frasco 20 ml</t>
    </r>
  </si>
  <si>
    <r>
      <rPr>
        <sz val="9"/>
        <rFont val="Times New Roman"/>
        <family val="1"/>
      </rPr>
      <t>Enoxaparina, concentração: 100 mg/ml, forma farmacêutica: solução injetável, características adicionais 1: seringa preenchida 0,40 mL</t>
    </r>
  </si>
  <si>
    <r>
      <rPr>
        <sz val="9"/>
        <rFont val="Times New Roman"/>
        <family val="1"/>
      </rPr>
      <t>Seringa 0,40 ml</t>
    </r>
  </si>
  <si>
    <r>
      <rPr>
        <sz val="9"/>
        <rFont val="Times New Roman"/>
        <family val="1"/>
      </rPr>
      <t>Enoxaparina, concentração: 100 mg/ml, forma farmacêutica: solução injetável, características adicionais 1: seringa preenchida 0,20 mL</t>
    </r>
  </si>
  <si>
    <r>
      <rPr>
        <sz val="9"/>
        <rFont val="Times New Roman"/>
        <family val="1"/>
      </rPr>
      <t>Seringa 0,20 ml</t>
    </r>
  </si>
  <si>
    <r>
      <rPr>
        <sz val="9"/>
        <rFont val="Times New Roman"/>
        <family val="1"/>
      </rPr>
      <t>Espironolactona, dosagem: 100 mg</t>
    </r>
  </si>
  <si>
    <r>
      <rPr>
        <sz val="9"/>
        <rFont val="Times New Roman"/>
        <family val="1"/>
      </rPr>
      <t>Comprimido</t>
    </r>
  </si>
  <si>
    <r>
      <rPr>
        <sz val="9"/>
        <rFont val="Times New Roman"/>
        <family val="1"/>
      </rPr>
      <t>Colecalciferol, concentração: 50.000 UI</t>
    </r>
  </si>
  <si>
    <r>
      <rPr>
        <sz val="9"/>
        <rFont val="Times New Roman"/>
        <family val="1"/>
      </rPr>
      <t>Cápsula</t>
    </r>
  </si>
  <si>
    <r>
      <rPr>
        <sz val="9"/>
        <rFont val="Times New Roman"/>
        <family val="1"/>
      </rPr>
      <t>Acetilcisteína, dosagem: 600 mg, indicação: pó para solução oral</t>
    </r>
  </si>
  <si>
    <r>
      <rPr>
        <sz val="9"/>
        <rFont val="Times New Roman"/>
        <family val="1"/>
      </rPr>
      <t>Envelope</t>
    </r>
  </si>
  <si>
    <r>
      <rPr>
        <sz val="9"/>
        <rFont val="Times New Roman"/>
        <family val="1"/>
      </rPr>
      <t>Ácido acetilsalicílico (AAS) 100 mg comprimido</t>
    </r>
  </si>
  <si>
    <r>
      <rPr>
        <sz val="9"/>
        <rFont val="Times New Roman"/>
        <family val="1"/>
      </rPr>
      <t>Ácido ascórbico (vitamina C) 100 mg/mL solução injetável</t>
    </r>
  </si>
  <si>
    <r>
      <rPr>
        <sz val="9"/>
        <rFont val="Times New Roman"/>
        <family val="1"/>
      </rPr>
      <t>Ampola 5 ml</t>
    </r>
  </si>
  <si>
    <r>
      <rPr>
        <sz val="9"/>
        <rFont val="Times New Roman"/>
        <family val="1"/>
      </rPr>
      <t>Ácido ascórbico, concentração: 500 mg, forma farmacêutica: comprimido efervescente</t>
    </r>
  </si>
  <si>
    <r>
      <rPr>
        <sz val="9"/>
        <rFont val="Times New Roman"/>
        <family val="1"/>
      </rPr>
      <t>Ácido tranexâmico 50 mg/mL solução injetável</t>
    </r>
  </si>
  <si>
    <r>
      <rPr>
        <sz val="9"/>
        <rFont val="Times New Roman"/>
        <family val="1"/>
      </rPr>
      <t>Ampola</t>
    </r>
  </si>
  <si>
    <r>
      <rPr>
        <sz val="9"/>
        <rFont val="Times New Roman"/>
        <family val="1"/>
      </rPr>
      <t>Adenosina 3 mg/mL solução injetável</t>
    </r>
  </si>
  <si>
    <r>
      <rPr>
        <sz val="9"/>
        <rFont val="Times New Roman"/>
        <family val="1"/>
      </rPr>
      <t>Amiodarona 50 mg/mL solução injetável</t>
    </r>
  </si>
  <si>
    <r>
      <rPr>
        <sz val="9"/>
        <rFont val="Times New Roman"/>
        <family val="1"/>
      </rPr>
      <t>Azitromicina 500 mg comprimido</t>
    </r>
  </si>
  <si>
    <r>
      <rPr>
        <sz val="9"/>
        <rFont val="Times New Roman"/>
        <family val="1"/>
      </rPr>
      <t>Bicarbonato de sódio 1mEq/mL (8,4%) solução injetável</t>
    </r>
  </si>
  <si>
    <r>
      <rPr>
        <sz val="9"/>
        <rFont val="Times New Roman"/>
        <family val="1"/>
      </rPr>
      <t>Ampola 10 ml</t>
    </r>
  </si>
  <si>
    <r>
      <rPr>
        <sz val="9"/>
        <rFont val="Times New Roman"/>
        <family val="1"/>
      </rPr>
      <t>Cefalotina sódica, concentração: 1 g, forma farmacêutica: pó liófilo p, injetável</t>
    </r>
  </si>
  <si>
    <r>
      <rPr>
        <sz val="9"/>
        <rFont val="Times New Roman"/>
        <family val="1"/>
      </rPr>
      <t>Ceftriaxona sódica, concentração: 500 mg, forma farmacêutica: pó p, solução injetável + diluente</t>
    </r>
  </si>
  <si>
    <r>
      <rPr>
        <sz val="9"/>
        <rFont val="Times New Roman"/>
        <family val="1"/>
      </rPr>
      <t>Clopidogrel 75 mg comprimido</t>
    </r>
  </si>
  <si>
    <r>
      <rPr>
        <sz val="9"/>
        <rFont val="Times New Roman"/>
        <family val="1"/>
      </rPr>
      <t>Cloreto de potássio 2,56 mEq/mL (19,1%) solução injetável</t>
    </r>
  </si>
  <si>
    <r>
      <rPr>
        <sz val="9"/>
        <rFont val="Times New Roman"/>
        <family val="1"/>
      </rPr>
      <t>Cloreto de sódio 3,4 mEq/mL (20%) solução injetável</t>
    </r>
  </si>
  <si>
    <r>
      <rPr>
        <sz val="9"/>
        <rFont val="Times New Roman"/>
        <family val="1"/>
      </rPr>
      <t>Dexametasona 4 mg/mL solução injetável</t>
    </r>
  </si>
  <si>
    <r>
      <rPr>
        <sz val="9"/>
        <rFont val="Times New Roman"/>
        <family val="1"/>
      </rPr>
      <t>Ampola 2,5 ml</t>
    </r>
  </si>
  <si>
    <r>
      <rPr>
        <sz val="9"/>
        <rFont val="Times New Roman"/>
        <family val="1"/>
      </rPr>
      <t>Dipirona 500 mg comprimido</t>
    </r>
  </si>
  <si>
    <r>
      <rPr>
        <sz val="9"/>
        <rFont val="Times New Roman"/>
        <family val="1"/>
      </rPr>
      <t>Dipirona 500 mg/mL solução injetável</t>
    </r>
  </si>
  <si>
    <r>
      <rPr>
        <sz val="9"/>
        <rFont val="Times New Roman"/>
        <family val="1"/>
      </rPr>
      <t>Ampola 2 ml</t>
    </r>
  </si>
  <si>
    <r>
      <rPr>
        <sz val="9"/>
        <rFont val="Times New Roman"/>
        <family val="1"/>
      </rPr>
      <t>Orfenadrinacitrato, composição: associada com dipirona e cafeína, dosagem: 35mg + 300mg + 50mg</t>
    </r>
  </si>
  <si>
    <r>
      <rPr>
        <sz val="9"/>
        <rFont val="Times New Roman"/>
        <family val="1"/>
      </rPr>
      <t>Dimenidrinato, apresentação: associado com piridoxina + glicose + frutose, dosagem: 3mg + 5mg + 100mg + 100mg/ml, tipo medicamento: solução injetável</t>
    </r>
  </si>
  <si>
    <r>
      <rPr>
        <sz val="9"/>
        <rFont val="Times New Roman"/>
        <family val="1"/>
      </rPr>
      <t>Dimenidrinato, apresentação: associado com piridoxina cloridrato, dosagem: 50mg + 50mg/ml, tipo medicamento: solução injetável</t>
    </r>
  </si>
  <si>
    <r>
      <rPr>
        <sz val="9"/>
        <rFont val="Times New Roman"/>
        <family val="1"/>
      </rPr>
      <t>Ampola 1ml</t>
    </r>
  </si>
  <si>
    <r>
      <rPr>
        <sz val="9"/>
        <rFont val="Times New Roman"/>
        <family val="1"/>
      </rPr>
      <t>Dobutamina cloridrato, dosagem: 12,5 mg/ml, indicação: injetável</t>
    </r>
  </si>
  <si>
    <r>
      <rPr>
        <sz val="9"/>
        <rFont val="Times New Roman"/>
        <family val="1"/>
      </rPr>
      <t>Ampola 10ml</t>
    </r>
  </si>
  <si>
    <r>
      <rPr>
        <sz val="9"/>
        <rFont val="Times New Roman"/>
        <family val="1"/>
      </rPr>
      <t>Epinefrina, dosagem: 1 mg/ml, uso: solução injetável</t>
    </r>
  </si>
  <si>
    <r>
      <rPr>
        <sz val="9"/>
        <rFont val="Times New Roman"/>
        <family val="1"/>
      </rPr>
      <t>Etilefrina 10 mg/mL solução injetável</t>
    </r>
  </si>
  <si>
    <r>
      <rPr>
        <sz val="9"/>
        <rFont val="Times New Roman"/>
        <family val="1"/>
      </rPr>
      <t>Heparina sódica, dosagem: 5.000 ui,ml, indicação: injetável</t>
    </r>
  </si>
  <si>
    <r>
      <rPr>
        <sz val="9"/>
        <rFont val="Times New Roman"/>
        <family val="1"/>
      </rPr>
      <t>Ampola 0,25 ml</t>
    </r>
  </si>
  <si>
    <r>
      <rPr>
        <sz val="9"/>
        <rFont val="Times New Roman"/>
        <family val="1"/>
      </rPr>
      <t>Frasco 5 ml</t>
    </r>
  </si>
  <si>
    <r>
      <rPr>
        <sz val="9"/>
        <rFont val="Times New Roman"/>
        <family val="1"/>
      </rPr>
      <t>Hidralazina 25 mg comprimido</t>
    </r>
  </si>
  <si>
    <r>
      <rPr>
        <sz val="9"/>
        <rFont val="Times New Roman"/>
        <family val="1"/>
      </rPr>
      <t>Ivermectina 6 mg comprimido</t>
    </r>
  </si>
  <si>
    <r>
      <rPr>
        <sz val="9"/>
        <rFont val="Times New Roman"/>
        <family val="1"/>
      </rPr>
      <t>Lactulose 667 mg/mL xarope</t>
    </r>
  </si>
  <si>
    <r>
      <rPr>
        <sz val="9"/>
        <rFont val="Times New Roman"/>
        <family val="1"/>
      </rPr>
      <t>Frasco 120 ml</t>
    </r>
  </si>
  <si>
    <r>
      <rPr>
        <sz val="9"/>
        <rFont val="Times New Roman"/>
        <family val="1"/>
      </rPr>
      <t>Levofloxacino 500 mg comprimido</t>
    </r>
  </si>
  <si>
    <r>
      <rPr>
        <sz val="9"/>
        <rFont val="Times New Roman"/>
        <family val="1"/>
      </rPr>
      <t>Levofloxacino, dosagem: 5 mg,ml, forma farmacêutica: solução injetável</t>
    </r>
  </si>
  <si>
    <r>
      <rPr>
        <sz val="9"/>
        <rFont val="Times New Roman"/>
        <family val="1"/>
      </rPr>
      <t>Bolsa 100 ml</t>
    </r>
  </si>
  <si>
    <r>
      <rPr>
        <sz val="9"/>
        <rFont val="Times New Roman"/>
        <family val="1"/>
      </rPr>
      <t>Lidocaína 20 mg/g (2%) gel</t>
    </r>
  </si>
  <si>
    <r>
      <rPr>
        <sz val="9"/>
        <rFont val="Times New Roman"/>
        <family val="1"/>
      </rPr>
      <t>Bisnaga 20 g</t>
    </r>
  </si>
  <si>
    <r>
      <rPr>
        <sz val="9"/>
        <rFont val="Times New Roman"/>
        <family val="1"/>
      </rPr>
      <t>Metronidazol 400 mg comprimido</t>
    </r>
  </si>
  <si>
    <r>
      <rPr>
        <sz val="9"/>
        <rFont val="Times New Roman"/>
        <family val="1"/>
      </rPr>
      <t>Omeprazol 20 mg cápsula</t>
    </r>
  </si>
  <si>
    <r>
      <rPr>
        <sz val="9"/>
        <rFont val="Times New Roman"/>
        <family val="1"/>
      </rPr>
      <t>Paracetamol, dosagem comprimido: 500 mg</t>
    </r>
  </si>
  <si>
    <r>
      <rPr>
        <sz val="9"/>
        <rFont val="Times New Roman"/>
        <family val="1"/>
      </rPr>
      <t>Prednisona 20 mg comprimido</t>
    </r>
  </si>
  <si>
    <r>
      <rPr>
        <sz val="9"/>
        <rFont val="Times New Roman"/>
        <family val="1"/>
      </rPr>
      <t>Propranolol 40 mg comprimido</t>
    </r>
  </si>
  <si>
    <r>
      <rPr>
        <sz val="9"/>
        <rFont val="Times New Roman"/>
        <family val="1"/>
      </rPr>
      <t>Sais para reidratação oral, composição: sódio, potássio, cloreto, citrato e glicose, forma farmacêutica: pó p, solução oral</t>
    </r>
  </si>
  <si>
    <r>
      <rPr>
        <sz val="9"/>
        <rFont val="Times New Roman"/>
        <family val="1"/>
      </rPr>
      <t>Tenoxicam 40 mg pó para solução injetável</t>
    </r>
  </si>
  <si>
    <r>
      <rPr>
        <sz val="9"/>
        <rFont val="Times New Roman"/>
        <family val="1"/>
      </rPr>
      <t>Varfarina sódica 5 mg comprimido</t>
    </r>
  </si>
  <si>
    <r>
      <rPr>
        <sz val="9"/>
        <rFont val="Times New Roman"/>
        <family val="1"/>
      </rPr>
      <t>Multivitaminas, composição vitaminas: vits: a, d3, e, k1, b1, b2, b3, b5, b6, c, forma farmacêutica: solução injetável</t>
    </r>
  </si>
  <si>
    <r>
      <rPr>
        <sz val="9"/>
        <rFont val="Times New Roman"/>
        <family val="1"/>
      </rPr>
      <t>Acetilcisteína, dosagem: 20 mg,ml, indicação: xarope</t>
    </r>
  </si>
  <si>
    <r>
      <rPr>
        <i/>
        <sz val="9"/>
        <rFont val="Times New Roman"/>
        <family val="1"/>
      </rPr>
      <t>Saccharomyces boulardii</t>
    </r>
    <r>
      <rPr>
        <sz val="9"/>
        <rFont val="Times New Roman"/>
        <family val="1"/>
      </rPr>
      <t>100 mg cápsula</t>
    </r>
  </si>
  <si>
    <r>
      <rPr>
        <sz val="9"/>
        <rFont val="Times New Roman"/>
        <family val="1"/>
      </rPr>
      <t>Cloreto de sódio, princípio ativo: 0,9%_ solução injetável, aplicação: sistema fechado 250 ml</t>
    </r>
  </si>
  <si>
    <r>
      <rPr>
        <sz val="9"/>
        <rFont val="Times New Roman"/>
        <family val="1"/>
      </rPr>
      <t>Frasco 250 ml</t>
    </r>
  </si>
  <si>
    <r>
      <rPr>
        <sz val="9"/>
        <rFont val="Times New Roman"/>
        <family val="1"/>
      </rPr>
      <t>Álcool etílico, tipo: hidratado, teor alcoólico: 70% (70°gl), apresentação: líquido</t>
    </r>
  </si>
  <si>
    <r>
      <rPr>
        <sz val="9"/>
        <rFont val="Times New Roman"/>
        <family val="1"/>
      </rPr>
      <t>Frasco 1L</t>
    </r>
  </si>
  <si>
    <r>
      <rPr>
        <sz val="9"/>
        <rFont val="Times New Roman"/>
        <family val="1"/>
      </rPr>
      <t>Água  sanitária,  composição  química:  hipoclorito de  sódio,  hidróxido  de  sódio,  cloreto,  teor  cloro ativo: varia de 2 a 2,50%, cor: incolor, aplicação: lavagem e alvejante de roupas, banheiras, pias,</t>
    </r>
  </si>
  <si>
    <r>
      <rPr>
        <sz val="9"/>
        <rFont val="Times New Roman"/>
        <family val="1"/>
      </rPr>
      <t>Grf 5 L</t>
    </r>
  </si>
  <si>
    <r>
      <rPr>
        <sz val="9"/>
        <rFont val="Times New Roman"/>
        <family val="1"/>
      </rPr>
      <t>Agulha hipodérmica, material: aço inoxidável siliconizado, dimensão: 24 g x 3,4", tipo ponta: bisel curto trifacetado, tipo conexão: conector luerlock ou slip em plástico, tipo fixação: protetor plástico, tipo uso: estéril, descartável, embalagem individual</t>
    </r>
  </si>
  <si>
    <r>
      <rPr>
        <sz val="9"/>
        <rFont val="Times New Roman"/>
        <family val="1"/>
      </rPr>
      <t>Caixa (100 un)</t>
    </r>
  </si>
  <si>
    <r>
      <rPr>
        <sz val="9"/>
        <rFont val="Times New Roman"/>
        <family val="1"/>
      </rPr>
      <t>Agulha hipodérmica, material: aço inoxidável siliconizado, dimensão: 23 g x 1", tipo ponta: bisel curto trifacetado, tipo conexão: conector luerlock ou slip em plástico, tipo fixação: protetor plástico, tipo uso: estéril, descartável, embalagem individual</t>
    </r>
  </si>
  <si>
    <r>
      <rPr>
        <sz val="9"/>
        <rFont val="Times New Roman"/>
        <family val="1"/>
      </rPr>
      <t>Agulha hipodérmica, material: aço inoxidável siliconizado, dimensão: 22 g x 1 1,4", tipo ponta: bisel curto trifacetado, tipo conexão: conector luerlock ou slip em plástico, tipo fixação: protetor plástico, tipo uso: estéril, descartável, embalagem individual</t>
    </r>
  </si>
  <si>
    <r>
      <rPr>
        <sz val="9"/>
        <rFont val="Times New Roman"/>
        <family val="1"/>
      </rPr>
      <t>Agulha hipodérmica, material: aço inoxidável siliconizado, dimensão: 18 g x 1 1,2", tipo ponta: bisel curto trifacetado, tipo conexão: conector luerlock ou slip em plástico, tipo fixação: protetor plástico, tipo uso: estéril, descartável, embalagem individual</t>
    </r>
  </si>
  <si>
    <r>
      <rPr>
        <sz val="9"/>
        <rFont val="Times New Roman"/>
        <family val="1"/>
      </rPr>
      <t>Cateter periférico, material cateter: polímero radiopaco, aplicação: venoso, material agulha: agulha aço inox, diametro: 14 gau, comprimento: cerca 50 mm, conector: conector padrão, componente 1: câmara refluxo c, filtro, componente 2: c, sistema segurança segUnidadeo nr,32, tipo uso: estéril, descartável, embalagem individual</t>
    </r>
  </si>
  <si>
    <r>
      <rPr>
        <sz val="9"/>
        <rFont val="Times New Roman"/>
        <family val="1"/>
      </rPr>
      <t>Unidade</t>
    </r>
  </si>
  <si>
    <r>
      <rPr>
        <sz val="9"/>
        <rFont val="Times New Roman"/>
        <family val="1"/>
      </rPr>
      <t>Cateter periférico, material cateter: polímero radiopaco, aplicação: venoso, material agulha: agulha aço inox, diametro: 16 gau, comprimento: cerca 30 mm, conector: conector padrão, componente 1: câmara refluxo c, filtro, componente 2: c, sistema segurança segUnidadeo nr,32, tipo uso: estéril, descartável, embalagem individual</t>
    </r>
  </si>
  <si>
    <r>
      <rPr>
        <sz val="9"/>
        <rFont val="Times New Roman"/>
        <family val="1"/>
      </rPr>
      <t>Cateter periférico, material cateter: polímero radiopaco, aplicação: venoso, material agulha: agulha aço inox, diâmetro: 22 gau, comprimento: cerca 25 mm, componente adicional: c, asa de fixação, tubo extensor c, clamp, conector: conector padrão c, injetor lateral, componente 2: c, sistema segurança segUnidadeo nr,32, tipo uso: estéril, descartável, embalagem individual</t>
    </r>
  </si>
  <si>
    <r>
      <rPr>
        <sz val="9"/>
        <rFont val="Times New Roman"/>
        <family val="1"/>
      </rPr>
      <t>Cateter periférico, material cateter: polímero radiopaco, aplicação: venoso, material agulha: agulha aço inox, diametro: 24 gau, comprimento: cerca 20 mm, componente adicional: c, asa de fixação, tubo extensor c, clamp, conector: conector padrão c, injetor lateral, componente 2: c, sistema segurança segUnidadeo nr,32, tipo uso: estéril, descartável, embalagem individual</t>
    </r>
  </si>
  <si>
    <r>
      <rPr>
        <sz val="9"/>
        <rFont val="Times New Roman"/>
        <family val="1"/>
      </rPr>
      <t>Coletor de urina, material: polímero, tipo: sistema fechado, capacidade: cerca de 500 ml, graduação: graduada, válvula: válvula antirefluxo, componentes: c, sistema de fixação, esterilidade: estéril, descartável</t>
    </r>
  </si>
  <si>
    <r>
      <rPr>
        <sz val="9"/>
        <rFont val="Times New Roman"/>
        <family val="1"/>
      </rPr>
      <t>Coletor de urina, material: plástico, tipo: sistema aberto, capacidade: cerca de 1200 ml, graduação: graduada, esterilidade: não estéril, descartável</t>
    </r>
  </si>
  <si>
    <r>
      <rPr>
        <sz val="9"/>
        <rFont val="Times New Roman"/>
        <family val="1"/>
      </rPr>
      <t>Torneirinha, vias: 3 vias, material: polímero, tipo conector: luerlock ,slip , valvulado, pressão máxima: até cerca de 100 psi, tipo uso: estéril, uso único</t>
    </r>
  </si>
  <si>
    <r>
      <rPr>
        <sz val="9"/>
        <rFont val="Times New Roman"/>
        <family val="1"/>
      </rPr>
      <t>Adaptador Uso Médico. Aplicação: P/ Transferência / Irrigação De Soluções. Tipo 2: Dupla Ponta Perfurante. Material: Polímero. Componente 1: C/ Tampas. Tipo Uso: Estéril.</t>
    </r>
  </si>
  <si>
    <r>
      <rPr>
        <sz val="9"/>
        <rFont val="Times New Roman"/>
        <family val="1"/>
      </rPr>
      <t>Eletrodo, aplicação 1: p, monitorização cardíaca - ecg, modelo: de superfície, tipo: adesivo, material sensor: prata, prata clorada, adicional 1: c, gel condutor, tamanhos: INFANTIL, acessório: s, cabo, esterilidade: uso único</t>
    </r>
  </si>
  <si>
    <r>
      <rPr>
        <sz val="9"/>
        <rFont val="Times New Roman"/>
        <family val="1"/>
      </rPr>
      <t>Eletrodo, aplicação 1: p, monitorização cardíaca - ecg, modelo: de superfície, tipo: adesivo, material sensor: prata, prata clorada, adicional 1: c, gel condutor, tamanhos: ADULTO, acessório: s, cabo, esterilidade: uso único</t>
    </r>
  </si>
  <si>
    <r>
      <rPr>
        <sz val="9"/>
        <rFont val="Times New Roman"/>
        <family val="1"/>
      </rPr>
      <t>Abaixador língua, material: madeira, tipo: descartável, comprimento: 14 cm, formato: tipo espátula, largura: 1,50 cm, espessura: 2 mm</t>
    </r>
  </si>
  <si>
    <r>
      <rPr>
        <sz val="9"/>
        <rFont val="Times New Roman"/>
        <family val="1"/>
      </rPr>
      <t xml:space="preserve">Pacote com 100
</t>
    </r>
    <r>
      <rPr>
        <sz val="9"/>
        <rFont val="Times New Roman"/>
        <family val="1"/>
      </rPr>
      <t>unidades</t>
    </r>
  </si>
  <si>
    <r>
      <rPr>
        <sz val="9"/>
        <rFont val="Times New Roman"/>
        <family val="1"/>
      </rPr>
      <t>Termômetro clínico, ajuste: digital, infravermelho, tipo: uso em testa, componentes: c, alarmes, medição à distância, memória: memória até 20 medições</t>
    </r>
  </si>
  <si>
    <r>
      <rPr>
        <sz val="9"/>
        <rFont val="Times New Roman"/>
        <family val="1"/>
      </rPr>
      <t>Glutaraldeído, concentração: a 2%, forma física: solução aquosa, característica adicional: pré- ativado</t>
    </r>
  </si>
  <si>
    <r>
      <rPr>
        <sz val="9"/>
        <rFont val="Times New Roman"/>
        <family val="1"/>
      </rPr>
      <t>Frasco 1 L</t>
    </r>
  </si>
  <si>
    <r>
      <rPr>
        <sz val="9"/>
        <rFont val="Times New Roman"/>
        <family val="1"/>
      </rPr>
      <t>Glutaraldeído, apresentação: solução a 2%, indicação: com pó ativador para 28 dias</t>
    </r>
  </si>
  <si>
    <r>
      <rPr>
        <sz val="9"/>
        <rFont val="Times New Roman"/>
        <family val="1"/>
      </rPr>
      <t>Galão 5 L</t>
    </r>
  </si>
  <si>
    <r>
      <rPr>
        <sz val="9"/>
        <rFont val="Times New Roman"/>
        <family val="1"/>
      </rPr>
      <t>Indicador químico, tipo uso: externo, apresentação: tira plástica, características adicionais: monitoração da concentração de glutaraldeído. Frasco unitário com 30 fitas.</t>
    </r>
  </si>
  <si>
    <r>
      <rPr>
        <sz val="9"/>
        <rFont val="Times New Roman"/>
        <family val="1"/>
      </rPr>
      <t>Frasco com 30 unidades</t>
    </r>
  </si>
  <si>
    <r>
      <rPr>
        <sz val="9"/>
        <rFont val="Times New Roman"/>
        <family val="1"/>
      </rPr>
      <t>Swab, material: haste plástica, tipo ponta: ponta de algodão, apresentação: embalagem individual em tubo plástico, aditivos: com solução reagente, esterilidade: estéril, tipo de uso: descartável</t>
    </r>
  </si>
  <si>
    <r>
      <rPr>
        <sz val="9"/>
        <rFont val="Times New Roman"/>
        <family val="1"/>
      </rPr>
      <t>Haste flexível, haste flexível</t>
    </r>
  </si>
  <si>
    <r>
      <rPr>
        <sz val="9"/>
        <rFont val="Times New Roman"/>
        <family val="1"/>
      </rPr>
      <t>Caixa com 75 Unidades</t>
    </r>
  </si>
  <si>
    <r>
      <rPr>
        <sz val="9"/>
        <rFont val="Times New Roman"/>
        <family val="1"/>
      </rPr>
      <t>Pilha, tamanho: pequena, modelo: AA, características adicionais: não recarregável, sistema eletroquímico: alcalina, tensão nominal: 1,5 v</t>
    </r>
  </si>
  <si>
    <r>
      <rPr>
        <sz val="9"/>
        <rFont val="Times New Roman"/>
        <family val="1"/>
      </rPr>
      <t>Pilha recarregável, composição: níquel metal hidreto (nimh), modelo: aa, tensão: 1,5 v, capacidade corrente: 2.300 mah, aplicação: equipamentos eletrônicos</t>
    </r>
  </si>
  <si>
    <r>
      <rPr>
        <sz val="9"/>
        <rFont val="Times New Roman"/>
        <family val="1"/>
      </rPr>
      <t>Pilha, tamanho: pequena, tipo: alcalina, modelo: AAA, tensão: 1,5 v, características adicionais: não recarregável</t>
    </r>
  </si>
  <si>
    <r>
      <rPr>
        <sz val="9"/>
        <rFont val="Times New Roman"/>
        <family val="1"/>
      </rPr>
      <t>Pilha recarregável, composição: níquel metal hidreto (nimh), tamanho pilha: palito, modelo: AAA, tensão: 1,5 v, capacidade corrente: 800 mah</t>
    </r>
  </si>
  <si>
    <r>
      <rPr>
        <sz val="9"/>
        <rFont val="Times New Roman"/>
        <family val="1"/>
      </rPr>
      <t>Carregador  bateria,  tensão  alimentação:  220  v, capacidade:   8   pilhas,   características   adicionais: com circuitos independentes 2 a 2(carregar 2 ou 4, tipo bateria: recarregáveis AA e AAA.</t>
    </r>
  </si>
  <si>
    <r>
      <rPr>
        <sz val="9"/>
        <rFont val="Times New Roman"/>
        <family val="1"/>
      </rPr>
      <t>Pano   Limpeza,   Material   100%   em   Fibra   De Viscose,  Látex  Sintético,  Comprimento  300  M, Largura    33    cm.    Características    Adicionais Microperfurado/Gramatura    41g/    M2/Multiuso, Aplicação Uso Geral, tipo Bobina</t>
    </r>
  </si>
  <si>
    <r>
      <rPr>
        <sz val="9"/>
        <rFont val="Times New Roman"/>
        <family val="1"/>
      </rPr>
      <t>Rolo</t>
    </r>
  </si>
  <si>
    <r>
      <rPr>
        <sz val="9"/>
        <rFont val="Times New Roman"/>
        <family val="1"/>
      </rPr>
      <t>Imobilizador  de  cabeça  headblock  impermeável. Imobilizador  de  cabeça  (coxim):  confeccionado em   abs\,   resistente   a   impactos;   utilizado   em conjuntocomprancha  de  imobilização;  anatômico\, regulagem   com   velcro\,   base   com   regulagem. Imobilizador  de  cabeça  (coxim):  confeccionado em  abs\,   resistente  a  impactos;  uti  lizado   em conjunto     com     prancha     de     imobilização; anatômico\,  regulagem  com  velcr  o\,  base  com regulagem.</t>
    </r>
  </si>
  <si>
    <r>
      <rPr>
        <sz val="9"/>
        <rFont val="Times New Roman"/>
        <family val="1"/>
      </rPr>
      <t>Desfibrilador, tipo: externo automático, tipo onda: bifásica, tempo máximo carga: até 10 s, memória: gravação  ECG  /  eventos  /  RCP,  peso:  cerca  de  3 kg,  alimentação:  bateria  lítio,  componente:  pás externas  e  adesivas,  componentes  adicionais:  tela c/  mensagem  de  texto,  características  adicionais: comando  de  voz,  tipo  módulo:  portátil,  c/  alça transporte, maleta</t>
    </r>
  </si>
  <si>
    <r>
      <rPr>
        <sz val="10"/>
        <rFont val="Times New Roman"/>
        <family val="1"/>
      </rPr>
      <t xml:space="preserve">Testa. Componentes: C/ Alarmes, Medição À Distância. Memória: Memória Até 10
</t>
    </r>
    <r>
      <rPr>
        <sz val="10"/>
        <rFont val="Times New Roman"/>
        <family val="1"/>
      </rPr>
      <t>Medições.</t>
    </r>
  </si>
  <si>
    <r>
      <rPr>
        <sz val="9"/>
        <rFont val="Times New Roman"/>
        <family val="1"/>
      </rPr>
      <t>Otoscópio,  tipo  clínico,  características  adicionais com 5 espéculo reutilizáveis, estojo em nylon</t>
    </r>
  </si>
  <si>
    <r>
      <rPr>
        <sz val="9"/>
        <rFont val="Times New Roman"/>
        <family val="1"/>
      </rPr>
      <t>Maca   de   resgate,   material:   polietileno,   tipo: prancha,  tamanho:  adulto,  largura:  cerca  de  0,40 m, capacidade de carga: até 250 kg, componentes: até  5  cintos  de  segurança,  componentes  01:  cinto imobilizador para cabeça</t>
    </r>
  </si>
  <si>
    <r>
      <rPr>
        <sz val="9"/>
        <rFont val="Times New Roman"/>
        <family val="1"/>
      </rPr>
      <t>Nebulizador,  tipo:  ultrassônico,  modelo:  de  mesa, ajuste:   com   interruptor   liga/desliga,   material: compressor  c/  gabinete  plástico,  componentes  no mínimo: máscara, traqueia</t>
    </r>
  </si>
  <si>
    <r>
      <rPr>
        <sz val="9"/>
        <rFont val="Times New Roman"/>
        <family val="1"/>
      </rPr>
      <t>Armário  vitrine  hospitalar  com  portas  laterais  e  4 prateleiras    em    vidro    transparente    de    3mm. Estrutura\,    teto    em    chapa.    Pés    em    tubo componteiras   de   borracha,   totalmente   pintado. Fechadura  cilíndrica.  Dimensões  mínimas:  0,65m d  e  largura  x  0,40m  de  profundidade  x  1,65m  de altura, aplicação hospitalar.</t>
    </r>
  </si>
  <si>
    <r>
      <rPr>
        <sz val="9"/>
        <rFont val="Times New Roman"/>
        <family val="1"/>
      </rPr>
      <t>Carro De Emergência Hospitalar, Estrutura Chapas De  Aço  Inoxidável,  Suporte  Para  Monitor,  Base Giratória,   Para   Choque   Com   Para   Choque, Borracha  Ou  Pvc  Em  Toda  Extensão,  Rodízios Com  Rodízios,  Dimensões  Aproximadas:  1,00  X 0,45   X   0,80   M,   Características   Adicionais   01 Suporte  Soro  E  Cilindro  De  O2,  Acessórios  02 Trava De Gavetas Com Lacre</t>
    </r>
  </si>
  <si>
    <r>
      <rPr>
        <sz val="9"/>
        <rFont val="Times New Roman"/>
        <family val="1"/>
      </rPr>
      <t>Glicosímetro   (c/   tiras\,   lancetas   e   lancetador) glicosímetro   para   medição   de   glicemia   capilar (glicosímetrodigital)\,  tempo  de  resultado  de  teste de 0 a 15segUnidades\, e volume de amostra de até 03   microlitros\,   obtidos   por   capilaridade.   O aparelho   deve   permitir   determinação   precisa   e segura  de  glicemia  em  sangue  capilar  de  recém- nascido\,  criança\,  adultos  e  pacientes  em  uso  de insulina.  O  glicosímetro  deve  acompanhar\,  no mínimo:  1  caneta  lancetadora\,  50lancetas\,  5  0 tiras de teste e 1 bateria\, compatíveis. Garantia de no mínimo 12 (doze) meses.</t>
    </r>
  </si>
  <si>
    <r>
      <rPr>
        <sz val="9"/>
        <rFont val="Times New Roman"/>
        <family val="1"/>
      </rPr>
      <t>Termohigrômetro, tipo: digital, fonte alimentação: bateria  9  v,  faixa  temperatura:  0  a  +  50  °c,  faixa medição humidade relativa: 10 a 95 per, resolução: 1%  °c.  Aplicação:  Monitoramento  Temperatura eumidade.</t>
    </r>
  </si>
  <si>
    <r>
      <rPr>
        <sz val="9"/>
        <rFont val="Times New Roman"/>
        <family val="1"/>
      </rPr>
      <t>Álcool  metílico,  aspecto  físico:  líquido,  fórmula química: ch3oh, peso molecular: 32,04 g/mol, grau de pureza: pureza mínima de 99,9%,</t>
    </r>
  </si>
  <si>
    <r>
      <rPr>
        <sz val="9"/>
        <rFont val="Times New Roman"/>
        <family val="1"/>
      </rPr>
      <t>Frasco 1 Litro</t>
    </r>
  </si>
  <si>
    <r>
      <rPr>
        <sz val="9"/>
        <rFont val="Times New Roman"/>
        <family val="1"/>
      </rPr>
      <t>Éter   dietílico,   apresentação:   solução   alcoólica, concentração: 50%</t>
    </r>
  </si>
  <si>
    <r>
      <rPr>
        <sz val="9"/>
        <rFont val="Times New Roman"/>
        <family val="1"/>
      </rPr>
      <t>Reagente para diagnóstico clínico 7, tipo: conjunto completo,      tipo      de      análise:      qualitativo anticoronavírus  covid-19  igg  e  igm,  apresentação: teste, método: imunocromatografia</t>
    </r>
  </si>
  <si>
    <r>
      <rPr>
        <sz val="9"/>
        <rFont val="Times New Roman"/>
        <family val="1"/>
      </rPr>
      <t>Teste</t>
    </r>
  </si>
  <si>
    <r>
      <rPr>
        <sz val="9"/>
        <rFont val="Times New Roman"/>
        <family val="1"/>
      </rPr>
      <t>Reagente para diagnóstico clínico 7, tipo: conjunto completo    para    automação,    tipo    de    análise: qualitativo     antígeno     coronavírus     covid-19, apresentação:     teste,     método:     imunoensaio fluorescente</t>
    </r>
  </si>
  <si>
    <r>
      <rPr>
        <sz val="9"/>
        <rFont val="Times New Roman"/>
        <family val="1"/>
      </rPr>
      <t>Reagente analítico 1, tipo: conjunto completo, tipo de   análise:   qualitativas   drogas,   característica adicional:  colorimétrico,  componentes:  alcaloides, ópio,     heroína,     morfina,     cocaína,     crack, componentes           adicionais:           anfetamina, metanfetamina,      barbitúricos,      lsd,      outros componentes: maconha, haxixe, thc</t>
    </r>
  </si>
  <si>
    <r>
      <rPr>
        <sz val="9"/>
        <rFont val="Times New Roman"/>
        <family val="1"/>
      </rPr>
      <t>Reagente para diagnóstico clínico 7, tipo: conjunto completo,  tipo  de  análise:  qualitativo  de  drogas lícitas   e   ilícitas,   método:   imunocromatografia, apresentação:    teste,    características    adicionais: metanfetamina,      anfetamina,      morfina,      thc, componentes             adicionais:             cocaína, benzodiazepínicos</t>
    </r>
  </si>
  <si>
    <r>
      <rPr>
        <sz val="9"/>
        <rFont val="Times New Roman"/>
        <family val="1"/>
      </rPr>
      <t>Reagente para diagnóstico clínico 1, tipo: conjunto completo, tipo de análise: qualitativo antizika vírus igg     e     igm,     método:     imunocromatografia, apresentação: teste</t>
    </r>
  </si>
  <si>
    <r>
      <rPr>
        <sz val="9"/>
        <rFont val="Times New Roman"/>
        <family val="1"/>
      </rPr>
      <t>Reagente para diagnóstico clínico 6, tipo: conjunto completo, tipo de análise: qualitativo de anticorpos anti-treponema             pallidum,             método: imunocromatografia, apresentação: teste</t>
    </r>
  </si>
  <si>
    <r>
      <rPr>
        <sz val="9"/>
        <rFont val="Times New Roman"/>
        <family val="1"/>
      </rPr>
      <t>Cloridrato de metilfenidato 36 mg comprimidos de liberação prolongada</t>
    </r>
  </si>
  <si>
    <r>
      <rPr>
        <sz val="9"/>
        <rFont val="Times New Roman"/>
        <family val="1"/>
      </rPr>
      <t>Avental hospitalar, tipo: capote cirúrgico,  material: sms, tamanho: único, gramatura: cerca de 40 g/cm2, cor: branco, componente: tiras para fixação, característica adicional: manga longa, punho malha.</t>
    </r>
  </si>
  <si>
    <r>
      <rPr>
        <sz val="9"/>
        <rFont val="Times New Roman"/>
        <family val="1"/>
      </rPr>
      <t xml:space="preserve">Luva para procedimento não cirúrgico, material: látex natural íntegro e uniforme, tamanho: </t>
    </r>
    <r>
      <rPr>
        <b/>
        <sz val="9"/>
        <rFont val="Times New Roman"/>
        <family val="1"/>
      </rPr>
      <t>PEQUENO</t>
    </r>
    <r>
      <rPr>
        <sz val="9"/>
        <rFont val="Times New Roman"/>
        <family val="1"/>
      </rPr>
      <t>, características adicionais: sem pó, tipo: ambidestra.</t>
    </r>
  </si>
  <si>
    <r>
      <rPr>
        <sz val="9"/>
        <rFont val="Times New Roman"/>
        <family val="1"/>
      </rPr>
      <t xml:space="preserve">Caixa com 100
</t>
    </r>
    <r>
      <rPr>
        <sz val="9"/>
        <rFont val="Times New Roman"/>
        <family val="1"/>
      </rPr>
      <t>unidades</t>
    </r>
  </si>
  <si>
    <r>
      <rPr>
        <sz val="9"/>
        <rFont val="Times New Roman"/>
        <family val="1"/>
      </rPr>
      <t xml:space="preserve">Luva para procedimento não cirúrgico, material: látex natural íntegro e uniforme, tamanho: </t>
    </r>
    <r>
      <rPr>
        <b/>
        <sz val="9"/>
        <rFont val="Times New Roman"/>
        <family val="1"/>
      </rPr>
      <t>GRANDE</t>
    </r>
    <r>
      <rPr>
        <sz val="9"/>
        <rFont val="Times New Roman"/>
        <family val="1"/>
      </rPr>
      <t>, características adicionais: sem pó, tipo: ambidestra.</t>
    </r>
  </si>
  <si>
    <r>
      <rPr>
        <sz val="9"/>
        <rFont val="Times New Roman"/>
        <family val="1"/>
      </rPr>
      <t xml:space="preserve">Luva para procedimento não cirúrgico, material: látex natural íntegro e uniforme, tamanho: </t>
    </r>
    <r>
      <rPr>
        <b/>
        <sz val="9"/>
        <rFont val="Times New Roman"/>
        <family val="1"/>
      </rPr>
      <t>EXTRAPEQUENO</t>
    </r>
    <r>
      <rPr>
        <sz val="9"/>
        <rFont val="Times New Roman"/>
        <family val="1"/>
      </rPr>
      <t>, características adicionais: sem pó, antiderrapante, tipo: ambidestra.</t>
    </r>
  </si>
  <si>
    <r>
      <rPr>
        <sz val="9"/>
        <rFont val="Times New Roman"/>
        <family val="1"/>
      </rPr>
      <t xml:space="preserve">Luva para procedimento não cirúrgico, material: látex natural, tamanho: </t>
    </r>
    <r>
      <rPr>
        <b/>
        <sz val="9"/>
        <rFont val="Times New Roman"/>
        <family val="1"/>
      </rPr>
      <t>MÉDIO</t>
    </r>
    <r>
      <rPr>
        <sz val="9"/>
        <rFont val="Times New Roman"/>
        <family val="1"/>
      </rPr>
      <t>, características adicionais: sem pó, esterilidade: não esterilizada, cor: branca, aplicação: proteção para as mãos, tipo: ambidestra, modelo: hipoalérgica.</t>
    </r>
  </si>
  <si>
    <r>
      <rPr>
        <sz val="9"/>
        <rFont val="Times New Roman"/>
        <family val="1"/>
      </rPr>
      <t xml:space="preserve">Avental Procedimento - Paramentação. Esterilidade: Não Estéril, Descartável. Material: Não Tecido 100% Polipropileno - Tipo SMS. Tipo De Barreira: C/ Barreira Bacteriana. Propriedade: Hidrorepelente. Gramatura: Cerca De 30 G/M2.
</t>
    </r>
    <r>
      <rPr>
        <sz val="9"/>
        <rFont val="Times New Roman"/>
        <family val="1"/>
      </rPr>
      <t xml:space="preserve">Modelo Manga: Longa C/ Punho Em Malha
</t>
    </r>
    <r>
      <rPr>
        <sz val="9"/>
        <rFont val="Times New Roman"/>
        <family val="1"/>
      </rPr>
      <t>Tamanho: Médio (M). Cor: C/ Cor. Tipo Fechamento: Posterior P/ Pescoço e Cintura</t>
    </r>
  </si>
  <si>
    <r>
      <rPr>
        <sz val="9"/>
        <rFont val="Times New Roman"/>
        <family val="1"/>
      </rPr>
      <t>Máscara gasoterapia, aplicação: p, alta concentração de não reinalação, material: plástico, tamanho: INFANTIL, tipo fixação: c, clipe nasal e fixador cefálico ajustável, componente adicional: c, válvulas e balão reservatório, tipo conector: conector padrão</t>
    </r>
  </si>
  <si>
    <r>
      <rPr>
        <sz val="9"/>
        <rFont val="Times New Roman"/>
        <family val="1"/>
      </rPr>
      <t>Máscara gasoterapia, aplicação: p, alta concentração de não reinalação, material: plástico, tamanho: ADULTO, tipo fixação: c, clipe nasal e fixador cefálico ajustável, componente adicional: c, válvulas e balão reservatório, tipo conector: conector padrão</t>
    </r>
  </si>
  <si>
    <r>
      <rPr>
        <sz val="9"/>
        <rFont val="Times New Roman"/>
        <family val="1"/>
      </rPr>
      <t>Material gasoterapia, modelo: macronebulizador, saída: p, oxigênio, tipo máscara: máscara em silicone, c, ajuste, tamanho: adulto, tipo frasco: frasco acrílico graduado, c, tampa, volume: cerca de 500 ml, tipo extensão: traqueia corrugada em silicone c, conectores, comprimento extensão: cerca de 1,5 m, característica adicional: conector metal c,rosca, esterilidade : esterilizável</t>
    </r>
  </si>
  <si>
    <r>
      <rPr>
        <sz val="9"/>
        <rFont val="Times New Roman"/>
        <family val="1"/>
      </rPr>
      <t>Tampa Protetora Uso Médico. Aplicação 1: P/ Conectores - Equipo, Extensor, Seringa, Cateter. Tipo: Luer Lock E Slip. Material: Polímero. Tipo</t>
    </r>
  </si>
  <si>
    <r>
      <rPr>
        <sz val="9"/>
        <rFont val="Times New Roman"/>
        <family val="1"/>
      </rPr>
      <t>Somatropina 10 mg/ml, solução injetável, característica adicional: com aplicador. (Equivalente a 15 mg/1,5mL)</t>
    </r>
  </si>
  <si>
    <r>
      <rPr>
        <sz val="9"/>
        <rFont val="Times New Roman"/>
        <family val="1"/>
      </rPr>
      <t>Seringa preenchida 1,5 mL</t>
    </r>
  </si>
  <si>
    <r>
      <rPr>
        <sz val="9"/>
        <rFont val="Times New Roman"/>
        <family val="1"/>
      </rPr>
      <t>Butilbrometo de escopolamina + dipirona solução injetável 4 mg/mL + 500 mg/mL</t>
    </r>
  </si>
  <si>
    <r>
      <rPr>
        <sz val="9"/>
        <rFont val="Times New Roman"/>
        <family val="1"/>
      </rPr>
      <t>Valerato de betametasona 1 mg/g creme dermatológico</t>
    </r>
  </si>
  <si>
    <r>
      <rPr>
        <sz val="9"/>
        <rFont val="Times New Roman"/>
        <family val="1"/>
      </rPr>
      <t>Tubo</t>
    </r>
  </si>
  <si>
    <r>
      <rPr>
        <sz val="9"/>
        <rFont val="Times New Roman"/>
        <family val="1"/>
      </rPr>
      <t>Olmesartana medoxomila, concentração 40 mg</t>
    </r>
  </si>
  <si>
    <r>
      <rPr>
        <sz val="9"/>
        <rFont val="Times New Roman"/>
        <family val="1"/>
      </rPr>
      <t>Levanlodipino besilato, concentração 2,5 mg</t>
    </r>
  </si>
  <si>
    <r>
      <rPr>
        <sz val="9"/>
        <rFont val="Times New Roman"/>
        <family val="1"/>
      </rPr>
      <t>Rosuvastatina cálcica, concentração 20 mg</t>
    </r>
  </si>
  <si>
    <r>
      <rPr>
        <sz val="9"/>
        <rFont val="Times New Roman"/>
        <family val="1"/>
      </rPr>
      <t xml:space="preserve">Equipamento odontológico, tipo: jato bicarbonato e ultrassom, aspecto físico: motor de bancada, material corpo: plástico abs, indicação: profilaxia, periodontia, fonte: eletro-pneumático, instalação: bivolt, componentes adicionais: reservatório pó, ponteira removível autoclavável, componentes: 2 peças de mão, 3 ponteiras, pedal. Descrição complementar: Aparelho de ultrassom mais jato de bicarbonato. Transdutor Ultrassom: sistema piezoelétrico ativado através de pastilhas cerâmicas em frequência de 30.000 Hz. Bomba peristáltica com regulagemdo fluxo de água.
</t>
    </r>
    <r>
      <rPr>
        <sz val="9"/>
        <rFont val="Times New Roman"/>
        <family val="1"/>
      </rPr>
      <t xml:space="preserve">Reservatório de água removível translúcido com iluminação a LED. Peça de mão do jato de bicarbonato removível e autoclavável. Seletor digital de Operação (jato de bicarbonato
</t>
    </r>
    <r>
      <rPr>
        <sz val="9"/>
        <rFont val="Times New Roman"/>
        <family val="1"/>
      </rPr>
      <t xml:space="preserve">/ultrassom).  Opção de 3 funções programáveis: Perio, Endo e Scalling.  Tecla geral Liga/Desliga com LED indicativo no painel.  Capas autoclaváveis. Alimentação: Bivolt
</t>
    </r>
    <r>
      <rPr>
        <sz val="9"/>
        <rFont val="Times New Roman"/>
        <family val="1"/>
      </rPr>
      <t>automático.  Capacidade de líquido no reservatório: 1L. Frequência das vibrações do ultrassom: 30.000 Hz. Pressão de entrada de ar comprimido: Máxima -80 PSI / Mínima 70 PSI.</t>
    </r>
  </si>
  <si>
    <r>
      <rPr>
        <sz val="9"/>
        <rFont val="Times New Roman"/>
        <family val="1"/>
      </rPr>
      <t xml:space="preserve">luminoso indicativo de funcionamento/repouso. Motor sem escovas de carvão (de indução), rotor de ângulo fixo e pés de borracha aderentes (tipo ventosas), ajuste digital de velocidade e tempo c/ painel de controle programável, com temporizador de 15 seg a 99 min e velocidade ajustável de 100 rpm a 4500 rpm. Capacidade para até 12 tubos de 12 x 75ml, acionamento automático de freio.
</t>
    </r>
    <r>
      <rPr>
        <sz val="9"/>
        <rFont val="Times New Roman"/>
        <family val="1"/>
      </rPr>
      <t>Adicional segurança: tampa aberta, bloqueio automático tampa, alarme desbalanceamento, componentes c/ adaptadores para tubos de 3 a 15ml. Voltagem: bivolt automático. Acessórios manual de operação em português e certificado de calibração, 1 ano de garantia.</t>
    </r>
  </si>
  <si>
    <r>
      <rPr>
        <sz val="9"/>
        <rFont val="Times New Roman"/>
        <family val="1"/>
      </rPr>
      <t xml:space="preserve">Aparelho iluminador transdérmico, aplicação: visualizar vasos sanguíneos, material: diodos emissores de luz, característica adicional: portátil. Descrição complementar: Aparelho iluminador transdérmico, aplicação: visualizar vasos sanguíneos, material: diodos emissores de luz, característica adicional: móvel com rodízios.
</t>
    </r>
    <r>
      <rPr>
        <sz val="9"/>
        <rFont val="Times New Roman"/>
        <family val="1"/>
      </rPr>
      <t xml:space="preserve">Descrição complementar: visualizador de veias para punção venosa, portátil, que utilize luz infravermelha para exibir um mapa da vasculatura na superfície da pele em tempo real, com projeção de imagem dos vasos sanguíneos em alta definição, com capacidade de detecção de veias de 10 mm de profundidade, permitindo verificar a permeabilidade das veias, válvulas e bifurcações, sem contato com superfície do paciente. Peso aproximado entre 300g a 700g. O equipamento deve possuir modo inverso de contraste de forma a permitir a visualização perfeita em ambos os modos (claro e escuro) em diferentes tons de pele ou regiões não tricotomizadas, e também foco automático, sem necessidade de ajustes. Deve possibilitar a visualização em qualquer ângulo que seja utilizado. No conjunto devem estar inclusos bateria recarregável e suporte / base flexíveis.
</t>
    </r>
    <r>
      <rPr>
        <sz val="9"/>
        <rFont val="Times New Roman"/>
        <family val="1"/>
      </rPr>
      <t>Certificado pela Anvisa (Brasil) ou FDA (EUA). Com garantia de 1 ano. (Modelo tipo Accuvei nAV500).</t>
    </r>
  </si>
  <si>
    <r>
      <rPr>
        <sz val="9"/>
        <rFont val="Times New Roman"/>
        <family val="1"/>
      </rPr>
      <t>Equipamento odontológico, tipo: fotopolimerizador, aspecto físico: base peça de mão sem fio, material ponteira: ponteira fibra ótica ou acrílico, material corpo: plástico abs, fonte: luz led, instalação: elétrica, componentes: protetor ocular. Descrição complementar: Fotopolimerizador para uso odontológico, painel de controle, com emissão de luz LED. Com as seguintes características mínimas: comprimento de onda entre 440 e 480 nm; potência mínima acima de 1200 mW/cmZ; com bip sonoro; bateria recarregável Lition ou qualidade superior; Display digital para controle de tempo de operação; com três modos de operação: contínua, rampa e pulsada; Alimentação e létrica bivolt automática (110 220 Volts); O equipamento deverá possuir</t>
    </r>
  </si>
  <si>
    <r>
      <rPr>
        <sz val="9"/>
        <rFont val="Times New Roman"/>
        <family val="1"/>
      </rPr>
      <t>Oftalmoscópio, tipo: de bolso, tipo luz: halógena, tensão alimentação: 2,50 v, características adicionais: 3 aberturas, 19 lentes, à pilha, cor filtros: filtro azu l de cobalto livre de vermelho. Descrição complementar: Oftalmoscópio, direto, conjunto para diagnostico, constando de no mínimo as seguintes características: disco de abertura com no mínimo seis posições e 20 lentes de focalização com uma faixa de 25 a + 40 dioptrias, no mínimo; filtros para redução de reflexos da córnea, controle manual de  iluminação; Possuir iluminação halogena e dispositivo protetor contra infiltração de poeira e mostrador iluminado. Alimentação por bateria interna recarregável, base com recarregador bivolt automático; acompanha todo o conjunto um estojo tipo maleta para transporte e 04 (quatro) lâmpadas extras. Devem ser entregues com o produto todos os cabos, conectores, adaptadores e demais itens necessários ao perfeito funcionamento do conjunto ofertado. (Modelo WelchAllyn ou similar).</t>
    </r>
  </si>
  <si>
    <r>
      <rPr>
        <sz val="9"/>
        <rFont val="Times New Roman"/>
        <family val="1"/>
      </rPr>
      <t xml:space="preserve">Negatoscópio, material estrutura: chapa aço, acabamento superficial estrutura: tratamento antiferruginoso, material visor: acrílico translúcido, comprimento: 70 cm, largur a: cerca de 40 cm, tensão alimentação: 110 v, aplicação: c, 2 corpos p, fixação em parede, características adicionais: prendedor radiografia no corpo, tecla liga, desliga. Descrição complementar: Negatoscópio para mamografia com 4 corpos para 8 filmes de 20 x 25 cm, para fixar na parede.
</t>
    </r>
    <r>
      <rPr>
        <sz val="9"/>
        <rFont val="Times New Roman"/>
        <family val="1"/>
      </rPr>
      <t>Estrutura e fixadores em aço tratado e pintado, com superfície frontal translúcida em acrílico branco leitoso; Iluminação através de placas de leds, atingindo luminância de 3000 a 3500 NITs; Acendimento individual para cada corpo e botão liga/desliga; Foco de luz central ou lateral com luz branca de alta intensidade; Acompanhando lupa de ampliação. Dotada de prendedores para fixação dos filmes. Alimentação: 110V. Dimensões mínimas: 100cm (largura) x 54cm (altura) x 5cm (profundidade) (Modelo: GRX ou similar</t>
    </r>
  </si>
  <si>
    <r>
      <rPr>
        <sz val="9"/>
        <rFont val="Times New Roman"/>
        <family val="1"/>
      </rPr>
      <t xml:space="preserve">Divã Clínico. Material Estrutura: Aço Carbono. Cor: Pintura Epóxi. Comprimento: Cerca De 2,10
</t>
    </r>
    <r>
      <rPr>
        <sz val="9"/>
        <rFont val="Times New Roman"/>
        <family val="1"/>
      </rPr>
      <t xml:space="preserve">m. Largura: Cerca De 0,80 m. Características Adicionais: Cabeceira Regulável, Pés Com Ponteira de borracha. Material Estofamento: Com Espuma D33. Revestimento: Revestido Em
</t>
    </r>
    <r>
      <rPr>
        <sz val="9"/>
        <rFont val="Times New Roman"/>
        <family val="1"/>
      </rPr>
      <t>Courvin. Capacidade Carga: Até 150 KG.</t>
    </r>
  </si>
  <si>
    <r>
      <rPr>
        <sz val="9"/>
        <rFont val="Times New Roman"/>
        <family val="1"/>
      </rPr>
      <t>Biombo Hospitalar. Material: Aço Inoxidável. Acabamento Da Estrutura: Pintura Em Epóxi. Tipo: Triplo Dobrável. Altura: 2,00 CM. Comprimento: Comprimento 2,00 Aproximadamente, Aberto CM. Tipo De Rodízio: Ponteiras Giratórias. Acabamento Do Rodízio: Termoplástica. Características Adicionais: Tecido Brim</t>
    </r>
  </si>
  <si>
    <r>
      <rPr>
        <sz val="9"/>
        <rFont val="Times New Roman"/>
        <family val="1"/>
      </rPr>
      <t xml:space="preserve">Escada Hospitalar. Material: Estrutura Em Aço Inoxidável. Número Degraus: 2 Degraus.
</t>
    </r>
    <r>
      <rPr>
        <sz val="9"/>
        <rFont val="Times New Roman"/>
        <family val="1"/>
      </rPr>
      <t>Revestimento Degraus: Antiderrapante em alumínio. Características Adicionais: Pés Com Ponteira De Borracha.</t>
    </r>
  </si>
  <si>
    <r>
      <rPr>
        <sz val="9"/>
        <rFont val="Times New Roman"/>
        <family val="1"/>
      </rPr>
      <t>Estetoscópio, tipo: biauricular, acessórios: olivas anatômicas pvc, haste: haste aço inox, tubo: tubo "y" pvc, auscultador: auscultador aço inox com anel de borracha, tamanho: adulto. Descrição Complementar: adulto. Sensibilidade acústica de 20 a 500hz, par de olivas extra. (Modelo: WELCH ALLYN QUALIDADE SIMILAR OU SUPERIOR).</t>
    </r>
  </si>
  <si>
    <r>
      <rPr>
        <sz val="9"/>
        <rFont val="Times New Roman"/>
        <family val="1"/>
      </rPr>
      <t xml:space="preserve">Tubo hospitalar, material: silicone transparente, referência: nº 204, diâmetro interno: cerca de 6,0 mm, comprimento: 3,0 m, adicionais: com conectores, esterilidade: estéril, uso único.
</t>
    </r>
    <r>
      <rPr>
        <sz val="9"/>
        <rFont val="Times New Roman"/>
        <family val="1"/>
      </rPr>
      <t>Descrição Complementar: tubo extensor para aspiração, drenagem e oxigenioterapia.</t>
    </r>
  </si>
  <si>
    <r>
      <rPr>
        <sz val="9"/>
        <rFont val="Times New Roman"/>
        <family val="1"/>
      </rPr>
      <t>Lençol Descartável Uso Hospitalar. Matéria Prima: 100% Polipropileno, Não Tecido TNT. Gramatura 1: Cerca De 30 G/M2. Dimensões: Cerca De 100 X 200 cm. Apresentação 1: C/ Elástico.</t>
    </r>
  </si>
  <si>
    <r>
      <rPr>
        <sz val="9"/>
        <rFont val="Times New Roman"/>
        <family val="1"/>
      </rPr>
      <t xml:space="preserve">Reanimador adulto / Ambu. Reanimador manual, material balão: silicone, capacidade balão: cerca 1,5 L, componente 1: máscara plástico rígido com coxim silicone, tipo válvula: válvula unidirecional pop off cerca 60 CMH2, componente 2: reservatório de oxigênio em plástico c, válvula, componentes 3: entrada de oxigênio e extensor pvc, tamanhos: adulto. Descrição Complementar: Confeccionado em silicone transparente, de alta qualidade. Autolavável. Bolsa reservatório de oxigênio com capacidade mínima de 2,5 litros.
</t>
    </r>
    <r>
      <rPr>
        <sz val="9"/>
        <rFont val="Times New Roman"/>
        <family val="1"/>
      </rPr>
      <t>Tubo extensor de oxigênio de no mínimo 150 cm. Todo o conjunto deve ser desmontável, os diafragmas, válvulas e demais peças que compõem o reanimador ofertado devem ser vendidas no mercado de forma avulsa. Possuir registro no Ministério da Saúde / ANVISA.</t>
    </r>
  </si>
  <si>
    <r>
      <rPr>
        <sz val="9"/>
        <rFont val="Times New Roman"/>
        <family val="1"/>
      </rPr>
      <t>única,suporta 15kg,identificado,etiquetado, espessura: 0,08 mm mm, material: polietileno alta densidade Descrição Complementar: com simbologia de substância infectante, aplicação hospitalar.</t>
    </r>
  </si>
  <si>
    <r>
      <rPr>
        <sz val="9"/>
        <rFont val="Times New Roman"/>
        <family val="1"/>
      </rPr>
      <t>Pacote 100 unidades</t>
    </r>
  </si>
  <si>
    <r>
      <rPr>
        <sz val="9"/>
        <rFont val="Times New Roman"/>
        <family val="1"/>
      </rPr>
      <t>Saco plástico lixo, capacidade: 50 litros, cor: branco leitoso, largura: 63 cm, altura: 80 cm, características adicionais: com simbologia de substância infectante, normas técnicas: classe II - NBR 9191, material: resina termoplástica</t>
    </r>
  </si>
  <si>
    <r>
      <rPr>
        <sz val="9"/>
        <rFont val="Times New Roman"/>
        <family val="1"/>
      </rPr>
      <t>Saco Plástico Lixo com capacidade: 15 L. Cor: Branco Leitoso. Largura: 39 CM. Altura: 58 CM. Características Adicionais: Com Simbologia De Substância Infectante. Aplicação: Coleta De Resíduos De Serviços De Saúde</t>
    </r>
  </si>
  <si>
    <r>
      <rPr>
        <sz val="9"/>
        <rFont val="Times New Roman"/>
        <family val="1"/>
      </rPr>
      <t>Esfigmomanômetro. Ajuste: Analógico, Aneróide. Tipo: De Braço. Faixa De Operação: Até 300 MMHG. Material Braçadeira: Braçadeira Em Nylon. Tipo Fecho: Fecho Em Velcro. Tamanho: Adulto Obeso.</t>
    </r>
  </si>
  <si>
    <r>
      <rPr>
        <sz val="9"/>
        <rFont val="Times New Roman"/>
        <family val="1"/>
      </rPr>
      <t>Esfigmomanômetro. Ajuste: Analógico, Aneróide. Tipo: De Braço. Faixa De Operação: Até 300 MMHG. Material Braçadeira: Braçadeira Em Nylon. Tipo Fecho: Fecho Em Velcro. Tamanho: Infantil.</t>
    </r>
  </si>
  <si>
    <r>
      <rPr>
        <sz val="9"/>
        <rFont val="Times New Roman"/>
        <family val="1"/>
      </rPr>
      <t>Esfigmomanômetro. Ajuste: Analógico, Aneróide. Tipo: De Braço. Faixa De Operação: Até 300 MMHG. Material Braçadeira: Braçadeira Em Nylon. Tipo Fecho: Fecho Em Velcro. Tamanho: Adulto.</t>
    </r>
  </si>
  <si>
    <r>
      <rPr>
        <sz val="9"/>
        <rFont val="Times New Roman"/>
        <family val="1"/>
      </rPr>
      <t xml:space="preserve">Bolsa térmica gel, material: polímero, composição: com gel atóxico, capacidade: cerca 500 ml, características adicionais: selada.
</t>
    </r>
    <r>
      <rPr>
        <sz val="9"/>
        <rFont val="Times New Roman"/>
        <family val="1"/>
      </rPr>
      <t>Descrição Complementar: flexível, para termoterapia e crioterapia.</t>
    </r>
  </si>
  <si>
    <r>
      <rPr>
        <sz val="9"/>
        <rFont val="Times New Roman"/>
        <family val="1"/>
      </rPr>
      <t>Imobilizador (órtese), tipo: bota anatômica, material: tecido resistente, adicionais: com barbatanas em duralumínio, tamanho: tamanho P, posição: bilateral, modelo: longo, tipo fecho: tiras com velcro ajustáveis, tipo sola: sola de borracha antiderrapante</t>
    </r>
  </si>
  <si>
    <r>
      <rPr>
        <sz val="9"/>
        <rFont val="Times New Roman"/>
        <family val="1"/>
      </rPr>
      <t>Imobilizador (órtese), tipo: bota anatômica, material: tecido resistente, adicionais: com barbatanas em duralumínio, tamanho: tamanho M, posição: bilateral, modelo: longo, tipo fecho: tiras com velcro ajustáveis, tipo sola: sola de borracha antiderrapante</t>
    </r>
  </si>
  <si>
    <r>
      <rPr>
        <sz val="9"/>
        <rFont val="Times New Roman"/>
        <family val="1"/>
      </rPr>
      <t>Imobilizador (órtese), tipo: bota anatômica, material: tecido resistente, adicionais: com barbatanas em duralumínio, tamanho: tamanho G, posição: bilateral, modelo: longo, tipo fecho: tiras com velcro ajustáveis, tipo sola: sola de borracha antiderrapante</t>
    </r>
  </si>
  <si>
    <r>
      <rPr>
        <sz val="9"/>
        <rFont val="Times New Roman"/>
        <family val="1"/>
      </rPr>
      <t xml:space="preserve">Compressa gaze, material: tecido 100% algodão, modelo: cor branca, isenta de impurezas, camadas: 8 camadas, quantidade fios: 13 fios/cm2, largura: 7,50 cm, comprimento: 7,50 cm, dobras: 5 dobras, características adicionais: com fio radiopaco, descartável. Descrição Complementar: não estéril, isenta de resíduo e impurezas e produtos tóxicos, deve promover absorção segura, trama regular e sem desprendimento de fios. Embalagem resistente, segura, de fácil abertura, contendo identificação do produto, validade e lote fácil visualização. Registro no Ministério da Saúde
</t>
    </r>
    <r>
      <rPr>
        <sz val="9"/>
        <rFont val="Times New Roman"/>
        <family val="1"/>
      </rPr>
      <t>/ANVISA. (Modelo: CREMER 3M QUALIDADE SIMILAR OU SUPERIOR)</t>
    </r>
  </si>
  <si>
    <r>
      <rPr>
        <sz val="9"/>
        <rFont val="Times New Roman"/>
        <family val="1"/>
      </rPr>
      <t xml:space="preserve">Pacote com 500
</t>
    </r>
    <r>
      <rPr>
        <sz val="9"/>
        <rFont val="Times New Roman"/>
        <family val="1"/>
      </rPr>
      <t>unidades</t>
    </r>
  </si>
  <si>
    <r>
      <rPr>
        <sz val="9"/>
        <rFont val="Times New Roman"/>
        <family val="1"/>
      </rPr>
      <t xml:space="preserve">Compressa gaze, material: tecido 100% algodão, tipo: 13 fios,cm2, modelo: cor branca, isenta de impurezas, camadas: 8 camadas, largura: 7,50 cm, comprimento: 7,50 cm, dobras: 5 dobras, características adicionais: estéril, descartável.
</t>
    </r>
    <r>
      <rPr>
        <sz val="9"/>
        <rFont val="Times New Roman"/>
        <family val="1"/>
      </rPr>
      <t xml:space="preserve">Descrição Complementar: 7,50 x 7,50cm quando fechadas e 15 x 30cm quando abertas. Estéril.
</t>
    </r>
    <r>
      <rPr>
        <sz val="9"/>
        <rFont val="Times New Roman"/>
        <family val="1"/>
      </rPr>
      <t xml:space="preserve">Embalagem resistente, segura, de fácil abertura, contendo identificação do produto, validade e lote fácil visualização. Registro no Ministério da Saúde
</t>
    </r>
    <r>
      <rPr>
        <sz val="9"/>
        <rFont val="Times New Roman"/>
        <family val="1"/>
      </rPr>
      <t>/ANVISA. (Modelo: CREMER 3M QUALIDADE SIMILAR OU SUPERIOR)</t>
    </r>
  </si>
  <si>
    <r>
      <rPr>
        <sz val="9"/>
        <rFont val="Times New Roman"/>
        <family val="1"/>
      </rPr>
      <t>Pacote com 5 unidades</t>
    </r>
  </si>
  <si>
    <r>
      <rPr>
        <sz val="9"/>
        <rFont val="Times New Roman"/>
        <family val="1"/>
      </rPr>
      <t xml:space="preserve">Pá para desfibrilador, tipo equipamento: externo automático - DEA, modelo: tipo eletrodo, adesiva, tamanho: adulto, apresentação: par, compatibilidade: com compatibilidade específica, esterilidade: descartável. Descrição Complementar: </t>
    </r>
    <r>
      <rPr>
        <b/>
        <sz val="9"/>
        <rFont val="Times New Roman"/>
        <family val="1"/>
      </rPr>
      <t xml:space="preserve">compatível com DEA Modelo i5
</t>
    </r>
    <r>
      <rPr>
        <b/>
        <sz val="9"/>
        <rFont val="Times New Roman"/>
        <family val="1"/>
      </rPr>
      <t>– Amoul.</t>
    </r>
  </si>
  <si>
    <r>
      <rPr>
        <sz val="9"/>
        <rFont val="Times New Roman"/>
        <family val="1"/>
      </rPr>
      <t>Par</t>
    </r>
  </si>
  <si>
    <r>
      <rPr>
        <sz val="9"/>
        <rFont val="Times New Roman"/>
        <family val="1"/>
      </rPr>
      <t xml:space="preserve">Pá para desfibrilador, tipo equipamento: externo automático - DEA, modelo: tipo eletrodo, adesiva, tamanho: adulto, apresentação: par, compatibilidade: com compatibilidade específica, esterilidade: descartável. Descrição Complementar: </t>
    </r>
    <r>
      <rPr>
        <b/>
        <sz val="9"/>
        <rFont val="Times New Roman"/>
        <family val="1"/>
      </rPr>
      <t>compatível com DEA LIFEPAK CR PLUS.</t>
    </r>
  </si>
  <si>
    <r>
      <rPr>
        <sz val="9"/>
        <rFont val="Times New Roman"/>
        <family val="1"/>
      </rPr>
      <t>Pá para desfibrilador, tipo equipamento: externo automático - DEA, modelo: tipo eletrodo, adesiva, tamanho: adulto, apresentação: par, compatibilidade: com compatibilidade específica, esterilidade: descartável. Descrição</t>
    </r>
  </si>
  <si>
    <r>
      <rPr>
        <sz val="9"/>
        <rFont val="Times New Roman"/>
        <family val="1"/>
      </rPr>
      <t xml:space="preserve">Bateria para DEA. Aplicação: Desfibrilador Sistema Eletroquímico: Li-MnO2. Tensão Nominal: 12 V. Capacidade Nominal: 4,5 AH. Descrição Complementar: </t>
    </r>
    <r>
      <rPr>
        <b/>
        <sz val="9"/>
        <rFont val="Times New Roman"/>
        <family val="1"/>
      </rPr>
      <t>compatível com DEA Modelo i5 – Amoul.</t>
    </r>
  </si>
  <si>
    <r>
      <rPr>
        <sz val="9"/>
        <rFont val="Times New Roman"/>
        <family val="1"/>
      </rPr>
      <t xml:space="preserve">Bateria para DEA Bateria Não Recarregável Tipo: Liso2c12 (Lítio). Aplicação: Desfibrilador.
</t>
    </r>
    <r>
      <rPr>
        <sz val="9"/>
        <rFont val="Times New Roman"/>
        <family val="1"/>
      </rPr>
      <t xml:space="preserve">Características Adicionais: Tamanho Padrão. Sistema Eletroquímico: Li So2c12. Tensão Nominal: 11,7 V. Capacidade Nominal: 1,4 AH. Componentes Adicionais: 2 Jogos De Eletrodos Chargepak, Tipo Adulto. Descrição Complementar: </t>
    </r>
    <r>
      <rPr>
        <b/>
        <sz val="9"/>
        <rFont val="Times New Roman"/>
        <family val="1"/>
      </rPr>
      <t>compatível com DEA LIFEPAK CR PLUS.</t>
    </r>
  </si>
  <si>
    <r>
      <rPr>
        <sz val="9"/>
        <rFont val="Times New Roman"/>
        <family val="1"/>
      </rPr>
      <t xml:space="preserve">Bateria para DEA. Bateria Recarregável. Aplicação: Desfibrilador. Sistema Eletroquímico: Lithium-Ion. Tensão Nominal: 14,8 V. Capacidade Nominal: 3.500 MAH. Descrição Complementar: </t>
    </r>
    <r>
      <rPr>
        <b/>
        <sz val="9"/>
        <rFont val="Times New Roman"/>
        <family val="1"/>
      </rPr>
      <t>compatível com DEA CMOS DRAKE LIFE  400 FUTURA.</t>
    </r>
  </si>
  <si>
    <r>
      <rPr>
        <sz val="9"/>
        <rFont val="Times New Roman"/>
        <family val="1"/>
      </rPr>
      <t xml:space="preserve">Espéculo Uso Médico. Aplicação: Nasal. Tamanho: Adulto. Ponta Ativa: Lâminas Cerca De 25 mm. Travamento: S/ Trava. Comprimento Total: Cerca De 14 cm. Material: Polímero.
</t>
    </r>
    <r>
      <rPr>
        <sz val="9"/>
        <rFont val="Times New Roman"/>
        <family val="1"/>
      </rPr>
      <t xml:space="preserve">Esterilidade: Não Estéril, Uso Único. Embalagem:
</t>
    </r>
    <r>
      <rPr>
        <sz val="9"/>
        <rFont val="Times New Roman"/>
        <family val="1"/>
      </rPr>
      <t>Embalagem Individual.</t>
    </r>
  </si>
  <si>
    <r>
      <rPr>
        <sz val="9"/>
        <rFont val="Times New Roman"/>
        <family val="1"/>
      </rPr>
      <t>Imobilizador (órtese), tipo: para punho com dedos livres, material: tecido resistente acolchoado, adicionais: com barbatanas, tamanho: tamanho P, posição: bilateral, tipo fecho: tiras com velcro ajustáveis.</t>
    </r>
  </si>
  <si>
    <r>
      <rPr>
        <sz val="9"/>
        <rFont val="Times New Roman"/>
        <family val="1"/>
      </rPr>
      <t>Imobilizador (órtese), tipo: para punho com dedos livres, material: tecido resistente acolchoado, adicionais: com barbatanas, tamanho M, tipo fecho: tiras com velcro ajustáveis. Descrição Complementar: tamanho médio.</t>
    </r>
  </si>
  <si>
    <r>
      <rPr>
        <sz val="9"/>
        <rFont val="Times New Roman"/>
        <family val="1"/>
      </rPr>
      <t>Imobilizador (órtese), tipo: para punho com dedos livres, material: tecido resistente acolchoado, adicionais: com barbatanas, tamanho: tamanho G, posição: bilateral, tipo fecho: tiras com velcro ajustáveis.</t>
    </r>
  </si>
  <si>
    <r>
      <rPr>
        <sz val="9"/>
        <rFont val="Times New Roman"/>
        <family val="1"/>
      </rPr>
      <t>Imobilizador (órtese), tipo: articulado até 90 ° para joelho, material: neoprene, adicionais: com barbatanas em duralumínio, tamanho: tamanho P, posição: bilateral, tipo fecho: tiras com velcro ajustáveis.</t>
    </r>
  </si>
  <si>
    <r>
      <rPr>
        <sz val="9"/>
        <rFont val="Times New Roman"/>
        <family val="1"/>
      </rPr>
      <t>Imobilizador (órtese), tipo: articulado até 90 ° para joelho, material: neoprene, adicionais: com barbatanas em duralumínio, tamanho: tamanho M, posição: bilateral, tipo fecho: tiras com velcro ajustáveis.</t>
    </r>
  </si>
  <si>
    <r>
      <rPr>
        <sz val="9"/>
        <rFont val="Times New Roman"/>
        <family val="1"/>
      </rPr>
      <t>Imobilizador (órtese), tipo: articulado até 90 ° para joelho, material: neoprene, adicionais: com barbatanas em duralumínio, tamanho: tamanho G, posição: bilateral, tipo fecho: tiras com velcro ajustáveis.</t>
    </r>
  </si>
  <si>
    <r>
      <rPr>
        <sz val="9"/>
        <rFont val="Times New Roman"/>
        <family val="1"/>
      </rPr>
      <t>Imobilizador (órtese), tipo: tipoia velpeau, material: tecido 100% algodão resistente, tamanho: tamanho P, posição: bilateral, modelo: alça regulável, tipo fecho: fecho de engate rápido. Descrição Complementar: adulto.</t>
    </r>
  </si>
  <si>
    <r>
      <rPr>
        <sz val="9"/>
        <rFont val="Times New Roman"/>
        <family val="1"/>
      </rPr>
      <t>Imobilizador (órtese), tipo: tipoia velpeau, material: tecido 100% algodão resistente, tamanho: tamanho M, posição: bilateral, modelo: alça regulável, tipo fecho: fecho de engate rápido. Descrição Complementar: adulto.</t>
    </r>
  </si>
  <si>
    <r>
      <rPr>
        <sz val="9"/>
        <rFont val="Times New Roman"/>
        <family val="1"/>
      </rPr>
      <t>Imobilizador (órtese), tipo: tipoia velpeau, material: tecido 100% algodão resistente, tamanho: tamanho G, posição: bilateral, modelo: alça regulável, tipo fecho: fecho de engate rápido. Descrição Complementar: adulto.</t>
    </r>
  </si>
  <si>
    <r>
      <rPr>
        <sz val="9"/>
        <rFont val="Times New Roman"/>
        <family val="1"/>
      </rPr>
      <t>Imobilizador (órtese), tipo: articulado até 90° p, tornozelo, material: tecido resistente duplo, tamanho: tamanho m, posição: bilateral, tipo fecho: tiras c, velcro ajustáveis, tipo sola: sola de borracha antiderrapante. Descrição Complementar: cor preta, adulto.</t>
    </r>
  </si>
  <si>
    <r>
      <rPr>
        <sz val="9"/>
        <rFont val="Times New Roman"/>
        <family val="1"/>
      </rPr>
      <t>Suporte para Desfibrilador Externo Automático – DEA. Material: metálico e acrílico. Modelo: Tipo Caixa C/ Visor Frontal, de parede. Dimensões: cerca de 15 X 45 X 45 cm.</t>
    </r>
  </si>
  <si>
    <r>
      <rPr>
        <sz val="9"/>
        <rFont val="Times New Roman"/>
        <family val="1"/>
      </rPr>
      <t>Bolsa Transporte Material Emergência. Dimensões: 60 X 28 X 27 CM. Características Adicionais: Confeccionada Em Cordura 500 De Alta Resistência.</t>
    </r>
  </si>
  <si>
    <r>
      <rPr>
        <sz val="9"/>
        <rFont val="Times New Roman"/>
        <family val="1"/>
      </rPr>
      <t>Torniquete Não Pneumático. Aplicação: Tático, P/ Atendimento Pré Hospitalar. Modelo: Cinta Em Nylon, C/ Cor. Tipo fecho: auto ajustável com velcro, fivela e barra pressão. Reutilizável.</t>
    </r>
  </si>
  <si>
    <r>
      <rPr>
        <sz val="9"/>
        <rFont val="Times New Roman"/>
        <family val="1"/>
      </rPr>
      <t>Caneta alta rotação, material rolamento: rolamento cerâmica, velocidade máxima: velocidade máxima menor ou igual 400.000 rpm, refrigeração: 3 ou mais furos, troca de brocas: botão de pressão (pb), tipo conexão: conexão 2 furos, tipo cabeça: cabeça padrão. Descrição complementar: Para  micromotor elétrico; Spray interno triplo; Multiplicador; fabricado em aço inoxidável; Rotação máxima de acionamento 40.000 rpm, rotação máxima na ponta da broca 200.000 rpm; Sistema troca broca: Press Button; Esterilizáveis a 135º C; Sistema INTRA: acoplamento em micromotor elétrico e pneumático; Filtro de água: Incorporado ao instrumento; para uso com brocas de alta rotação de diâmetro de 1,6mm; Melhor desempenho com micromotor elétrico. (Modelo: KAVO, QUALIDADE SIMILAR OU SUPERIOR)</t>
    </r>
  </si>
  <si>
    <r>
      <rPr>
        <sz val="9"/>
        <rFont val="Times New Roman"/>
        <family val="1"/>
      </rPr>
      <t>Caneta baixa rotação, tipo: micromotor, conexão: conexão borden 2 furos, refrigeração: c, refrigeração externa. Descrição complementar: Contra ângulo rotatório, acoplável ao micromotor pneumático e /ou elétrico, utiliza limas rotatórias NiTi, Transmissão de redução de 10:1 10:1 na cabeça e 10:1 na transmissão, ação 360°, velocidade máxima 300 rpm, pushbutton. (Modelo: NSK, QUALIDADE SIMILAR OU SUPERIOR)</t>
    </r>
  </si>
  <si>
    <r>
      <rPr>
        <sz val="9"/>
        <rFont val="Times New Roman"/>
        <family val="1"/>
      </rPr>
      <t>Contra-ângulo 20:1 – para procedimentos cirúrgicos com alto torque, ideal para cirurgia de implantes, sendo muito utilizado para inserção dos mesmos no osso com segurança. Permite fixação de microparafusos para mini-implantes (fraturas) e enxertos ósseos, excelente performance, balanceado e silencioso. Acabamento em titânio e design moderno. Especificações: velocidade máxima correspondente ao micromotor; sistema  de encaixe intra; push-button reduz vinte vezes a velocidade do micromotor; sistema de irrigação Externa/interna (agulha opcional); abertura para encaixe de broca com haste de diâmetro de 2,35 mm; torque máximo: 55 n cm. (Modelo: NSK, QUALIDADE SIMILAR OU SUPERIOR)</t>
    </r>
  </si>
  <si>
    <r>
      <rPr>
        <sz val="9"/>
        <rFont val="Times New Roman"/>
        <family val="1"/>
      </rPr>
      <t>Cloreto de sódio, princípio ativo: 0,9%_ solução injetável, aplicação: sistema fechado 100 ml</t>
    </r>
  </si>
  <si>
    <r>
      <rPr>
        <sz val="9"/>
        <rFont val="Times New Roman"/>
        <family val="1"/>
      </rPr>
      <t>Frasco 100 ml</t>
    </r>
  </si>
  <si>
    <r>
      <rPr>
        <sz val="9"/>
        <rFont val="Times New Roman"/>
        <family val="1"/>
      </rPr>
      <t>Cloreto de sódio, princípio ativo: 0,9%_ solução injetável, aplicação: sistema fechado 500 ml</t>
    </r>
  </si>
  <si>
    <r>
      <rPr>
        <sz val="9"/>
        <rFont val="Times New Roman"/>
        <family val="1"/>
      </rPr>
      <t>Frasco 500 ml</t>
    </r>
  </si>
  <si>
    <r>
      <rPr>
        <sz val="9"/>
        <rFont val="Times New Roman"/>
        <family val="1"/>
      </rPr>
      <t>Cloreto de sódio, princípio ativo: 0,9%_ solução injetável, aplicação: sistema fechado 10 ml</t>
    </r>
  </si>
  <si>
    <r>
      <rPr>
        <sz val="9"/>
        <rFont val="Times New Roman"/>
        <family val="1"/>
      </rPr>
      <t>Paracetamol, apresentação: associado com codeína, dosagem: 500 mg + 30 mg</t>
    </r>
  </si>
  <si>
    <r>
      <rPr>
        <sz val="9"/>
        <rFont val="Times New Roman"/>
        <family val="1"/>
      </rPr>
      <t>Dexclorfeniramina 2 mg comprimido</t>
    </r>
  </si>
  <si>
    <r>
      <rPr>
        <sz val="9"/>
        <rFont val="Times New Roman"/>
        <family val="1"/>
      </rPr>
      <t>Loratadina 10 mg comprimido</t>
    </r>
  </si>
  <si>
    <r>
      <rPr>
        <sz val="9"/>
        <rFont val="Times New Roman"/>
        <family val="1"/>
      </rPr>
      <t>Tramadol 50mg/ml solução injetável</t>
    </r>
  </si>
  <si>
    <r>
      <rPr>
        <sz val="9"/>
        <rFont val="Times New Roman"/>
        <family val="1"/>
      </rPr>
      <t>Glicose 25% solução injetável</t>
    </r>
  </si>
  <si>
    <r>
      <rPr>
        <sz val="9"/>
        <rFont val="Times New Roman"/>
        <family val="1"/>
      </rPr>
      <t>Ipratrópio brometo, dosagem: 0,25 mg/ml, uso: solução para inalação</t>
    </r>
  </si>
  <si>
    <r>
      <rPr>
        <sz val="9"/>
        <rFont val="Times New Roman"/>
        <family val="1"/>
      </rPr>
      <t>Frasco 20 mL</t>
    </r>
  </si>
  <si>
    <r>
      <rPr>
        <sz val="9"/>
        <rFont val="Times New Roman"/>
        <family val="1"/>
      </rPr>
      <t>Fenoterol bromidrato, concentração: 5 mg/ml, forma farmaceutica: solução oral</t>
    </r>
  </si>
  <si>
    <r>
      <rPr>
        <sz val="9"/>
        <rFont val="Times New Roman"/>
        <family val="1"/>
      </rPr>
      <t>Dexametasona 1 mg/mL (0,1%) solução oftálmica</t>
    </r>
  </si>
  <si>
    <r>
      <rPr>
        <sz val="9"/>
        <rFont val="Times New Roman"/>
        <family val="1"/>
      </rPr>
      <t xml:space="preserve">Morfina, apresentação: sulfato, concentração: 1mg
</t>
    </r>
    <r>
      <rPr>
        <sz val="9"/>
        <rFont val="Times New Roman"/>
        <family val="1"/>
      </rPr>
      <t>/ml, forma farmacêutica: solução injetável</t>
    </r>
  </si>
  <si>
    <r>
      <rPr>
        <sz val="9"/>
        <rFont val="Times New Roman"/>
        <family val="1"/>
      </rPr>
      <t>Ampola 1 ml</t>
    </r>
  </si>
  <si>
    <r>
      <rPr>
        <sz val="9"/>
        <rFont val="Times New Roman"/>
        <family val="1"/>
      </rPr>
      <t>Morfina, apresentação: sulfato, concentração: 10mg/ml, forma farmacêutica: solução injetável</t>
    </r>
  </si>
  <si>
    <r>
      <rPr>
        <sz val="9"/>
        <rFont val="Times New Roman"/>
        <family val="1"/>
      </rPr>
      <t>Naloxona 0,4 mg/mL solução injetável</t>
    </r>
  </si>
  <si>
    <r>
      <rPr>
        <sz val="9"/>
        <rFont val="Times New Roman"/>
        <family val="1"/>
      </rPr>
      <t>Ceftriaxona sódica, concentração: 1 g, forma farmaceutica: pó p, solução injetável</t>
    </r>
  </si>
  <si>
    <r>
      <rPr>
        <sz val="9"/>
        <rFont val="Times New Roman"/>
        <family val="1"/>
      </rPr>
      <t>Midazolam 1 mg/mL solução injetável</t>
    </r>
  </si>
  <si>
    <r>
      <rPr>
        <sz val="9"/>
        <rFont val="Times New Roman"/>
        <family val="1"/>
      </rPr>
      <t>Midazolam 5 mg/mL solução injetável</t>
    </r>
  </si>
  <si>
    <r>
      <rPr>
        <sz val="9"/>
        <rFont val="Times New Roman"/>
        <family val="1"/>
      </rPr>
      <t>Fentanila, apresentação: sal citrato, dosagem: 0,05 mg/ml, indicação: solução injetável</t>
    </r>
  </si>
  <si>
    <r>
      <rPr>
        <sz val="9"/>
        <rFont val="Times New Roman"/>
        <family val="1"/>
      </rPr>
      <t>Ondansetrona 2 mg/mL solução injetável</t>
    </r>
  </si>
  <si>
    <r>
      <rPr>
        <sz val="9"/>
        <rFont val="Times New Roman"/>
        <family val="1"/>
      </rPr>
      <t>Ondansetrona 4 mg comprimido</t>
    </r>
  </si>
  <si>
    <r>
      <rPr>
        <sz val="9"/>
        <rFont val="Times New Roman"/>
        <family val="1"/>
      </rPr>
      <t>Terbutalina 0,5mg/mL solução injetável</t>
    </r>
  </si>
  <si>
    <r>
      <rPr>
        <sz val="9"/>
        <rFont val="Times New Roman"/>
        <family val="1"/>
      </rPr>
      <t>Flumazenil 0,1mg/ml solução Injetável</t>
    </r>
  </si>
  <si>
    <r>
      <rPr>
        <sz val="9"/>
        <rFont val="Times New Roman"/>
        <family val="1"/>
      </rPr>
      <t>Neostigminametilsulfato, dosagem: 0,5 mg/ml, apresentação: solução injetável</t>
    </r>
  </si>
  <si>
    <r>
      <rPr>
        <sz val="9"/>
        <rFont val="Times New Roman"/>
        <family val="1"/>
      </rPr>
      <t>Nitroglicerina, dosagem: 5 mg/ml, aplicação: injetável</t>
    </r>
  </si>
  <si>
    <r>
      <rPr>
        <sz val="9"/>
        <rFont val="Times New Roman"/>
        <family val="1"/>
      </rPr>
      <t>Nitroprusseto de sódio, concentração: 25 mg/ml, forma farmacêutica: solução injetável</t>
    </r>
  </si>
  <si>
    <r>
      <rPr>
        <sz val="9"/>
        <rFont val="Times New Roman"/>
        <family val="1"/>
      </rPr>
      <t>Bromoprida 10 mg comprimido</t>
    </r>
  </si>
  <si>
    <r>
      <rPr>
        <sz val="9"/>
        <rFont val="Times New Roman"/>
        <family val="1"/>
      </rPr>
      <t>Bromoprida 5 mg/mL solução injetável</t>
    </r>
  </si>
  <si>
    <r>
      <rPr>
        <sz val="9"/>
        <rFont val="Times New Roman"/>
        <family val="1"/>
      </rPr>
      <t>Vitaminas do complexo b, composição básica: b1, b2,b3,b5,b6solução injetável</t>
    </r>
  </si>
  <si>
    <r>
      <rPr>
        <sz val="9"/>
        <rFont val="Times New Roman"/>
        <family val="1"/>
      </rPr>
      <t>Tobramicina, composição: associada a dexametasona, concentraçao: 3 mg + 1 mg,ml, forma farmaceutica: suspensão oftálmica</t>
    </r>
  </si>
  <si>
    <r>
      <rPr>
        <sz val="9"/>
        <rFont val="Times New Roman"/>
        <family val="1"/>
      </rPr>
      <t>Hialuronato de sódio, c: 2 mg/ml, forma farmacêutica: solução oftálmica</t>
    </r>
  </si>
  <si>
    <r>
      <rPr>
        <sz val="9"/>
        <rFont val="Times New Roman"/>
        <family val="1"/>
      </rPr>
      <t>Frasco 10 ml</t>
    </r>
  </si>
  <si>
    <r>
      <rPr>
        <sz val="9"/>
        <rFont val="Times New Roman"/>
        <family val="1"/>
      </rPr>
      <t>Hialuronato de sódio, c: 1 mg/ml, forma farmacêutica: solução oftálmica</t>
    </r>
  </si>
  <si>
    <r>
      <rPr>
        <sz val="9"/>
        <rFont val="Times New Roman"/>
        <family val="1"/>
      </rPr>
      <t>Carmelose sódica, concentração: 5 mg/ml, forma farmacêutica: solução oftálmica</t>
    </r>
  </si>
  <si>
    <r>
      <rPr>
        <sz val="9"/>
        <rFont val="Times New Roman"/>
        <family val="1"/>
      </rPr>
      <t>Frasco 15 ml</t>
    </r>
  </si>
  <si>
    <r>
      <rPr>
        <sz val="9"/>
        <rFont val="Times New Roman"/>
        <family val="1"/>
      </rPr>
      <t>Norepinefrina, concentração: 2 mg/ml, forma farmacêutica: solução injetável</t>
    </r>
  </si>
  <si>
    <r>
      <rPr>
        <sz val="9"/>
        <rFont val="Times New Roman"/>
        <family val="1"/>
      </rPr>
      <t>Ampola 4 ml</t>
    </r>
  </si>
  <si>
    <r>
      <rPr>
        <sz val="9"/>
        <rFont val="Times New Roman"/>
        <family val="1"/>
      </rPr>
      <t>Salicilato de metila, composição: associada à cânfora, mentol, e ess. deterebentina, concentração: 0,0333 ml + 0,0333 g + 0,0083 g + 0,0833 ml,ml, forma farmacêutica: solução tópica, embalagem: frasco aerossol</t>
    </r>
  </si>
  <si>
    <r>
      <rPr>
        <sz val="9"/>
        <rFont val="Times New Roman"/>
        <family val="1"/>
      </rPr>
      <t>Salicilato de metila, composição: associado à ess. terebentina, cânfora e mentol, concentração: 0,02 ml + 0,05 ml + 30 mg + 5 mg,g, forma farmacêutica: pomada</t>
    </r>
  </si>
  <si>
    <r>
      <rPr>
        <sz val="9"/>
        <rFont val="Times New Roman"/>
        <family val="1"/>
      </rPr>
      <t>Bisnaga 30 g</t>
    </r>
  </si>
  <si>
    <r>
      <rPr>
        <sz val="9"/>
        <rFont val="Times New Roman"/>
        <family val="1"/>
      </rPr>
      <t>Nimesulida 100 mg comprimido</t>
    </r>
  </si>
  <si>
    <r>
      <rPr>
        <sz val="9"/>
        <rFont val="Times New Roman"/>
        <family val="1"/>
      </rPr>
      <t>Triancinolona, composição: acetonida, concentração: 1 mg/g, forma farmacêutica: pasta oral</t>
    </r>
  </si>
  <si>
    <r>
      <rPr>
        <sz val="9"/>
        <rFont val="Times New Roman"/>
        <family val="1"/>
      </rPr>
      <t>Bisnaga 10 g</t>
    </r>
  </si>
  <si>
    <r>
      <rPr>
        <sz val="9"/>
        <rFont val="Times New Roman"/>
        <family val="1"/>
      </rPr>
      <t>Betametasona, composição: dipropionato, associada ao cetoconazol e neomicina, concentração: 0,5 mg,g + 20 mg,g + 1,5 mg,g, forma farmaceutica: creme</t>
    </r>
  </si>
  <si>
    <r>
      <rPr>
        <sz val="9"/>
        <rFont val="Times New Roman"/>
        <family val="1"/>
      </rPr>
      <t>Aripiprazol 1 mg/mL suspensão oral</t>
    </r>
  </si>
  <si>
    <r>
      <rPr>
        <sz val="9"/>
        <rFont val="Times New Roman"/>
        <family val="1"/>
      </rPr>
      <t>Frasco 150 mL</t>
    </r>
  </si>
  <si>
    <r>
      <rPr>
        <sz val="9"/>
        <rFont val="Times New Roman"/>
        <family val="1"/>
      </rPr>
      <t>Alfaepoetina seringa preenchida de 0,4 mL com 4.000 UI/0,4 mL (10.000 UI/mL)</t>
    </r>
  </si>
  <si>
    <r>
      <rPr>
        <sz val="9"/>
        <rFont val="Times New Roman"/>
        <family val="1"/>
      </rPr>
      <t>Seringa preenchida 0,4 mL</t>
    </r>
  </si>
  <si>
    <r>
      <rPr>
        <sz val="9"/>
        <rFont val="Times New Roman"/>
        <family val="1"/>
      </rPr>
      <t>Mesalazina 2 g grânulos de liberação prolongada caixa com 30 envelopes</t>
    </r>
  </si>
  <si>
    <r>
      <rPr>
        <sz val="9"/>
        <rFont val="Times New Roman"/>
        <family val="1"/>
      </rPr>
      <t xml:space="preserve">Somatropina 3,33 mg/ml, forma farmaceutica: solução injetável, característica adicional: com aplicador.
</t>
    </r>
    <r>
      <rPr>
        <sz val="9"/>
        <rFont val="Times New Roman"/>
        <family val="1"/>
      </rPr>
      <t>(Equivalente a 5 mg/1,5mL)</t>
    </r>
  </si>
  <si>
    <r>
      <rPr>
        <sz val="9"/>
        <rFont val="Times New Roman"/>
        <family val="1"/>
      </rPr>
      <t>Tacrolimo 1 mg</t>
    </r>
  </si>
  <si>
    <r>
      <rPr>
        <sz val="9"/>
        <rFont val="Times New Roman"/>
        <family val="1"/>
      </rPr>
      <t>Dipirona sódica 500 mg/mL solução oral, frasco 10 mL</t>
    </r>
  </si>
  <si>
    <r>
      <rPr>
        <sz val="9"/>
        <rFont val="Times New Roman"/>
        <family val="1"/>
      </rPr>
      <t>Frasco 10 mL</t>
    </r>
  </si>
  <si>
    <r>
      <rPr>
        <sz val="9"/>
        <rFont val="Times New Roman"/>
        <family val="1"/>
      </rPr>
      <t>Omeprazol 40 mg pó para solução injetável</t>
    </r>
  </si>
  <si>
    <r>
      <rPr>
        <sz val="9"/>
        <rFont val="Times New Roman"/>
        <family val="1"/>
      </rPr>
      <t>Cetoconazol 20 mg/g (2%) creme</t>
    </r>
  </si>
  <si>
    <r>
      <rPr>
        <sz val="9"/>
        <rFont val="Times New Roman"/>
        <family val="1"/>
      </rPr>
      <t>Bisnaga 30g</t>
    </r>
  </si>
  <si>
    <r>
      <rPr>
        <sz val="9"/>
        <rFont val="Times New Roman"/>
        <family val="1"/>
      </rPr>
      <t>Colagenase 0,6 UI/g creme</t>
    </r>
  </si>
  <si>
    <r>
      <rPr>
        <sz val="9"/>
        <rFont val="Times New Roman"/>
        <family val="1"/>
      </rPr>
      <t>Pregabalina 150 mg</t>
    </r>
  </si>
  <si>
    <r>
      <rPr>
        <sz val="9"/>
        <rFont val="Times New Roman"/>
        <family val="1"/>
      </rPr>
      <t>Bisoprololfumarato, concentração 5 mg</t>
    </r>
  </si>
  <si>
    <r>
      <rPr>
        <sz val="9"/>
        <rFont val="Times New Roman"/>
        <family val="1"/>
      </rPr>
      <t>Ácido acetilsalicílico, dosagem:100 mg, tipo uso: tamponado</t>
    </r>
  </si>
  <si>
    <r>
      <rPr>
        <sz val="9"/>
        <rFont val="Times New Roman"/>
        <family val="1"/>
      </rPr>
      <t>Pioglitazona cloridrato, concentração 30 mg</t>
    </r>
  </si>
  <si>
    <r>
      <rPr>
        <sz val="9"/>
        <rFont val="Times New Roman"/>
        <family val="1"/>
      </rPr>
      <t>Paracetamol, apresentação: associado com tramadol cloridrato, dosagem:325mg + 37,5mg</t>
    </r>
  </si>
  <si>
    <r>
      <rPr>
        <sz val="9"/>
        <rFont val="Times New Roman"/>
        <family val="1"/>
      </rPr>
      <t>Desvenlafaxina, composição: salsuccinato, concentração:50 mg, forma farmacêutica: liberação controlada</t>
    </r>
  </si>
  <si>
    <r>
      <rPr>
        <sz val="9"/>
        <rFont val="Times New Roman"/>
        <family val="1"/>
      </rPr>
      <t>Desvenlafaxina, composição:salsuccinato, concentração:100 mg, forma farmacêutica: liberação controlada</t>
    </r>
  </si>
  <si>
    <r>
      <rPr>
        <sz val="9"/>
        <rFont val="Times New Roman"/>
        <family val="1"/>
      </rPr>
      <t>Zolpidem, dosagem:10 mg</t>
    </r>
  </si>
  <si>
    <r>
      <rPr>
        <sz val="9"/>
        <rFont val="Times New Roman"/>
        <family val="1"/>
      </rPr>
      <t>Material gasoterapia, modelo: umidificador, saída: p, oxigênio, tipo frasco: frasco plástico graduado, c,  tampa,  volume:  cerca  de  250  ml,  esterilidade: esterilizável</t>
    </r>
  </si>
  <si>
    <r>
      <rPr>
        <sz val="9"/>
        <rFont val="Times New Roman"/>
        <family val="1"/>
      </rPr>
      <t>Material gasoterapia, modelo: umidificador, saída: p, oxigênio, tipo frasco: frasco plástico graduado, c,  tampa,  volume:  cerca  de  500  ml,  esterilidade: esterilizável</t>
    </r>
  </si>
  <si>
    <r>
      <rPr>
        <sz val="9"/>
        <rFont val="Times New Roman"/>
        <family val="1"/>
      </rPr>
      <t>Material gasoterapia, modelo: umidificador, saída: p,  oxigênio,  tipo  frasco:  frasco  plástico  graduado, c,  tampa,  volume:  cerca  de  250  ml,  característica adicional:  conector  metal  c,rosca,  esterilidade  : esterilizável</t>
    </r>
  </si>
  <si>
    <r>
      <rPr>
        <sz val="9"/>
        <rFont val="Times New Roman"/>
        <family val="1"/>
      </rPr>
      <t>Material  gasoterapia,  modelo:  micronebulizador, saída:   p,   oxigênio,   tipo   máscara:   máscara   em plástico,   tamanho:   adulto,   tipo   frasco:   frasco plástico  graduado,  c,  tampa,  volume:  cerca  de  10 ml,  tipo  extensão:  extensor  em  pvc  c,  conectores, comprimento    extensão:    cerca    de    1,5    m, esterilidade: esterilizável</t>
    </r>
  </si>
  <si>
    <r>
      <rPr>
        <sz val="9"/>
        <rFont val="Times New Roman"/>
        <family val="1"/>
      </rPr>
      <t>Material  gasoterapia,  modelo:  micronebulizador, saída:   p,   oxigênio,   tipo   máscara:   máscara   em plástico,   tamanho:   infantil,   tipo   frasco:   frasco plástico  graduado,  c,  tampa,  volume:  cerca  de  10 ml,  tipo  extensão:  extensor  em  pvcc,  conectores, comprimento    extensão:    cerca    de    1,5    m, esterilidade: esterilizável</t>
    </r>
  </si>
  <si>
    <r>
      <rPr>
        <sz val="9"/>
        <rFont val="Times New Roman"/>
        <family val="1"/>
      </rPr>
      <t>Material  gasoterapia,  modelo:  macronebulizador, saída:   p,   oxigênio,   tipo   máscara:   máscara   em silicone,  c,  ajuste,  tamanho:  adulto,  tipo  frasco: frasco  acrílico  graduado,  c,  tampa,  volume:  cerca de  500  ml,  tipo  extensão:  traqueia  corrugada  em pvc c, conectores, comprimento extensão: cerca de 2,0  m,  característica  adicional:  conector  metal  c, rosca, esterilidade : esterilizável</t>
    </r>
  </si>
  <si>
    <r>
      <rPr>
        <sz val="9"/>
        <rFont val="Times New Roman"/>
        <family val="1"/>
      </rPr>
      <t>Válvula  reguladora  cilindro  gás,  tipo  fechamento: manual,  componentes:  manômetro  e  fluxometro, tipo rosca: para oxigênio.</t>
    </r>
  </si>
  <si>
    <r>
      <rPr>
        <sz val="9"/>
        <rFont val="Times New Roman"/>
        <family val="1"/>
      </rPr>
      <t>Mangueira,  material:  silicone,  aparência  visual: transparente,  diâmetro  interno:  6  mm,  diâmetro externo: 12 mm</t>
    </r>
  </si>
  <si>
    <r>
      <rPr>
        <sz val="9"/>
        <rFont val="Times New Roman"/>
        <family val="1"/>
      </rPr>
      <t>Pacote com 6 unidades</t>
    </r>
  </si>
  <si>
    <r>
      <rPr>
        <sz val="9"/>
        <rFont val="Times New Roman"/>
        <family val="1"/>
      </rPr>
      <t xml:space="preserve">Oxímetro, tipo dedo, faixa de medição saturação 1: 0 a 100%, faixa de medição pulso 1: cerca de 20 a
</t>
    </r>
    <r>
      <rPr>
        <sz val="9"/>
        <rFont val="Times New Roman"/>
        <family val="1"/>
      </rPr>
      <t>250   bpm,   autonomia   sistema   1:   cerca   24h, alimentação:    p    ilha.    Conforme    modelo    de referência (apêndice a) ou superior.</t>
    </r>
  </si>
  <si>
    <r>
      <rPr>
        <sz val="9"/>
        <rFont val="Times New Roman"/>
        <family val="1"/>
      </rPr>
      <t xml:space="preserve">Sonda    trato    digestivo,    aplicação:    oro    ou nasogástrica,    modelo:    levine,    material:    pvc, calibre: nº 22, tamanho: longa, comprimento: cerca
</t>
    </r>
    <r>
      <rPr>
        <sz val="9"/>
        <rFont val="Times New Roman"/>
        <family val="1"/>
      </rPr>
      <t>120   cm,   conector:   conector   padrão   c,   tampa, componentes:  ponta  distal  fechada,  c,  orifícios laterais,      esterilidade:      estéril,      descartável, embalagem: embalagem individual</t>
    </r>
  </si>
  <si>
    <r>
      <rPr>
        <sz val="9"/>
        <rFont val="Times New Roman"/>
        <family val="1"/>
      </rPr>
      <t xml:space="preserve">Sonda    trato    digestivo,    aplicação:    oro    ou nasogástrica,    modelo:    levine,    material:    pvc, calibre: nº 20, tamanho: longa, comprimento: cerca
</t>
    </r>
    <r>
      <rPr>
        <sz val="9"/>
        <rFont val="Times New Roman"/>
        <family val="1"/>
      </rPr>
      <t>120   cm,   conector:   conector   padrão   c,   tampa, componentes:  ponta  distal  fechada,  c,  orifícios laterais,      esterilidade:      estéril,      descartável, embalagem: embalagem individual</t>
    </r>
  </si>
  <si>
    <r>
      <rPr>
        <sz val="9"/>
        <rFont val="Times New Roman"/>
        <family val="1"/>
      </rPr>
      <t xml:space="preserve">Sonda    trato    digestivo,    aplicação:    oro    ou nasogástrica,  modelo:  levine,  material:  silicone, calibre: nº 18, tamanho: longa, comprimento: cerca
</t>
    </r>
    <r>
      <rPr>
        <sz val="9"/>
        <rFont val="Times New Roman"/>
        <family val="1"/>
      </rPr>
      <t>120   cm,   conector:   conector   padrão   c,   tampa, componentes:  ponta  distal  fechada,  c,  orifícios laterais,      esterilidade:      estéril,      descartável, embalagem: embalagem individual</t>
    </r>
  </si>
  <si>
    <r>
      <rPr>
        <sz val="9"/>
        <rFont val="Times New Roman"/>
        <family val="1"/>
      </rPr>
      <t xml:space="preserve">Sonda    trato    digestivo,    aplicação:    oro    ou nasogástrica,    modelo:    levine,    material:    pvc, calibre: nº 16, tamanho: longa, comprimento: cerca
</t>
    </r>
    <r>
      <rPr>
        <sz val="9"/>
        <rFont val="Times New Roman"/>
        <family val="1"/>
      </rPr>
      <t>120   cm,   conector:   conector   padrão   c,   tampa, componentes:  ponta  distal  fechada,  c,  orifícios laterais,      esterilidade:      estéril,      descartável, embalagem: embalagem individual</t>
    </r>
  </si>
  <si>
    <r>
      <rPr>
        <sz val="9"/>
        <rFont val="Times New Roman"/>
        <family val="1"/>
      </rPr>
      <t xml:space="preserve">Sonda    trato    digestivo,    aplicação:    oro    ou nasogástrica,    modelo:    levine,    material:    pvc, calibre: nº 14, tamanho: longa, comprimento: cerca
</t>
    </r>
    <r>
      <rPr>
        <sz val="9"/>
        <rFont val="Times New Roman"/>
        <family val="1"/>
      </rPr>
      <t>120   cm,   conector:   conector   padrão   c,   tampa, componentes:  ponta  distal  fechada,  c,  orifícios laterais,      esterilidade:      estéril,      descartável, embalagem: embalagem individual</t>
    </r>
  </si>
  <si>
    <r>
      <rPr>
        <sz val="9"/>
        <rFont val="Times New Roman"/>
        <family val="1"/>
      </rPr>
      <t xml:space="preserve">Sonda    trato    digestivo,    aplicação:    oro    ou nasogástrica,  modelo:  levine,  material:  silicone, calibre: nº 12, tamanho: longa, comprimento: cerca
</t>
    </r>
    <r>
      <rPr>
        <sz val="9"/>
        <rFont val="Times New Roman"/>
        <family val="1"/>
      </rPr>
      <t>120   cm,   conector:   conector   padrão   c,   tampa, componentes:  ponta  distal  fechada,  c,  orifícios laterais,      esterilidade:      estéril,      descartável, embalagem: embalagem individual</t>
    </r>
  </si>
  <si>
    <r>
      <rPr>
        <sz val="9"/>
        <rFont val="Times New Roman"/>
        <family val="1"/>
      </rPr>
      <t xml:space="preserve">Sonda    trato    digestivo,    aplicação:    oro    ou nasogástrica,  modelo:  levine,  material:  silicone, calibre: nº 10, tamanho: longa, comprimento: cerca
</t>
    </r>
    <r>
      <rPr>
        <sz val="9"/>
        <rFont val="Times New Roman"/>
        <family val="1"/>
      </rPr>
      <t>120   cm,   conector:   conector   padrão   c,   tampa, componentes:  ponta  distal  fechada,  c,  orifícios laterais,      esterilidade:      estéril,      descartável, embalagem: embalagem individual</t>
    </r>
  </si>
  <si>
    <r>
      <rPr>
        <sz val="9"/>
        <rFont val="Times New Roman"/>
        <family val="1"/>
      </rPr>
      <t xml:space="preserve">Sonda    trato    digestivo,    aplicação:    oro    ou nasogástrica,  modelo:  levine,  material:  silicone, calibre: nº 8, tamanho: longa, comprimento: cerca
</t>
    </r>
    <r>
      <rPr>
        <sz val="9"/>
        <rFont val="Times New Roman"/>
        <family val="1"/>
      </rPr>
      <t>100   cm,   conector:   conector   padrão   c,   tampa, componentes:  ponta  distal  fechada,  c,  orifícios laterais,      esterilidade:      estéril,      descartável, embalagem: embalagem individual</t>
    </r>
  </si>
  <si>
    <r>
      <rPr>
        <sz val="9"/>
        <rFont val="Times New Roman"/>
        <family val="1"/>
      </rPr>
      <t>Cateter  aspiração  traqueal,  material:  pvc  atóxico flexível,   tipo   uso:   descartável,   características adicionais:   ponta   atraumática,   orifícios   distais lateralizados,  tipo  embalagem:  estéril,  embalagem individual, espessura: nº 16</t>
    </r>
  </si>
  <si>
    <r>
      <rPr>
        <sz val="9"/>
        <rFont val="Times New Roman"/>
        <family val="1"/>
      </rPr>
      <t>Cateter  aspiração  traqueal,  material:  pvc  atóxico flexível,   tipo   uso:   descartável,   características adicionais:   ponta   atraumática,   orifícios   distais lateralizados,  tipo  embalagem:  estéril,  embalagem individual, espessura: nº 14</t>
    </r>
  </si>
  <si>
    <r>
      <rPr>
        <sz val="9"/>
        <rFont val="Times New Roman"/>
        <family val="1"/>
      </rPr>
      <t>Cateter  aspiração  traqueal,  material:  pvc  atóxico flexível,   tipo   uso:   descartável,   características adicionais:   ponta   atraumática,   orifícios   distais lateralizados,  tipo  embalagem:  estéril,  embalagem individual, espessura: nº 12</t>
    </r>
  </si>
  <si>
    <r>
      <rPr>
        <sz val="9"/>
        <rFont val="Times New Roman"/>
        <family val="1"/>
      </rPr>
      <t>Cateter  aspiração  traqueal,  material:  pvc  atóxico flexível,   tipo   uso:   descartável,   características adicionais:   ponta   atraumática,   orifícios   distais lateralizados,  tipo  embalagem:  estéril,  embalagem individual, espessura: nº 8</t>
    </r>
  </si>
  <si>
    <r>
      <rPr>
        <sz val="9"/>
        <rFont val="Times New Roman"/>
        <family val="1"/>
      </rPr>
      <t>Cateter oxigenoterapia, material tubo: pvc flexível grau  médico,  tipo:  tipo  óculos,  pronga  silicone contorno   arredondado,   tipo   uso:   descartável, esterilidade:  estéril,  tamanho:  neonatal,  infantil, características adicionais: a prova de deformação e torção 2,10m, tipo adaptador: conector universal</t>
    </r>
  </si>
  <si>
    <r>
      <rPr>
        <sz val="9"/>
        <rFont val="Times New Roman"/>
        <family val="1"/>
      </rPr>
      <t>Cateter oxigenoterapia, material tubo: pvc flexível grau  médico,  tipo:  tipo  óculos,  pronga  silicone contorno   arredondado,   tipo   uso:   descartável, esterilidade:        estéril,        tamanho:        adulto, características adicionais: a prova de deformação e torção,2,10m, tipo adaptador: conector universal</t>
    </r>
  </si>
  <si>
    <r>
      <rPr>
        <sz val="9"/>
        <rFont val="Times New Roman"/>
        <family val="1"/>
      </rPr>
      <t>Máscara Cirúrgica. Material: Não Tecido 100% Polipropileno. Filtro: Elemento Filtrante Interno. Eficiência: Efp Maior Que 98% E Bfe Maior Que 95%. Quantidade Camadas: Mínimo 3 Camadas. Modelo: Ajustável, Clipe Nasal. Formato: Retangular, C/ Pregas Horizontais. Cor: C/ Cor. Tamanho: Adulto. Esterilidade: Descartável.</t>
    </r>
  </si>
  <si>
    <r>
      <rPr>
        <sz val="9"/>
        <rFont val="Times New Roman"/>
        <family val="1"/>
      </rPr>
      <t>Máscara Cirúrgica. Material: Não Tecido 100% Polipropileno. Filtro: Elemento Filtrante Interno. Eficiência: Efp Maior Que 98% E Bfe Maior Que 95%. Quantidade Camadas: Mínimo 3 Camadas. Modelo: Ajustável, Clipe Nasal. Formato: Retangular, C/ Pregas Horizontais. Cor: C/ Cor. Tamanho: Infantil. Esterilidade: Descartável.</t>
    </r>
  </si>
  <si>
    <r>
      <rPr>
        <sz val="9"/>
        <rFont val="Times New Roman"/>
        <family val="1"/>
      </rPr>
      <t>Respirador.  Material:  Camadas  Fibras  Sintéticas. Quantidade    Pontos    Fixação:    Tiras    Vedação Anatômica,  Clipe  Nasal.  Tamanho  Peça  Facial: Adulto.    Aplicação:    Classe    N99,    Pff3    ou equivalente.  Características  Adicionais:  Eficiência Filtração  Mínima  99%.  Tipo  Uso:  Descartável. Formato: Dobrável, Tipo Bico De Pato. S/ Válvulas</t>
    </r>
  </si>
  <si>
    <r>
      <rPr>
        <sz val="9"/>
        <rFont val="Times New Roman"/>
        <family val="1"/>
      </rPr>
      <t>Respirador. Material: Camadas Fibras Sintéticas. Quantidade Pontos Fixação: Tiras Vedação Anatômica, Clipe Nasal. Tamanho Peça Facial: Adulto. Aplicação: Classe N95, Pff2 Ou Equivalente. Características Adicionais: Eficiência Filtração Mínima 94% - Sl. Tipo: C/ Cor, Carvão Ativado. Tipo Uso: Descartável. Formato: Dobrável, Tipo Bico De Pato. Quantidade Válvulas: S/ Válvulas.</t>
    </r>
  </si>
  <si>
    <r>
      <rPr>
        <sz val="9"/>
        <rFont val="Times New Roman"/>
        <family val="1"/>
      </rPr>
      <t xml:space="preserve">Avental hospitalar. Esterilidade: Não Estéril, Descartável. Tipo: Avental / Camisola / Bata. Material: Não Tecido 100% Polipropileno - Tipo SMS. Gramatura: Cerca De 50 G/M2. Modelo Camisola: Ajustável C/ Abertura Na Frente Ou Costas. Tamanho: Adulto Médio (M).
</t>
    </r>
    <r>
      <rPr>
        <sz val="9"/>
        <rFont val="Times New Roman"/>
        <family val="1"/>
      </rPr>
      <t>Característica: C/ Cor, Unissex.</t>
    </r>
  </si>
  <si>
    <r>
      <rPr>
        <sz val="9"/>
        <rFont val="Times New Roman"/>
        <family val="1"/>
      </rPr>
      <t>Agulha  Múltipla  para  Coleta  a  Vácuo25  X  8 (VERDE).  Agulhas  a  vácuo  25  X  8  para  coletas múltiplas   de   sangue   venoso.   Cânula   em   aço inoxidável,    siliconizada    com    biseltrifacetado. Embaladas      individualmente      em      cápsulas hermeticamente  fechadas.  Esterilizadas  por  óxido de  etileno.  Apresentação  -  cx  c/100  unidades. (Similar à VACUETTE®)</t>
    </r>
  </si>
  <si>
    <r>
      <rPr>
        <sz val="9"/>
        <rFont val="Times New Roman"/>
        <family val="1"/>
      </rPr>
      <t>Agulha  Múltipla  para  Coleta  a  Vácuo25  X  7 (CINZA).  Agulhas  a  vácuo  25  X  7  para  coletas múltiplas   de   sangue   venoso.   Cânula   em   aço inoxidável,    siliconizada    com    biseltrifacetado. Embaladas      individualmente      em      cápsulas</t>
    </r>
  </si>
  <si>
    <r>
      <rPr>
        <sz val="9"/>
        <rFont val="Times New Roman"/>
        <family val="1"/>
      </rPr>
      <t>Reagente,  diagnóstico  clínico,  albumina  bovina, solução a 22% - frasco 10ml</t>
    </r>
  </si>
  <si>
    <r>
      <rPr>
        <sz val="9"/>
        <rFont val="Times New Roman"/>
        <family val="1"/>
      </rPr>
      <t>Frasco</t>
    </r>
  </si>
  <si>
    <r>
      <rPr>
        <sz val="9"/>
        <rFont val="Times New Roman"/>
        <family val="1"/>
      </rPr>
      <t xml:space="preserve">Álcool  metílico.  METANOL  PARA  ANÁLISE EMSURE®    ACS,    ISO,    REAG.    PH    EUR
</t>
    </r>
    <r>
      <rPr>
        <sz val="9"/>
        <rFont val="Times New Roman"/>
        <family val="1"/>
      </rPr>
      <t>Apresentação: Frasco com 1 Litro</t>
    </r>
  </si>
  <si>
    <r>
      <rPr>
        <sz val="9"/>
        <rFont val="Times New Roman"/>
        <family val="1"/>
      </rPr>
      <t>Litro</t>
    </r>
  </si>
  <si>
    <r>
      <rPr>
        <sz val="9"/>
        <rFont val="Times New Roman"/>
        <family val="1"/>
      </rPr>
      <t>Frasco plástico rígido para coleta de fezes: leitoso, capacidade mínima de 70 ml e máxima de 90 ml, tampa   rosqueável   ou   de   pressão   com   fácil adaptação  e  vedação  total,  com  dispositivo  que permita coleta de fezes (pá), não deverá apresentar protuberâncias externas, embalagem individual</t>
    </r>
  </si>
  <si>
    <r>
      <rPr>
        <sz val="9"/>
        <rFont val="Times New Roman"/>
        <family val="1"/>
      </rPr>
      <t>Frasco   coletor   de   urina,   estéril,   cap.   80   ml. Registro  na  anvisa:  10379860094,  procedência: nacional.</t>
    </r>
  </si>
  <si>
    <r>
      <rPr>
        <sz val="9"/>
        <rFont val="Times New Roman"/>
        <family val="1"/>
      </rPr>
      <t>Coletor de urina infantil unissex, estéril, uso único, formato   retangular   com   paredes   sobrepostas, orifício     oval,     confeccionado     em     plástico (polietileno)  não  prejudicial  á  saúde,  transparente, com      placa      adesiva      em      hidrocoloide, hipoalergênica,  sem  deixar  resíduo  na  pele  após remoção.  Capacidade  100  ml  aproximadamente  e graduado a cada 10 ml. Livre de furos, com bordas devidamente  seladas,  capaz  de  suportar  o  volume sem ocasionar vazamentos.</t>
    </r>
  </si>
  <si>
    <r>
      <rPr>
        <sz val="9"/>
        <rFont val="Times New Roman"/>
        <family val="1"/>
      </rPr>
      <t>Reagente para diagnóstico clínico 5, tipo: conjunto completo,  tipo  de  análise:  quantitativo  de  fator reumatóide, método: aglutinação em látex.</t>
    </r>
  </si>
  <si>
    <r>
      <rPr>
        <sz val="9"/>
        <rFont val="Times New Roman"/>
        <family val="1"/>
      </rPr>
      <t>Corante,   tipo:   conjunto   corante   hematológico panótico     rápido,     aspecto     físico:     líquido, características     adicionais:     frascos     separados contendo,  composição:  0,1%  de  ciclohexadienos, 0,1%     de     azobenzosulfônicos,     componentes adicionais:   0,1%   de   fenotiazinas.   Unidade   de Fornecimento: Conjunto</t>
    </r>
  </si>
  <si>
    <r>
      <rPr>
        <sz val="9"/>
        <rFont val="Times New Roman"/>
        <family val="1"/>
      </rPr>
      <t>Caixa</t>
    </r>
  </si>
  <si>
    <r>
      <rPr>
        <sz val="9"/>
        <rFont val="Times New Roman"/>
        <family val="1"/>
      </rPr>
      <t>Antibiograma,  princípio  ativo:  ácido  nalidíxico, dosagem: 30 mcg</t>
    </r>
  </si>
  <si>
    <r>
      <rPr>
        <sz val="9"/>
        <rFont val="Times New Roman"/>
        <family val="1"/>
      </rPr>
      <t>Frascos</t>
    </r>
  </si>
  <si>
    <r>
      <rPr>
        <sz val="9"/>
        <rFont val="Times New Roman"/>
        <family val="1"/>
      </rPr>
      <t>Antibiograma, princípio ativo amicacina, dosagem 30 mcg</t>
    </r>
  </si>
  <si>
    <r>
      <rPr>
        <sz val="9"/>
        <rFont val="Times New Roman"/>
        <family val="1"/>
      </rPr>
      <t>Antibiograma,     princípio     ativo:     amoxicilina, dosagem: 10 mcg</t>
    </r>
  </si>
  <si>
    <r>
      <rPr>
        <sz val="9"/>
        <rFont val="Times New Roman"/>
        <family val="1"/>
      </rPr>
      <t>Antibiograma,  princípio  ativo  amoxicilina  e  ácido clavulânico, dosagem 20 + 10mcg</t>
    </r>
  </si>
  <si>
    <r>
      <rPr>
        <sz val="9"/>
        <rFont val="Times New Roman"/>
        <family val="1"/>
      </rPr>
      <t>Antibiograma,     princípio     ativo:     ampicilina, dosagem: 10 mcg</t>
    </r>
  </si>
  <si>
    <r>
      <rPr>
        <sz val="9"/>
        <rFont val="Times New Roman"/>
        <family val="1"/>
      </rPr>
      <t>Antibiograma,    princípio    ativo:    ampicilina    + sulbactam, dosagem: 10 + 10 mcg</t>
    </r>
  </si>
  <si>
    <r>
      <rPr>
        <sz val="9"/>
        <rFont val="Times New Roman"/>
        <family val="1"/>
      </rPr>
      <t>Antibiograma,     princípio     ativo:     aztreonam, dosagem: 30 mcg</t>
    </r>
  </si>
  <si>
    <r>
      <rPr>
        <sz val="9"/>
        <rFont val="Times New Roman"/>
        <family val="1"/>
      </rPr>
      <t>Antibiograma,  princípio  ativo  cefalotina,  dosagem 30 mcg</t>
    </r>
  </si>
  <si>
    <r>
      <rPr>
        <sz val="9"/>
        <rFont val="Times New Roman"/>
        <family val="1"/>
      </rPr>
      <t>Antibiograma, princípio ativo: cefepime, dosagem: 30 mcg</t>
    </r>
  </si>
  <si>
    <r>
      <rPr>
        <sz val="9"/>
        <rFont val="Times New Roman"/>
        <family val="1"/>
      </rPr>
      <t>Antibiograma, princípio ativo cefoxitina, dosagem 30 mcg</t>
    </r>
  </si>
  <si>
    <r>
      <rPr>
        <sz val="9"/>
        <rFont val="Times New Roman"/>
        <family val="1"/>
      </rPr>
      <t>Antibiograma,     princípio     ativo     ceftazidima, dosagem 30 mcg</t>
    </r>
  </si>
  <si>
    <r>
      <rPr>
        <sz val="9"/>
        <rFont val="Times New Roman"/>
        <family val="1"/>
      </rPr>
      <t>Antibiograma,     princípio     ativo     cefotaxima, dosagem 30 mcg</t>
    </r>
  </si>
  <si>
    <r>
      <rPr>
        <sz val="9"/>
        <rFont val="Times New Roman"/>
        <family val="1"/>
      </rPr>
      <t>Antibiograma,     princípio     ativo     ceftriaxona, dosagem 30 mcg</t>
    </r>
  </si>
  <si>
    <r>
      <rPr>
        <sz val="9"/>
        <rFont val="Times New Roman"/>
        <family val="1"/>
      </rPr>
      <t>Antibiograma,     princípio     ativo     cefuroxima, dosagem 30 mcg</t>
    </r>
  </si>
  <si>
    <r>
      <rPr>
        <sz val="9"/>
        <rFont val="Times New Roman"/>
        <family val="1"/>
      </rPr>
      <t>Antibiograma,   princípio   ativo:   ciprofloxacino, dosagem: 5 mcg</t>
    </r>
  </si>
  <si>
    <r>
      <rPr>
        <sz val="9"/>
        <rFont val="Times New Roman"/>
        <family val="1"/>
      </rPr>
      <t>Antibiograma,    princípio    ativo:    gentamicina, dosagem: 10 mcg</t>
    </r>
  </si>
  <si>
    <r>
      <rPr>
        <sz val="9"/>
        <rFont val="Times New Roman"/>
        <family val="1"/>
      </rPr>
      <t>Antibiograma, princípio ativo imipenem, dosagem 10 mcg</t>
    </r>
  </si>
  <si>
    <r>
      <rPr>
        <sz val="9"/>
        <rFont val="Times New Roman"/>
        <family val="1"/>
      </rPr>
      <t>Antibiograma,    princípio    ativo    levofloxacino, dosagem 5 mcg</t>
    </r>
  </si>
  <si>
    <r>
      <rPr>
        <sz val="9"/>
        <rFont val="Times New Roman"/>
        <family val="1"/>
      </rPr>
      <t>Antibiograma,    princípio    ativo    nitrofurantoína, dosagem 300 mcg</t>
    </r>
  </si>
  <si>
    <r>
      <rPr>
        <sz val="9"/>
        <rFont val="Times New Roman"/>
        <family val="1"/>
      </rPr>
      <t>Antibiograma,     princípio     ativo     norfloxacino, dosagem 10 mcg</t>
    </r>
  </si>
  <si>
    <r>
      <rPr>
        <sz val="9"/>
        <rFont val="Times New Roman"/>
        <family val="1"/>
      </rPr>
      <t>Antibiograma, princípio ativo ofloxacino, dosagem 5 mcg</t>
    </r>
  </si>
  <si>
    <r>
      <rPr>
        <sz val="9"/>
        <rFont val="Times New Roman"/>
        <family val="1"/>
      </rPr>
      <t>Antibiograma,  princípio  ativo:  sulfametoxazol  + trimetroprima, dosagem: 23,75 + 1,25 mcg</t>
    </r>
  </si>
  <si>
    <r>
      <rPr>
        <sz val="9"/>
        <rFont val="Times New Roman"/>
        <family val="1"/>
      </rPr>
      <t>Antibiograma,     princípio     ativo     sulfazotrim, dosagem 25 mcg</t>
    </r>
  </si>
  <si>
    <r>
      <rPr>
        <sz val="9"/>
        <rFont val="Times New Roman"/>
        <family val="1"/>
      </rPr>
      <t>Antibiograma,     princípio     ativo     tetraciclina, dosagem 30 mcg</t>
    </r>
  </si>
  <si>
    <r>
      <rPr>
        <sz val="9"/>
        <rFont val="Times New Roman"/>
        <family val="1"/>
      </rPr>
      <t>Garrote  para  punção,  em  tecido  elástico,  com  fita em nylon e algodão, trava em PVC; tipo freehand, processo  de  auto-trava  e  ajuste  de  pressão,  trava com  2  estágios  de  liberação  do  fluxo  sanguíneo; antialérgico</t>
    </r>
  </si>
  <si>
    <r>
      <rPr>
        <sz val="9"/>
        <rFont val="Times New Roman"/>
        <family val="1"/>
      </rPr>
      <t>Garrotes   com   trava   infantil,   material:   faixa elástica, componente adicional: c/ sistema de trava em  plástico,  tamanho:  tamanho  infantil,  tipo  uso: reutilizável.</t>
    </r>
  </si>
  <si>
    <r>
      <rPr>
        <sz val="9"/>
        <rFont val="Times New Roman"/>
        <family val="1"/>
      </rPr>
      <t>Lâmina  de  vidro  para  microscopia  com  borda fosca,  em  vidro  de  boa  transparência  e  livre  de fungos,   com   borda   fosca,   lapidada,   dimensões aproximadas de 26x76mm</t>
    </r>
  </si>
  <si>
    <r>
      <rPr>
        <sz val="9"/>
        <rFont val="Times New Roman"/>
        <family val="1"/>
      </rPr>
      <t>Óleo  de  imersão,  uso  para  microscopia,  aspecto físico   líquido   límpido,   transparente,   densidade 1,515, frasco c/100Ml</t>
    </r>
  </si>
  <si>
    <r>
      <rPr>
        <sz val="9"/>
        <rFont val="Times New Roman"/>
        <family val="1"/>
      </rPr>
      <t>Pesquisa de sangue oculto nas fezes. Tipo: Conjunto Completo. Tipo De Análise: Qualitativo De Sangue Oculto Em Fezes. Método: Imunocromatografia. Apresentação: Teste.</t>
    </r>
  </si>
  <si>
    <r>
      <rPr>
        <sz val="9"/>
        <rFont val="Times New Roman"/>
        <family val="1"/>
      </rPr>
      <t>Testes</t>
    </r>
  </si>
  <si>
    <r>
      <rPr>
        <sz val="9"/>
        <rFont val="Times New Roman"/>
        <family val="1"/>
      </rPr>
      <t>Ponteira  plástica  descartável  -  200ul  -  sem  filtro, em  polipropileno,  na  cor  amarela,  com  conexão universal,  livre  de  dnase,  rnase  e  pirogênios,  para volume de 0 a 200ul. Descartável</t>
    </r>
  </si>
  <si>
    <r>
      <rPr>
        <sz val="9"/>
        <rFont val="Times New Roman"/>
        <family val="1"/>
      </rPr>
      <t>Ponteira plástica descartável - 1.000ul - sem filtro, em   polipropileno,   na   cor   azul,   com   conexão universal,  livre  de  dnase,  rnase  e  pirogênios,  para volume de 100 a 1.000ul. Descartável.</t>
    </r>
  </si>
  <si>
    <r>
      <rPr>
        <sz val="9"/>
        <rFont val="Times New Roman"/>
        <family val="1"/>
      </rPr>
      <t>Teste para triagem de sífilis - Antígeno RPR Bras, em   soro,   plasma   EDTA   ou   liquor,   suspensão estabilizada  e  pronto  para  uso,  kit  com  6  frascos com  2,5  ml  suficientes  para  realizar  750  testes, acompanhado  por  controle  positivo  e  negativo,  1 ml de cada</t>
    </r>
  </si>
  <si>
    <r>
      <rPr>
        <sz val="9"/>
        <rFont val="Times New Roman"/>
        <family val="1"/>
      </rPr>
      <t>Soro   anti-a   monoclonal,   para   classificação   do sistema abo, teste em lâmina ou tubo, frasco com 10 ml</t>
    </r>
  </si>
  <si>
    <r>
      <rPr>
        <sz val="9"/>
        <rFont val="Times New Roman"/>
        <family val="1"/>
      </rPr>
      <t>Soro   anti-b   monoclonal,   para   classificação   do sistema abo, teste em lâmina ou tubo, frasco com 10 ml</t>
    </r>
  </si>
  <si>
    <r>
      <rPr>
        <sz val="9"/>
        <rFont val="Times New Roman"/>
        <family val="1"/>
      </rPr>
      <t>Soro   anti-d   monoclonal,   para   classificação   do sistema abo, teste em lâmina ou tubo, frasco com 10 ml</t>
    </r>
  </si>
  <si>
    <r>
      <rPr>
        <sz val="9"/>
        <rFont val="Times New Roman"/>
        <family val="1"/>
      </rPr>
      <t>Swab, material haste plástica, tipo ponta, ponta em algodão hidrófilo, embalagem individual em papel grau  cirúrgico,  esterilidade  estéril,  tipo  de  uso descartável</t>
    </r>
  </si>
  <si>
    <r>
      <rPr>
        <sz val="9"/>
        <rFont val="Times New Roman"/>
        <family val="1"/>
      </rPr>
      <t>Reagente para diagnóstico clínico 6, tipo conjunto completo,  tipo  de  análise  qualitativo  de  beta  hcg, método imunocromatografia, apresentação teste</t>
    </r>
  </si>
  <si>
    <r>
      <rPr>
        <sz val="9"/>
        <rFont val="Times New Roman"/>
        <family val="1"/>
      </rPr>
      <t>Reagente para diagnóstico clínico 7, tipo: conjunto completo,  tipo  de  análise:  qualitativo  de  anti-hcv, método:      imunocromatografia      em      cassete, apresentação:    teste.    Informações    adicionais: embalado   individualmente   para   testagem   em sangue total soro ou plasma</t>
    </r>
  </si>
  <si>
    <r>
      <rPr>
        <sz val="9"/>
        <rFont val="Times New Roman"/>
        <family val="1"/>
      </rPr>
      <t>Reagente  para  diagnóstico  clínico,  tipo:  conjunto completo,   tipo   de   análise:   qualitativo   hbsag, método: imunocromatografia, apresentação: teste</t>
    </r>
  </si>
  <si>
    <r>
      <rPr>
        <sz val="9"/>
        <rFont val="Times New Roman"/>
        <family val="1"/>
      </rPr>
      <t>Reagente  para  diagnóstico  clínico,  tipo:  conjunto completo, tipo de análise: qualitativo de hiv i e ii, método: imunocromatografia, apresentação: teste</t>
    </r>
  </si>
  <si>
    <r>
      <rPr>
        <sz val="9"/>
        <rFont val="Times New Roman"/>
        <family val="1"/>
      </rPr>
      <t>Reagente  para  diagnóstico  clínico,  tipo  conjunto completo, tipo de análise tempo de tromboplastina parcial ativada, método coagulometria</t>
    </r>
  </si>
  <si>
    <r>
      <rPr>
        <sz val="9"/>
        <rFont val="Times New Roman"/>
        <family val="1"/>
      </rPr>
      <t>Kit</t>
    </r>
  </si>
  <si>
    <r>
      <rPr>
        <sz val="9"/>
        <rFont val="Times New Roman"/>
        <family val="1"/>
      </rPr>
      <t>Determinação    de    Tempo    e    Atividade    da Protrombina</t>
    </r>
  </si>
  <si>
    <r>
      <rPr>
        <sz val="9"/>
        <rFont val="Times New Roman"/>
        <family val="1"/>
      </rPr>
      <t>Tubo  para  coleta  de  sangue  a  vácuo  com  sistema de    segurança,    tamanho    13x75mm,    estéril, descartável, incolor, com Citrato de Sódio à 3,2%, com   tampa   de   borracha   siliconizada   e   capa protetora.- Registro no MS.- Volume de 3,5 ml.</t>
    </r>
  </si>
  <si>
    <r>
      <rPr>
        <sz val="9"/>
        <rFont val="Times New Roman"/>
        <family val="1"/>
      </rPr>
      <t>Tubo  para  coleta  de  sangue  a  vácuo  com  sistema de  segurança,  em  pet,  tamanho  13x75mm,  estéril, descartável,  incolor,  com  edta-k3,  volume  2,0  ml, com   tampa   de   borracha   siliconizada   e   capa protetora</t>
    </r>
  </si>
  <si>
    <r>
      <rPr>
        <sz val="9"/>
        <rFont val="Times New Roman"/>
        <family val="1"/>
      </rPr>
      <t>Tubo  para  coleta  de  amostra  biológica,  material: plástico, volume: 4 ml, componentes: com edta-k3, uso:  coleta  de  sangue,  característica  adicional:  à vácuo, esterilidade: estéril, descartável</t>
    </r>
  </si>
  <si>
    <r>
      <rPr>
        <sz val="9"/>
        <rFont val="Times New Roman"/>
        <family val="1"/>
      </rPr>
      <t>Tubo de coleta de sangue a vácuo com sistema de segurança,  em  pet,  tamanho  13x75mm,  estéril, descartável, incolor, com ativador de coágulo e gel separador,   volume   de   3,5   ml,   com   tampa   de borracha siliconizada e capa protetora</t>
    </r>
  </si>
  <si>
    <r>
      <rPr>
        <sz val="9"/>
        <rFont val="Times New Roman"/>
        <family val="1"/>
      </rPr>
      <t>Tubo  para  coleta  de  sangue  a  vácuo,  em  PET, tamanho 16 x 100mm, estéril, descartável, incolor, com  ativador  de  coágulo  e  gel  separador,  volume 8.0ml,  com  tampa  de  borracha  siliconizada,  capa protetora  na  cor  vermelha  e  rolha  amarela,  sem aresta</t>
    </r>
  </si>
  <si>
    <r>
      <rPr>
        <sz val="9"/>
        <rFont val="Times New Roman"/>
        <family val="1"/>
      </rPr>
      <t>Lamínula  para  microscopia  em  vidro  translúcido de alta qualidade, 24 mm de largura x 60 mm de comprimento x 0,13/0,16 mm de espessura</t>
    </r>
  </si>
  <si>
    <r>
      <rPr>
        <sz val="9"/>
        <rFont val="Times New Roman"/>
        <family val="1"/>
      </rPr>
      <t>Lâmpada   de   halogênio   de   6v/20w   ou   6v/30w compatível  com  o  microscópio  modelo  eclipse E200 da marca Nikon</t>
    </r>
  </si>
  <si>
    <r>
      <rPr>
        <sz val="9"/>
        <rFont val="Times New Roman"/>
        <family val="1"/>
      </rPr>
      <t>Termohigrometro  digital,  que  mede  a  temperatura interna,  externa  e  a  umidade.  Registra  valores máximos e mínimos da temperatura e da umidade. Visor:   triplo,   de   cristal   líquido   (LCD)   para visualização  simultânea  da  temperatura  interna, externa e umidade. Funções: temperatura interna e externa  (registro  do  máximo  e  do  mínimo)  e umidade  relativa  (registro  do  máximo  e  mínimo). Temperatura   de   operação:   de   0ºC   A   50ºC. Alimentação:  pilhas  AAA  DE  1,5V.  peso:  150G (incluindo as pilhas). Alcance do sensor externo: 2 metros.</t>
    </r>
  </si>
  <si>
    <r>
      <rPr>
        <sz val="9"/>
        <rFont val="Times New Roman"/>
        <family val="1"/>
      </rPr>
      <t>Estante Tubo Ensaio. Material: Plástico. Diâmetro Tubo: Para Tubos Até 20mm. Capacidade: 40 Unidades.</t>
    </r>
  </si>
  <si>
    <r>
      <rPr>
        <sz val="9"/>
        <rFont val="Times New Roman"/>
        <family val="1"/>
      </rPr>
      <t>Meio  de  cultura,  tipo  Agar  teague,  apresentação sólido, característica adicional placa 90mm</t>
    </r>
  </si>
  <si>
    <r>
      <rPr>
        <sz val="9"/>
        <rFont val="Times New Roman"/>
        <family val="1"/>
      </rPr>
      <t>Meio de cultura Agar Cled - meio de cultura, tipo: Agar   cled,   apresentação:   solido,   característica adicional: placa 90mm</t>
    </r>
  </si>
  <si>
    <r>
      <rPr>
        <sz val="9"/>
        <rFont val="Times New Roman"/>
        <family val="1"/>
      </rPr>
      <t>Meio   de   cultura,   tipo   ágar   Mueller-Hinton, apresentação  sólido,  característica  adicional  placa 90mm</t>
    </r>
  </si>
  <si>
    <r>
      <rPr>
        <sz val="9"/>
        <rFont val="Times New Roman"/>
        <family val="1"/>
      </rPr>
      <t>Meio, cultura, rugai, apresentação sólido inclinado, com lisina, tubo 13x100 mm</t>
    </r>
  </si>
  <si>
    <r>
      <rPr>
        <sz val="9"/>
        <rFont val="Times New Roman"/>
        <family val="1"/>
      </rPr>
      <t>Reagente para diagnóstico clínico 3, tipo: conjunto completo, tipo de análise: qualitativo antígeno ns1 de  dengue  vírus,  método:  imunocro-matografia, apresentação: teste</t>
    </r>
  </si>
  <si>
    <r>
      <rPr>
        <sz val="9"/>
        <rFont val="Times New Roman"/>
        <family val="1"/>
      </rPr>
      <t>Teste  para  detecção  de  Dengue  IgM/IgG  para dosagem  em  soro,  plasma  ou  sangue,  método imunocromatografia    em    cards,    teste    rápido, acondicioando em kit</t>
    </r>
  </si>
  <si>
    <r>
      <rPr>
        <sz val="9"/>
        <rFont val="Times New Roman"/>
        <family val="1"/>
      </rPr>
      <t>Dextrosol  líquido  75g/300ml  para  realização  de curva glicêmica. Frasco com 300ml</t>
    </r>
  </si>
  <si>
    <r>
      <rPr>
        <sz val="9"/>
        <rFont val="Times New Roman"/>
        <family val="1"/>
      </rPr>
      <t>Dextrosol  líquido  50g/200ml  para  realização  de curva glicêmica. Frasco com 200ml</t>
    </r>
  </si>
  <si>
    <r>
      <rPr>
        <sz val="9"/>
        <rFont val="Times New Roman"/>
        <family val="1"/>
      </rPr>
      <t>Reagente Para Diagnóstico Clínico 5. Tipo: Conjunto Completo. Tipo De Análise: Quantitativo De Proteína "C" Reativa. Método: Aglutinação Em Látex. Apresentação: Teste.</t>
    </r>
  </si>
  <si>
    <r>
      <rPr>
        <sz val="9"/>
        <rFont val="Times New Roman"/>
        <family val="1"/>
      </rPr>
      <t xml:space="preserve">Tira reagente para uroanálise: contendo no mínimo
</t>
    </r>
    <r>
      <rPr>
        <sz val="9"/>
        <rFont val="Times New Roman"/>
        <family val="1"/>
      </rPr>
      <t>10    parâmetrose    compatível    com    analisador químico de urina BIOCON Reader 300.</t>
    </r>
  </si>
  <si>
    <r>
      <rPr>
        <sz val="9"/>
        <rFont val="Times New Roman"/>
        <family val="1"/>
      </rPr>
      <t>Tiras</t>
    </r>
  </si>
  <si>
    <r>
      <rPr>
        <sz val="9"/>
        <rFont val="Times New Roman"/>
        <family val="1"/>
      </rPr>
      <t>Kit   cubeta   reduzida   com   anilhas   magnéticas inclusas  para  uso  em  coagulômetro  marca  drake. Caixa com 100 unidades.</t>
    </r>
  </si>
  <si>
    <r>
      <rPr>
        <sz val="9"/>
        <rFont val="Times New Roman"/>
        <family val="1"/>
      </rPr>
      <t>Broca   alta   rotação,   material:   aço   inoxidável diamantada,   formato:   chama,   tipo   haste:   haste regular,   tipo   corte:   corte   médio,   numeração americana:   3118.   Padrão   de   Referência:   KG SORENSEN OU SUPERIOR</t>
    </r>
  </si>
  <si>
    <r>
      <rPr>
        <sz val="9"/>
        <rFont val="Times New Roman"/>
        <family val="1"/>
      </rPr>
      <t>Broca  tronco  cônica  n°9714  ff  30  lâminas.  Broca alta  rotação,  material:  carbide,  formato:  tronco cônica,  característica  adicional:longa,  tipo  haste: haste    regular,    tipo    corte:corte    extra    fino,</t>
    </r>
  </si>
  <si>
    <r>
      <rPr>
        <sz val="9"/>
        <rFont val="Times New Roman"/>
        <family val="1"/>
      </rPr>
      <t xml:space="preserve">Revelador radiológico, tipo solução aquosa pronta p/   uso,   aplicação   para   processamento   manual. Apresentação:  frasco  de  500ml  com  composição: água, dietileno glicol, hidroquinona e carbonato de potássio      PADRÃO      DE      REFERÊNCIA:
</t>
    </r>
    <r>
      <rPr>
        <sz val="9"/>
        <rFont val="Times New Roman"/>
        <family val="1"/>
      </rPr>
      <t>Carestream similar ou superior.</t>
    </r>
  </si>
  <si>
    <r>
      <rPr>
        <sz val="9"/>
        <rFont val="Times New Roman"/>
        <family val="1"/>
      </rPr>
      <t>Frasco 500 mL</t>
    </r>
  </si>
  <si>
    <r>
      <rPr>
        <sz val="9"/>
        <rFont val="Times New Roman"/>
        <family val="1"/>
      </rPr>
      <t>Algodão,  tipo:  hidrófilo,  apresentação:  em  rolete, material: alvejado, purificado, isento de impurezas, esterilidade:  não  estéril.  Cada  Pacote  deve  conter 100 roletes de algodão.</t>
    </r>
  </si>
  <si>
    <r>
      <rPr>
        <sz val="9"/>
        <rFont val="Times New Roman"/>
        <family val="1"/>
      </rPr>
      <t>Selante, tipo: para fóssulas e fissuras, característica adicional:   fotopolimerizável,   componentes:   com ácido,  componente  adicional:  flúor.  Selante  em Seringa.  Fotopolimerizável.  Apresentação:  Caixa com  01  seringa  de  2  gramas  cada.  Padrão  de referência:   FluorShield   Selante   de   Fóssulas   e Fissuras Fotopolimerizável. Padrão de Referência: FLUROSHIED DENTSPLY OU SUPERIOR</t>
    </r>
  </si>
  <si>
    <r>
      <rPr>
        <sz val="9"/>
        <rFont val="Times New Roman"/>
        <family val="1"/>
      </rPr>
      <t>Sugador, material: pvc, tipo: saliva, características adicionais:  c,  arame,  apresentação:  pacote  c,  40 unidades, tipo uso: estéril, descartável. Sugador de saliva  descartável,  ponteira  macia  e  aromatizada sabor  tutti-frutti.  Pacote  com  40  unidades  similar ou superior.</t>
    </r>
  </si>
  <si>
    <r>
      <rPr>
        <sz val="9"/>
        <rFont val="Times New Roman"/>
        <family val="1"/>
      </rPr>
      <t>Spray de resfriamento - 50°c para teste vitalidade pulpar isento de cfc, com butano e propano, frasco com 20 ml. Padrão de referência: endo ice maquira ou superior</t>
    </r>
  </si>
  <si>
    <r>
      <rPr>
        <sz val="9"/>
        <rFont val="Times New Roman"/>
        <family val="1"/>
      </rPr>
      <t>Verniz dentário, composição: c/ fluoreto de sódio. Padrão       de       Referência:       DURAFLÚOR DENTSPLY OU SUPERIOR. Frasco com 10ml.</t>
    </r>
  </si>
  <si>
    <r>
      <rPr>
        <sz val="9"/>
        <rFont val="Times New Roman"/>
        <family val="1"/>
      </rPr>
      <t>Adesivo      dental,      tipo:      fotopolimerizável, componentes:   monocomponente.   Capacidade   de primer/adesivo    combinado    para    adesão    de substratos  indireta  (metais,  cerâmicas  de  zircônia, alumina  e  vidro).  Apresentação  comercial:  Frasco com  6g  com  tampa  bico  dosadora  “flip  top". Padrão  de  Referência:  ADPER  SINGLEBOND Universal/3M ESPE OU SUPERIOR</t>
    </r>
  </si>
  <si>
    <r>
      <rPr>
        <sz val="9"/>
        <rFont val="Times New Roman"/>
        <family val="1"/>
      </rPr>
      <t>superfícies  radiculares  expostas,  reparos  intraorais de  coroas  metalocêramicas  ou  cerâmica  pura  e tratamento  de  superfície  de  restaurações  indiretas confeccionadas com cerâmica ou resina composta, composto  por  solvente  à  base  de  água,  primer autocondicionante  e  um  bond  fotopolimerizável, características:     longevidade     com     excelente selamento     marginal,     sem     necessidade     de condicionamento  ácido  reduzindo  a  sensibilidade em  restaurações  diretas  e  indiretas,  composição: primermdp (monômero ácido) e água, bondadesivo à  base  bis-gma,  fácil  aplicação,  rendimento  para até  70  aplicações,  embalagem  com  1  frasco  bond de 1,25ml + 1 frasco primer de 1,5ml . PADRÃO DE  REFERÊNCIA:  adesivo  clearfil  se  bond  - kuraray ou superior</t>
    </r>
  </si>
  <si>
    <r>
      <rPr>
        <sz val="9"/>
        <rFont val="Times New Roman"/>
        <family val="1"/>
      </rPr>
      <t>Gel  à  base  de  ácido  fosfórico  na  concentração  de 37%.  Condicionador  dental,  tipo  ácido  fosfórico, concentração  37%,  aspecto  físico  gel.  Descrição complementar:    embalagem    com    3    seringas. PADRÃO    DE    REFERÊNCIA:    DENTSPLY SIRONA OU SUPERIOR</t>
    </r>
  </si>
  <si>
    <r>
      <rPr>
        <sz val="9"/>
        <rFont val="Times New Roman"/>
        <family val="1"/>
      </rPr>
      <t xml:space="preserve">Agulha   odontológica,   material:   aço   inoxidável siliconizado,     aplicação:     gengival,     anestesia, dimensão:    30    g    curta,    tipo    ponta:    com biseltrifacetado,  tipo  conexão:  conector  p,  seringa carpule,      tipo      uso:      estéril,      descartável, apresentação:    c,    protetor    plástico    e    lacre. Apresentação  comercial:  caixa  com  100  agulhas estéreis        descartáveis–        PADRÃO        DE REFERÊNCIA:   SEPTOJECT   /   SEPTODONT;
</t>
    </r>
    <r>
      <rPr>
        <sz val="9"/>
        <rFont val="Times New Roman"/>
        <family val="1"/>
      </rPr>
      <t>UNOJECT / DFL similar ou superior.</t>
    </r>
  </si>
  <si>
    <r>
      <rPr>
        <sz val="9"/>
        <rFont val="Times New Roman"/>
        <family val="1"/>
      </rPr>
      <t xml:space="preserve">Caixa c/ 100
</t>
    </r>
    <r>
      <rPr>
        <sz val="9"/>
        <rFont val="Times New Roman"/>
        <family val="1"/>
      </rPr>
      <t>unidades</t>
    </r>
  </si>
  <si>
    <r>
      <rPr>
        <sz val="9"/>
        <rFont val="Times New Roman"/>
        <family val="1"/>
      </rPr>
      <t xml:space="preserve">Agulha   odontológica,   material:   aço   inoxidável siliconizado,     aplicação:     gengival,     anestesia, dimensão:    27    g    longa,    tipo    ponta    :    com biseltrifacetado,  tipo  conexão:  conector  p,  seringa carpule,      tipo      uso:      estéril,      descartável, apresentação:    c,    protetor    plástico    e    lacre. Apresentação  comercial:  caixa  com  100  agulhas estéreis        descartáveis–        PADRÃO        DE REFERÊNCIA:   SEPTOJECT   /   SEPTODONT;
</t>
    </r>
    <r>
      <rPr>
        <sz val="9"/>
        <rFont val="Times New Roman"/>
        <family val="1"/>
      </rPr>
      <t>UNOJECT / DFL similar ou superior</t>
    </r>
  </si>
  <si>
    <r>
      <rPr>
        <sz val="9"/>
        <rFont val="Times New Roman"/>
        <family val="1"/>
      </rPr>
      <t xml:space="preserve">Anestésico   Tópico.   Benzocaína,   concentração: 20%, uso: gel tópico. Sabores: menta ou tutti frutti. Apresentação    comercial:    pote    com    12g.    – PADRÃO   DE   REFERÊNCIA:   Benzotop   DFL
</t>
    </r>
    <r>
      <rPr>
        <sz val="9"/>
        <rFont val="Times New Roman"/>
        <family val="1"/>
      </rPr>
      <t>similar ou superior.</t>
    </r>
  </si>
  <si>
    <r>
      <rPr>
        <sz val="9"/>
        <rFont val="Times New Roman"/>
        <family val="1"/>
      </rPr>
      <t>Unidade (POTE 12G)</t>
    </r>
  </si>
  <si>
    <r>
      <rPr>
        <sz val="9"/>
        <rFont val="Times New Roman"/>
        <family val="1"/>
      </rPr>
      <t>Anestésico    cloridrato    lidocaína,    composição associada   com   epinefrina,   dosagem   2%   +   1: 100.000,  apresentação  injetável,  embalagem  com 50 tubetes de 1,8ml</t>
    </r>
  </si>
  <si>
    <r>
      <rPr>
        <sz val="9"/>
        <rFont val="Times New Roman"/>
        <family val="1"/>
      </rPr>
      <t>Tubetes de 1,8ml</t>
    </r>
  </si>
  <si>
    <r>
      <rPr>
        <sz val="9"/>
        <rFont val="Times New Roman"/>
        <family val="1"/>
      </rPr>
      <t>Anestésico       cloridrato       de       mepivacaína, apresentação     associada     com     norepinefrina, dosagem 2% + 1:100.000</t>
    </r>
  </si>
  <si>
    <r>
      <rPr>
        <sz val="9"/>
        <rFont val="Times New Roman"/>
        <family val="1"/>
      </rPr>
      <t xml:space="preserve">Anestésico  injetável  local  a  base  de  cloridrato  de mepivacaína   3   %   </t>
    </r>
    <r>
      <rPr>
        <b/>
        <sz val="9"/>
        <rFont val="Times New Roman"/>
        <family val="1"/>
      </rPr>
      <t>sem   vaso</t>
    </r>
    <r>
      <rPr>
        <sz val="9"/>
        <rFont val="Times New Roman"/>
        <family val="1"/>
      </rPr>
      <t>mepivacaína,   3%. Apresentação injetável.</t>
    </r>
  </si>
  <si>
    <r>
      <rPr>
        <sz val="9"/>
        <rFont val="Times New Roman"/>
        <family val="1"/>
      </rPr>
      <t>Aplicador  odontológico,  tipo  haste  dobrável,  tipo uso  descartável,  material  plástico,  características adicionais   pontas   fibras   não   absorventes,   tipo ponta   longa.   Tipo   microbrush,   composto   de prolipropileno     e     fibras     de     nylon.     Com flexibilidade,  que  se  dobrem  facilmente  até  90°, com pontas em fibras não absorventes e resistentes à    abrasão.    Apresentação:    tubo    com    100 aplicadores. Tamanho regular (2,0 mm). PADRÃO DE     REFERÊNCIA:     kgbrushmicrobrush     kg sorensen similar ou superior.</t>
    </r>
  </si>
  <si>
    <r>
      <rPr>
        <sz val="9"/>
        <rFont val="Times New Roman"/>
        <family val="1"/>
      </rPr>
      <t>Pacote com 100 unidade</t>
    </r>
  </si>
  <si>
    <r>
      <rPr>
        <sz val="9"/>
        <rFont val="Times New Roman"/>
        <family val="1"/>
      </rPr>
      <t>Bicarbonato     de     sódio,     apresentação:     pó. Apresentação    comercial:    peso    líquido    500g. Padrão  de  Referência:  AIRON  MAQUIRA  OU SUPERIOR</t>
    </r>
  </si>
  <si>
    <r>
      <rPr>
        <sz val="9"/>
        <rFont val="Times New Roman"/>
        <family val="1"/>
      </rPr>
      <t>Frasco 500g</t>
    </r>
  </si>
  <si>
    <r>
      <rPr>
        <sz val="9"/>
        <rFont val="Times New Roman"/>
        <family val="1"/>
      </rPr>
      <t>Silicones  abrasivos  para  acabamento  e  polimento pontas   sortidas   (taça,   disco   e   chama).   Ponta montada uso odontológico, material: borracha com óxido  de  alumínio,  formato:  07  pontas  sortidas, cor:   branca,   aplicação:   resinas,   características adicionais:   conjunto   completo,   compatibilidade: contra  ângulo.  Descrição  complementar:  silicones abrasivos  para  acabamento  e  polimento  composto por pontas abrasivas de resina e óxido de alumínio, caixa  c/  07  pontas  sortidas  (taça,  disco  e  chama). Padrão de referência: dentsply ou superior</t>
    </r>
  </si>
  <si>
    <r>
      <rPr>
        <sz val="9"/>
        <rFont val="Times New Roman"/>
        <family val="1"/>
      </rPr>
      <t>KIT</t>
    </r>
  </si>
  <si>
    <r>
      <rPr>
        <sz val="9"/>
        <rFont val="Times New Roman"/>
        <family val="1"/>
      </rPr>
      <t xml:space="preserve">Discos de acabamento e polimento 19,05 mm em 4 granulações  soflex  3m.disco  -  uso  odontologia, tipo: lixa, material: poliéster + óxido de alumínio, tipo  face:  monoface,  diâmetro:  cerca  de  3,4  pol, tipo  do  encaixe:  encaixe  p,  mandril  c,  parafuso, tipo  uso:  descartável.  Descrição  complementar: discos  de  acabamento  e  polimento;  caixa  com  50 discos de 19,05 mm em 4 granulações; abrasivo à base   de   óxido   de   alumínio   e   costado   de poliuretano;   (com   3/4   de   polegadas   nas   cores preto,  azul  escuro,  azul  e  azul  claro).  Soflex  3m 1958d. PADRÃO DE REFERÊNCIA: 3m espe ou
</t>
    </r>
    <r>
      <rPr>
        <sz val="9"/>
        <rFont val="Times New Roman"/>
        <family val="1"/>
      </rPr>
      <t>superior</t>
    </r>
  </si>
  <si>
    <r>
      <rPr>
        <sz val="9"/>
        <rFont val="Times New Roman"/>
        <family val="1"/>
      </rPr>
      <t>granulações:    super    fino(laranja    claro),    fino (laranja), médio(laranja escuro) e grosso(marrom), utilizados  na  sequência  correta  resultam  em  uma excelente  lisura  de  superfície  e  em  restaurações estéticas,   itens   inclusos:   kit   com   120   discos sortidos,  tamanho  1/2  com  mandril,  série  laranja, PADRÃO  DE  REFERÊNCIA:  disco  de  lixa  sof- lex pop. Padrão de referência: 3m espe ou superior</t>
    </r>
  </si>
  <si>
    <r>
      <rPr>
        <sz val="9"/>
        <rFont val="Times New Roman"/>
        <family val="1"/>
      </rPr>
      <t>Broca esferica de contra angulo nº 2. Broca baixa rotação,    tipo    contra    ângulo,    material    aço inoxidável,   formato   esférica,   tipo   corte:   corte regular,   tipo   haste   regular,   referência   ref.   2. PADRÃO  DE  REFERÊNCIA:  kg  sorensen  ou superior</t>
    </r>
  </si>
  <si>
    <r>
      <rPr>
        <sz val="9"/>
        <rFont val="Times New Roman"/>
        <family val="1"/>
      </rPr>
      <t>Broca esferica de contra angulo nº 3. Broca baixa rotação,    tipo    contra    ângulo,    material    aço inoxidável,   formato   esférica,   tipo   corte:   corte regular,   tipo   haste   regular,   referência   ref.   2. PADRÃO  DE  REFERÊNCIA:  KG  Sorensen  OU SUPERIOR</t>
    </r>
  </si>
  <si>
    <r>
      <rPr>
        <sz val="9"/>
        <rFont val="Times New Roman"/>
        <family val="1"/>
      </rPr>
      <t>Broca esférica de contra ângulo nº 4. Broca baixa rotação,    tipo    contra    ângulo,    material    aço inoxidável,   formato   esférica,   tipo   corte:   corte regular,   tipo   haste   regular,   referência   ref.   2. PADRÃO  DE  REFERÊNCIA:  kg  sorensen  ou superior</t>
    </r>
  </si>
  <si>
    <r>
      <rPr>
        <sz val="9"/>
        <rFont val="Times New Roman"/>
        <family val="1"/>
      </rPr>
      <t>Broca baixa rotação, tipo: contra ângulo, material: carbide, formato: tronco cônica, formato adicional: topo  inativo,  característica  adicional:  "</t>
    </r>
    <r>
      <rPr>
        <b/>
        <sz val="9"/>
        <rFont val="Times New Roman"/>
        <family val="1"/>
      </rPr>
      <t>endo  z</t>
    </r>
    <r>
      <rPr>
        <sz val="9"/>
        <rFont val="Times New Roman"/>
        <family val="1"/>
      </rPr>
      <t>", comprimento:  23,5  mm,  tendo  a  sua  parte  ativa fabricada   em   carboneto   de   tungstênio,   na   cor dourada  com  0,9mm  de  diâmetro  -PADRÃO  DE REFERÊNCIA:  Angelus  Prima  Dental  similar  ou superior.</t>
    </r>
  </si>
  <si>
    <r>
      <rPr>
        <sz val="9"/>
        <rFont val="Times New Roman"/>
        <family val="1"/>
      </rPr>
      <t>Babador   descartável   odontológico   impermeável. babador  material  papel  absorvente  e  plástico,  tipo uso  descartável,  cor  branca,  comprimento  33  cm, largura 48 cm, características adicionais 2 camadas papel/1     camada     plástico.     PADRÃO     DE REFERÊNCIA: Biodinâmica ou Superior</t>
    </r>
  </si>
  <si>
    <r>
      <rPr>
        <sz val="9"/>
        <rFont val="Times New Roman"/>
        <family val="1"/>
      </rPr>
      <t>Enxaguatório bucal em digluconato de clorexidina 0,12%.   Clorexidina   digluconato,   concentração 0,12%,  forma  farmacêutica  colutório.  Descrição complementar:    com    xilitol.    PADRÃO    DE REFERÊNCIA: perioxidin, lacer ou superior</t>
    </r>
  </si>
  <si>
    <r>
      <rPr>
        <sz val="9"/>
        <rFont val="Times New Roman"/>
        <family val="1"/>
      </rPr>
      <t>Frasco 200 mL</t>
    </r>
  </si>
  <si>
    <r>
      <rPr>
        <sz val="9"/>
        <rFont val="Times New Roman"/>
        <family val="1"/>
      </rPr>
      <t>Carbono   para   articular,   material:   em   papel, formato: formato de ferradura, cor: dupla face - 2 cores  (VERMELHO  /  AZUL),  tipo  uso:  estéril, descartável, apresentação: em folha. PADRÃO DE</t>
    </r>
  </si>
  <si>
    <r>
      <rPr>
        <sz val="9"/>
        <rFont val="Times New Roman"/>
        <family val="1"/>
      </rPr>
      <t>Cimento  de  ionômero  de  vidro,  tipo:  resinoso, ativação:       fotopolimerizável,       apresentação: conjunto  completo  PADRÃO  DE  REFERÊNCIA: Riva Light Cure similar ou superior</t>
    </r>
  </si>
  <si>
    <r>
      <rPr>
        <sz val="9"/>
        <rFont val="Times New Roman"/>
        <family val="1"/>
      </rPr>
      <t>Cimento de ionômero de vidro, forrador, ionoseal. Tipo:     resinoso,     ativação:     fotopolimerizável, apresentação:  conjunto  completo.  PADRÃO  DE REFERÊNCIA: voco ou superior</t>
    </r>
  </si>
  <si>
    <r>
      <rPr>
        <sz val="9"/>
        <rFont val="Times New Roman"/>
        <family val="1"/>
      </rPr>
      <t xml:space="preserve">Detergente   enzimático,   composição:   a   base   de amilase, protease, lipase, composição ii: peptidase, celulase.  Indicado  especificamente  para  a  limpeza de    instrumentais    médicos    e    odontológicos. Apresentação    comercial:    Galão    de    5    litro. PRADRÃO    DE    REFERÊNCIA:    Prolink    ou
</t>
    </r>
    <r>
      <rPr>
        <sz val="9"/>
        <rFont val="Times New Roman"/>
        <family val="1"/>
      </rPr>
      <t>Superior.</t>
    </r>
  </si>
  <si>
    <r>
      <rPr>
        <sz val="9"/>
        <rFont val="Times New Roman"/>
        <family val="1"/>
      </rPr>
      <t>Frasco 5 L</t>
    </r>
  </si>
  <si>
    <r>
      <rPr>
        <sz val="9"/>
        <rFont val="Times New Roman"/>
        <family val="1"/>
      </rPr>
      <t xml:space="preserve">Dessensibilizante  dentinário,  composição  básica: nitrato de potássio, composição adicional: fluoreto de  sódio,  KF  0,2%:  com  0,2%  de  fluoreto  de sódio.  PADRÃO  DE  REFERÊNCIA:  FGM  ou
</t>
    </r>
    <r>
      <rPr>
        <sz val="9"/>
        <rFont val="Times New Roman"/>
        <family val="1"/>
      </rPr>
      <t>Superior.</t>
    </r>
  </si>
  <si>
    <r>
      <rPr>
        <sz val="9"/>
        <rFont val="Times New Roman"/>
        <family val="1"/>
      </rPr>
      <t>SERINGA 2,5G</t>
    </r>
  </si>
  <si>
    <r>
      <rPr>
        <sz val="9"/>
        <rFont val="Times New Roman"/>
        <family val="1"/>
      </rPr>
      <t xml:space="preserve">Eugenol      ý2-metoxi-4-(2-propen-1-      il)fenol¨, aspecto    físico:    líquido    incolor    à    levemente amarelado,   fórmula   química:   c10h12o2,   peso molecular:  164,20  g.mol,  grau  de  pureza:  pureza mínima  de  99%,  número  de  referência  química: cas    97-53-0.    PADRÃO    DE    REFERÊNCIA:
</t>
    </r>
    <r>
      <rPr>
        <sz val="9"/>
        <rFont val="Times New Roman"/>
        <family val="1"/>
      </rPr>
      <t>Biodinâmica ou Superior.</t>
    </r>
  </si>
  <si>
    <r>
      <rPr>
        <sz val="9"/>
        <rFont val="Times New Roman"/>
        <family val="1"/>
      </rPr>
      <t>Escova  de  Robson,  tipo  taça,  uso  contra-ângulo, cor    branca.    PADRÃO    DE    REFERÊNCIA: Microdont ou superior</t>
    </r>
  </si>
  <si>
    <r>
      <rPr>
        <sz val="9"/>
        <rFont val="Times New Roman"/>
        <family val="1"/>
      </rPr>
      <t xml:space="preserve">Fixador    radiológico,    composição    tiossulfato amoneo, tampão ph, ácido, antioxidante, aplicação manual,     aspecto     físico     solução     aquosa, características  adicionais  solução  pronta  para  uso, 475 ml. PADRÃO DE REFERÊNCIA: kodak 156
</t>
    </r>
    <r>
      <rPr>
        <sz val="9"/>
        <rFont val="Times New Roman"/>
        <family val="1"/>
      </rPr>
      <t>2826 ou superior</t>
    </r>
  </si>
  <si>
    <r>
      <rPr>
        <sz val="9"/>
        <rFont val="Times New Roman"/>
        <family val="1"/>
      </rPr>
      <t>Frasco 475 mL</t>
    </r>
  </si>
  <si>
    <r>
      <rPr>
        <sz val="9"/>
        <rFont val="Times New Roman"/>
        <family val="1"/>
      </rPr>
      <t>Filme   periapical   para   adultos   e-,   composição poliester  com  emulsão  fotossensível.  PADRÃO DE  REFERÊNCIA:  Kodak  speed  film,  qualidade similar ou superior.</t>
    </r>
  </si>
  <si>
    <r>
      <rPr>
        <sz val="9"/>
        <rFont val="Times New Roman"/>
        <family val="1"/>
      </rPr>
      <t xml:space="preserve">Caixa c/ 150
</t>
    </r>
    <r>
      <rPr>
        <sz val="9"/>
        <rFont val="Times New Roman"/>
        <family val="1"/>
      </rPr>
      <t>unidades</t>
    </r>
  </si>
  <si>
    <r>
      <rPr>
        <sz val="9"/>
        <rFont val="Times New Roman"/>
        <family val="1"/>
      </rPr>
      <t>Filme     periapical     infantil.     PADRÃO     DE REFERÊNCIA: kodak ip-01 ou superior</t>
    </r>
  </si>
  <si>
    <r>
      <rPr>
        <sz val="9"/>
        <rFont val="Times New Roman"/>
        <family val="1"/>
      </rPr>
      <t>Formocresol,   composição:   formaldeído   +   orto- cresol,       concentração:       19%       +       35% aproximadamente,       veículo:       em       solução glicerinada.     PADRÃO     DE     REFERÊNCIA: Biodinâmica similar ou superior</t>
    </r>
  </si>
  <si>
    <r>
      <rPr>
        <sz val="9"/>
        <rFont val="Times New Roman"/>
        <family val="1"/>
      </rPr>
      <t>Frasco 10mL</t>
    </r>
  </si>
  <si>
    <r>
      <rPr>
        <sz val="9"/>
        <rFont val="Times New Roman"/>
        <family val="1"/>
      </rPr>
      <t>Fio  dental  composto  por  3  partes.  Fio  dental composto por 3 partes: uma extremidade rígida, o que facilita a inserção entre os espaços dos dentes, coroas, pontes e sob aparelhos ortodônticos. Rede de  fibras  esponjosas,  que  permite  uma  limpeza mais eficaz. Fio dental regular para limpeza entre os   dentes   e   o   espaço   entre   gengiva   e   dente. Embalagem   com   50   unidades.   PADRÃO   DE REFERÊNCIA: superfloss oral b, ou superior</t>
    </r>
  </si>
  <si>
    <r>
      <rPr>
        <sz val="9"/>
        <rFont val="Times New Roman"/>
        <family val="1"/>
      </rPr>
      <t>Hidróxido de Cálcio PA (CAPEADOR PULPAR), pó frasco com 10g</t>
    </r>
  </si>
  <si>
    <r>
      <rPr>
        <sz val="9"/>
        <rFont val="Times New Roman"/>
        <family val="1"/>
      </rPr>
      <t>Hemostático  tópico,  princípio  ativo:  cloreto  de alumínio,  aspecto  físico:  líquido.  PADRÃO  DE REFERÊNCIA:   HEMOSTOP   DENTSPLY   OU SUPERIOR</t>
    </r>
  </si>
  <si>
    <r>
      <rPr>
        <sz val="9"/>
        <rFont val="Times New Roman"/>
        <family val="1"/>
      </rPr>
      <t xml:space="preserve">Lubrificante   odontológico,   composição   básica: óleo  mineral,  apresentação:  spray  com  adaptador, aplicação:   caneta   de   alta   e   baixa   rotação, características   adicionais:   sem   cfc   Embalagem frasco    spray    com    200ml.    PADRÃO    DE REFERÊNCIA:   DABI   ATLANTE   similar   ou
</t>
    </r>
    <r>
      <rPr>
        <sz val="9"/>
        <rFont val="Times New Roman"/>
        <family val="1"/>
      </rPr>
      <t>superior</t>
    </r>
  </si>
  <si>
    <r>
      <rPr>
        <sz val="9"/>
        <rFont val="Times New Roman"/>
        <family val="1"/>
      </rPr>
      <t>Frasco 200mL</t>
    </r>
  </si>
  <si>
    <r>
      <rPr>
        <sz val="9"/>
        <rFont val="Times New Roman"/>
        <family val="1"/>
      </rPr>
      <t>Arco    e    serra    microcut.    Acessórios    -    uso odontológico,    aplicação    inter    dental/    bucal. Descrição complementar: tipo micro arco de serra, material     aço     inoxidável.     PADRÃO     DE REFERÊNCIA: tdv ou superior</t>
    </r>
  </si>
  <si>
    <r>
      <rPr>
        <sz val="9"/>
        <rFont val="Times New Roman"/>
        <family val="1"/>
      </rPr>
      <t xml:space="preserve">Tira   de   Lixa   para   Resina   Epitex   10m.   Cor: LARANJA      (Extra-Fina).      PADRÃO      DE
</t>
    </r>
    <r>
      <rPr>
        <sz val="9"/>
        <rFont val="Times New Roman"/>
        <family val="1"/>
      </rPr>
      <t>REFERÊNCIA: Epitex ou Superior</t>
    </r>
  </si>
  <si>
    <r>
      <rPr>
        <sz val="9"/>
        <rFont val="Times New Roman"/>
        <family val="1"/>
      </rPr>
      <t>Cimento     odontológico,     tipo:     endodôntico, composição: óxido de zinco, aspecto físico: pó</t>
    </r>
  </si>
  <si>
    <r>
      <rPr>
        <sz val="9"/>
        <rFont val="Times New Roman"/>
        <family val="1"/>
      </rPr>
      <t>Pasta de hidróxido de cálcio para uso endodôntico. Cimento      odontológico,      tipo:      endodôntico composição:  hidróxido  de  cálcio,  aspecto  físico: pasta  +  pasta,  apresentação:  conjunto  completo. Descrição  complementar:  tipo  calen.  PADRÃO DE REFERÊNCIA: sswhite ou superior</t>
    </r>
  </si>
  <si>
    <r>
      <rPr>
        <sz val="9"/>
        <rFont val="Times New Roman"/>
        <family val="1"/>
      </rPr>
      <t>Paramonoclorofenol,     associação:     cloreto     de benzalcônio,    polietilenolicol,    aspecto    físico: solução  intracanal  Medicamento  líquido  volátil, com  tensão  superficial  baixa.  Frasco  com  20mL. PADRÃO     DE     REFERÊNCIA:     biodinâmica similar ou superior.</t>
    </r>
  </si>
  <si>
    <r>
      <rPr>
        <sz val="9"/>
        <rFont val="Times New Roman"/>
        <family val="1"/>
      </rPr>
      <t>Frasco 20ML</t>
    </r>
  </si>
  <si>
    <r>
      <rPr>
        <sz val="9"/>
        <rFont val="Times New Roman"/>
        <family val="1"/>
      </rPr>
      <t>Pasta profilática, composição básica pedra pomes, composição  lauril  sulfato  de  sódio,  características adicionais com flúor. Caixa com bisnaga de 90 g. PADRÃO  DE  REFERÊNCIA:  pasta  profilática herjos – coltene similar ou superior</t>
    </r>
  </si>
  <si>
    <r>
      <rPr>
        <sz val="9"/>
        <rFont val="Times New Roman"/>
        <family val="1"/>
      </rPr>
      <t>Bisnaga 90GR</t>
    </r>
  </si>
  <si>
    <r>
      <rPr>
        <sz val="9"/>
        <rFont val="Times New Roman"/>
        <family val="1"/>
      </rPr>
      <t>Pasta diamantada para acabamento e polimento de resina. Pasta de polimento diamondpolishmint 0.5. Aplicação  polimento  final  de  porcelana  e  resina, tipo diamantada. Embalagem com 1 seringa de 1,2 ml.</t>
    </r>
  </si>
  <si>
    <r>
      <rPr>
        <sz val="9"/>
        <rFont val="Times New Roman"/>
        <family val="1"/>
      </rPr>
      <t>Pedra  -  pomes,  material:  rocha  magnética,  cor: branca,   aspecto   físico:   pó,   aplicação:   limpeza dental,      uso:      odontológico,      características adicionais: extrafino</t>
    </r>
  </si>
  <si>
    <r>
      <rPr>
        <sz val="9"/>
        <rFont val="Times New Roman"/>
        <family val="1"/>
      </rPr>
      <t>Frasco 100G</t>
    </r>
  </si>
  <si>
    <r>
      <rPr>
        <sz val="9"/>
        <rFont val="Times New Roman"/>
        <family val="1"/>
      </rPr>
      <t>Embalagem para esterilização, material: papel grau cirúrgico,     composição:     c,     filme     polímero multilaminado,  gramatura,  espessura:  cerca  de  60 g,m2,    apresentação:    envelope,    componentes adicionais:  autosselante,  tamanho:  cerca  de  100  x 200  cm,  componentes:  c,  indicador  químico,  tipo uso: uso único</t>
    </r>
  </si>
  <si>
    <r>
      <rPr>
        <sz val="9"/>
        <rFont val="Times New Roman"/>
        <family val="1"/>
      </rPr>
      <t>Broca   alta   rotação,   material:   aço   inoxidável diamantada,  formato:  esférica,  tipo  haste:  haste regular,   tipo   corte:   corte   médio,   numeração americana:   1012.   Padrão   de   Referência:   KG SORENSEN OU SUPERIOR</t>
    </r>
  </si>
  <si>
    <r>
      <rPr>
        <sz val="9"/>
        <rFont val="Times New Roman"/>
        <family val="1"/>
      </rPr>
      <t>Broca   alta   rotação,   material:   aço   inoxidável diamantada,  formato:  esférica,  tipo  haste:  haste regular,   tipo   corte:   corte   médio,   numeração americana:   1014.   Padrão   de   Referência:   KG SORENSEN OU SUPERIOR</t>
    </r>
  </si>
  <si>
    <r>
      <rPr>
        <sz val="9"/>
        <rFont val="Times New Roman"/>
        <family val="1"/>
      </rPr>
      <t xml:space="preserve">BROCA    ESFERICA    DIAMANTADA    PARA
</t>
    </r>
    <r>
      <rPr>
        <sz val="9"/>
        <rFont val="Times New Roman"/>
        <family val="1"/>
      </rPr>
      <t>ALTA    ROTAÇÃO    1014HL.    Material:    aço inoxidável   diamantada,   formato:   esférica,   tipo haste: hastelonga, tipo corte: cirúrgica, numeração americana:   1014.   Padrão   de   Referência:   KG SORENSEN OU SUPERIOR</t>
    </r>
  </si>
  <si>
    <r>
      <rPr>
        <sz val="9"/>
        <rFont val="Times New Roman"/>
        <family val="1"/>
      </rPr>
      <t>Broca   diamantada   esférica   3018.   Broca   alta rotação,   material   aço   inoxidável   diamantada,</t>
    </r>
  </si>
  <si>
    <r>
      <rPr>
        <sz val="9"/>
        <rFont val="Times New Roman"/>
        <family val="1"/>
      </rPr>
      <t xml:space="preserve">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A1B. PADRAO  de  REFERÊNCIA:  Z350  XT  -  3M-
</t>
    </r>
    <r>
      <rPr>
        <sz val="9"/>
        <rFont val="Times New Roman"/>
        <family val="1"/>
      </rPr>
      <t>ESPE similar ou superior</t>
    </r>
  </si>
  <si>
    <r>
      <rPr>
        <sz val="9"/>
        <rFont val="Times New Roman"/>
        <family val="1"/>
      </rPr>
      <t xml:space="preserve">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A1E. PADRAO  de  REFERÊNCIA:  Z350  XT  -  3M-
</t>
    </r>
    <r>
      <rPr>
        <sz val="9"/>
        <rFont val="Times New Roman"/>
        <family val="1"/>
      </rPr>
      <t>ESPE similar ou superior</t>
    </r>
  </si>
  <si>
    <r>
      <rPr>
        <sz val="9"/>
        <rFont val="Times New Roman"/>
        <family val="1"/>
      </rPr>
      <t xml:space="preserve">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A2E. PADRAO  de  REFERÊNCIA:  Z350  XT  -  3M-
</t>
    </r>
    <r>
      <rPr>
        <sz val="9"/>
        <rFont val="Times New Roman"/>
        <family val="1"/>
      </rPr>
      <t>ESPE similar ou superior</t>
    </r>
  </si>
  <si>
    <r>
      <rPr>
        <sz val="9"/>
        <rFont val="Times New Roman"/>
        <family val="1"/>
      </rPr>
      <t xml:space="preserve">Resina composta, tipo: fotopolimerizável, tamanho partículas:     nanoparticuladas,     aspecto     físico: pastosa,    constituída    por    “nanoaglomerados” compostos  unicamente  por  nanopartículas.  Matriz orgânica    de    Bis-GMA,    UDMA,    TEGDMA, PEGDMA  eBis-EMA  e  partículas  inorgânicas  de Zircônia/Sílica.                 COM                 100% NANOPARTÍCULAS.  Seringa  de  4  g.  Cor  A2B. PADRAO  de  REFERÊNCIA:  Z350  XT  -  3M-
</t>
    </r>
    <r>
      <rPr>
        <sz val="9"/>
        <rFont val="Times New Roman"/>
        <family val="1"/>
      </rPr>
      <t>ESPE similar ou superior</t>
    </r>
  </si>
  <si>
    <r>
      <rPr>
        <sz val="9"/>
        <rFont val="Times New Roman"/>
        <family val="1"/>
      </rPr>
      <t xml:space="preserve">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A2D. PADRAO  de  REFERÊNCIA:  Z350  XT  -  3M-
</t>
    </r>
    <r>
      <rPr>
        <sz val="9"/>
        <rFont val="Times New Roman"/>
        <family val="1"/>
      </rPr>
      <t>ESPE similar ou superior</t>
    </r>
  </si>
  <si>
    <r>
      <rPr>
        <sz val="9"/>
        <rFont val="Times New Roman"/>
        <family val="1"/>
      </rPr>
      <t xml:space="preserve">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A1D. PADRAO  de  REFERÊNCIA:  Z350  XT  -  3M-
</t>
    </r>
    <r>
      <rPr>
        <sz val="9"/>
        <rFont val="Times New Roman"/>
        <family val="1"/>
      </rPr>
      <t>ESPE similar ou superior</t>
    </r>
  </si>
  <si>
    <r>
      <rPr>
        <sz val="9"/>
        <rFont val="Times New Roman"/>
        <family val="1"/>
      </rPr>
      <t xml:space="preserve">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A3,5B. PADRAO  de  REFERÊNCIA:  Z350  XT  -  3M-
</t>
    </r>
    <r>
      <rPr>
        <sz val="9"/>
        <rFont val="Times New Roman"/>
        <family val="1"/>
      </rPr>
      <t>ESPE similar ou superior</t>
    </r>
  </si>
  <si>
    <r>
      <rPr>
        <sz val="9"/>
        <rFont val="Times New Roman"/>
        <family val="1"/>
      </rPr>
      <t xml:space="preserve">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A3B. PADRAO  de  REFERÊNCIA:  Z350  XT  -  3M-
</t>
    </r>
    <r>
      <rPr>
        <sz val="9"/>
        <rFont val="Times New Roman"/>
        <family val="1"/>
      </rPr>
      <t>ESPE similar ou superior.</t>
    </r>
  </si>
  <si>
    <r>
      <rPr>
        <sz val="9"/>
        <rFont val="Times New Roman"/>
        <family val="1"/>
      </rPr>
      <t xml:space="preserve">Resina  composta,  tipo:  fotopolimerizável,tamanho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A3D. PADRAO  de  REFERÊNCIA:  Z350  XT  -  3M-
</t>
    </r>
    <r>
      <rPr>
        <sz val="9"/>
        <rFont val="Times New Roman"/>
        <family val="1"/>
      </rPr>
      <t>ESPE similar ou superior</t>
    </r>
  </si>
  <si>
    <r>
      <rPr>
        <sz val="9"/>
        <rFont val="Times New Roman"/>
        <family val="1"/>
      </rPr>
      <t xml:space="preserve">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A3E. PADRAO  de  REFERÊNCIA:  Z350  XT  -  3M-
</t>
    </r>
    <r>
      <rPr>
        <sz val="9"/>
        <rFont val="Times New Roman"/>
        <family val="1"/>
      </rPr>
      <t>ESPE similar ou superior.</t>
    </r>
  </si>
  <si>
    <r>
      <rPr>
        <sz val="9"/>
        <rFont val="Times New Roman"/>
        <family val="1"/>
      </rPr>
      <t xml:space="preserve">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B1B CERVICAL. PADRAO de REFERÊNCIA : Z350
</t>
    </r>
    <r>
      <rPr>
        <sz val="9"/>
        <rFont val="Times New Roman"/>
        <family val="1"/>
      </rPr>
      <t>XT - 3M-ESPE similar ou superior</t>
    </r>
  </si>
  <si>
    <r>
      <rPr>
        <sz val="9"/>
        <rFont val="Times New Roman"/>
        <family val="1"/>
      </rPr>
      <t xml:space="preserve">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B2B CERVICAL.  PADRAO  de  REFERÊNCIA:  Z350
</t>
    </r>
    <r>
      <rPr>
        <sz val="9"/>
        <rFont val="Times New Roman"/>
        <family val="1"/>
      </rPr>
      <t>XT - 3M-ESPE similar ou superior.</t>
    </r>
  </si>
  <si>
    <r>
      <rPr>
        <sz val="9"/>
        <rFont val="Times New Roman"/>
        <family val="1"/>
      </rPr>
      <t xml:space="preserve">Resina composta, tipo: fotopolimerizável, tamanho partículas:     nanoparticuladas,     aspecto     físico: pastosa,    constituída    por    “nanoaglomerados” compostos  unicamente  por  nanopartículas.  Matriz orgânica     deBis-GMA,     UDMA,     TEGDMA, PEGDMA e Bis-EMA e partículas inorgânicas de Zircônia/Sílica.                 COM                 100% NANOPARTÍCULAS.  Seringa  de  4  g.  Cor  B1D CERVICAL.  PADRAO  de  REFERÊNCIA:  Z350
</t>
    </r>
    <r>
      <rPr>
        <sz val="9"/>
        <rFont val="Times New Roman"/>
        <family val="1"/>
      </rPr>
      <t>XT - 3M-ESPE similar ou superior.</t>
    </r>
  </si>
  <si>
    <r>
      <rPr>
        <sz val="9"/>
        <rFont val="Times New Roman"/>
        <family val="1"/>
      </rPr>
      <t xml:space="preserve">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B2 D. PADRAO  de  REFERÊNCIA:  Z350  XT  -  3M-
</t>
    </r>
    <r>
      <rPr>
        <sz val="9"/>
        <rFont val="Times New Roman"/>
        <family val="1"/>
      </rPr>
      <t>ESPE similar ou superior.</t>
    </r>
  </si>
  <si>
    <r>
      <rPr>
        <sz val="9"/>
        <rFont val="Times New Roman"/>
        <family val="1"/>
      </rPr>
      <t xml:space="preserve">Resina composta, tipo: fotopolimerizável, tamanho partículas:     nanoparticuladas,     aspecto     físico: pastosa,    constituída    por    “nanoaglomerados” compostos  unicamente  por  nanopartículas.  Matriz orgânica    de    Bis-GMA,    UDMA,    TEGDMA, PEGDMA  e  Bis-EMA  e  partículas  inorgânicas deZircônia/Sílica.               COM               100% NANOPARTÍCULAS.  Seringa  de  4  g.  Cor  B1E. PADRAO  de  REFERÊNCIA:  Z350  XT  -  3M-
</t>
    </r>
    <r>
      <rPr>
        <sz val="9"/>
        <rFont val="Times New Roman"/>
        <family val="1"/>
      </rPr>
      <t>ESPE similar ou superior</t>
    </r>
  </si>
  <si>
    <r>
      <rPr>
        <sz val="9"/>
        <rFont val="Times New Roman"/>
        <family val="1"/>
      </rPr>
      <t xml:space="preserve">pastosa,    constituída    por    “nanoaglomerados” compostos  unicamente  por  nanopartículas.  Matriz orgânica    de    Bis-GMA,    UDMA,    TEGDMA, PEGDMA e Bis-EMA e partículas inorgânicas de Zircônia/Sílica.                 COM                 100% NANOPARTÍCULAS.  Seringa  de  4  g.  Cor  B2E. PADRAO  de  REFERÊNCIA:  Z350  XT  -  3M-
</t>
    </r>
    <r>
      <rPr>
        <sz val="9"/>
        <rFont val="Times New Roman"/>
        <family val="1"/>
      </rPr>
      <t>ESPE similar ou superior</t>
    </r>
  </si>
  <si>
    <r>
      <rPr>
        <sz val="9"/>
        <rFont val="Times New Roman"/>
        <family val="1"/>
      </rPr>
      <t>Resina  composta,  tipo:  fotopolimerizável,  tipo  " bulk fill ", aspecto físico: fluída, alta viscosidade. Padrão de referência: Resina Opus Bulk FillFlow - FGM  A3  similar  ou  superior  Resina  Filtek  Bulk FillFlow - 3m - A3 similar ou superior</t>
    </r>
  </si>
  <si>
    <r>
      <rPr>
        <sz val="9"/>
        <rFont val="Times New Roman"/>
        <family val="1"/>
      </rPr>
      <t>Resina  composta,  tipo:  fotopolimerizável,  tipo  " bulk fill ", aspecto físico: fluída, alta viscosidade. Padrão de referência: Resina Opus Bulk FillFlow - FGM     A3     similar     ou     superior     Resina FiltekBulkFillFlow - 3m - A1 similar ou superior</t>
    </r>
  </si>
  <si>
    <r>
      <rPr>
        <sz val="9"/>
        <rFont val="Times New Roman"/>
        <family val="1"/>
      </rPr>
      <t>Espátula  para  restaurações  anteriores  da  marca finlandesa LM-Dental. LM-Arte Anterior (431-433 XSI)  LM-Arte  Posterior  (434-438  XSI)  Padrão Referência: Quinelato</t>
    </r>
  </si>
  <si>
    <r>
      <rPr>
        <sz val="9"/>
        <rFont val="Times New Roman"/>
        <family val="1"/>
      </rPr>
      <t>Espátula  para  restaurações  anteriores  da  marca finlandesa  LM-Dental.  LM-Arte  Posterior  (434- 438 XSI) Padrão Referência: Quinelato</t>
    </r>
  </si>
  <si>
    <r>
      <rPr>
        <sz val="9"/>
        <rFont val="Times New Roman"/>
        <family val="1"/>
      </rPr>
      <t>Espelho bucal, material: aço inoxidável e espelho, tipo:   1º   plano,   tamanho:   nº   5,   uso:   encaixe universal,   tipo   uso:   autoclavável,   apresentação: embalagem individual</t>
    </r>
  </si>
  <si>
    <r>
      <rPr>
        <sz val="9"/>
        <rFont val="Times New Roman"/>
        <family val="1"/>
      </rPr>
      <t>Pinça   odontológica,   material:   aço   inoxidável, tamanho:   cerca   de   17   cm,   referência:   317, indicação:     clínica,     aplicação:     p,     algodão, esterilidade: autoclavável.</t>
    </r>
  </si>
  <si>
    <r>
      <rPr>
        <sz val="9"/>
        <rFont val="Times New Roman"/>
        <family val="1"/>
      </rPr>
      <t>Sonda odontológica, material: aço inoxidável, tipo: exploradora, modelo: nº 05, tipo cabo: cabo maciço</t>
    </r>
  </si>
  <si>
    <r>
      <rPr>
        <sz val="9"/>
        <rFont val="Times New Roman"/>
        <family val="1"/>
      </rPr>
      <t>Reposições  pontas  para  aplicação  de  ionômero  e resina   centrix.   Ponta   para   seringa   materiais viscosos,  tipo  refil,  componentes  c/  êmbolo,  tipo uso  descartável.  PADRÃO  DE  REFERÊNCIA: centrix ponta lv ou superior</t>
    </r>
  </si>
  <si>
    <r>
      <rPr>
        <sz val="9"/>
        <rFont val="Times New Roman"/>
        <family val="1"/>
      </rPr>
      <t>Embalagem com 20 unidades</t>
    </r>
  </si>
  <si>
    <r>
      <rPr>
        <sz val="9"/>
        <rFont val="Times New Roman"/>
        <family val="1"/>
      </rPr>
      <t>Seringa   centrix   para   aplicação   de   ionômero   e resina.  Aplicador,  material  plástico,  tipo  pistola, modelo   dispensador   para   pontas,   indicação   de materiais    viscosos,    tipo    uso    autoclavável. Descrição complementar. Estojo com seringa e 30</t>
    </r>
  </si>
  <si>
    <r>
      <rPr>
        <sz val="9"/>
        <rFont val="Times New Roman"/>
        <family val="1"/>
      </rPr>
      <t xml:space="preserve">Pontas    de    ultrassom.    Aplicação    periodontia. Aplicação      raspagem/remoção      de      tártaro. Confeccionado     e     usinado     em     aço     inox. Autoclavável.    Características    adicionais    para região   supragengival.   Compatibilidade   encaixe específico.    Compatível   com   o    </t>
    </r>
    <r>
      <rPr>
        <b/>
        <sz val="9"/>
        <rFont val="Times New Roman"/>
        <family val="1"/>
      </rPr>
      <t>equipamento ProfiNeoDabi Atlante</t>
    </r>
  </si>
  <si>
    <r>
      <rPr>
        <sz val="9"/>
        <rFont val="Times New Roman"/>
        <family val="1"/>
      </rPr>
      <t xml:space="preserve">Pontas    de    ultrassom.    Aplicação    periodontia. Aplicação      raspagem/remoção      de      tártaro. Confeccionado     e     usinado     em     aço     inox. Autoclavável.    Características    adicionais    para região   supragengival.   Compatibilidade   encaixe específico.   Compatível   com   o   equipamento </t>
    </r>
    <r>
      <rPr>
        <b/>
        <sz val="9"/>
        <rFont val="Times New Roman"/>
        <family val="1"/>
      </rPr>
      <t>Jetlaxissonic, marca Schuster</t>
    </r>
  </si>
  <si>
    <r>
      <rPr>
        <sz val="9"/>
        <rFont val="Times New Roman"/>
        <family val="1"/>
      </rPr>
      <t>Fluoreto   de   sódio,   concentração   2%,   forma farmacêutica     gel     tixotrópico,     característica adicional  neutro.  PADRÃO  DE  REFERÊNCIA: DFL ou superior</t>
    </r>
  </si>
  <si>
    <r>
      <rPr>
        <sz val="9"/>
        <rFont val="Times New Roman"/>
        <family val="1"/>
      </rPr>
      <t>Frasco 200ml</t>
    </r>
  </si>
  <si>
    <r>
      <rPr>
        <sz val="9"/>
        <rFont val="Times New Roman"/>
        <family val="1"/>
      </rPr>
      <t>Cone  de  papel  absorvente  endodôntico  -  Cone endodôntico,   tipo:   absorvente,   material:   papel, calibre:    1ª    série,    comprimento:    28    mm, apresentação: cartelas c, 180 pontas, característica adicional:  sortida,  esterilidade:  estéril.  Padrão  de referência:  Maillefer  –  Dentsply  ou  de  melhor qualidade</t>
    </r>
  </si>
  <si>
    <r>
      <rPr>
        <sz val="9"/>
        <rFont val="Times New Roman"/>
        <family val="1"/>
      </rPr>
      <t>Dessensibilizante  dentinário,  composição  básica: oxalato   de   potássio,   concentração:5%,   aspecto físico:  gel.  PADRÃO  DE  REFERÊCIA:  painless ou superior</t>
    </r>
  </si>
  <si>
    <r>
      <rPr>
        <sz val="9"/>
        <rFont val="Times New Roman"/>
        <family val="1"/>
      </rPr>
      <t>Seringa 3,0g</t>
    </r>
  </si>
  <si>
    <r>
      <rPr>
        <sz val="9"/>
        <rFont val="Times New Roman"/>
        <family val="1"/>
      </rPr>
      <t>Fluoreto   de   sódio,   concentração   1,23%,   forma farmacêutica     gel     tixotrópico,     característica adicional acidulado. Padrão de referência: DFL ou superior</t>
    </r>
  </si>
  <si>
    <r>
      <rPr>
        <sz val="9"/>
        <rFont val="Times New Roman"/>
        <family val="1"/>
      </rPr>
      <t>Fraco 200ml</t>
    </r>
  </si>
  <si>
    <t>Salbutamol, dosagem: 100 mcg/dose, forma
farmacêutica: aerossol oral</t>
  </si>
  <si>
    <t>Frasco 200
doses</t>
  </si>
  <si>
    <t>Propofol, dosagem: 10 mg/ml, forma
farmacêutica: emulsão injetável</t>
  </si>
  <si>
    <t>Frasco 20
ml</t>
  </si>
  <si>
    <t>Colecalciferol, concentração: 50.000 UI</t>
  </si>
  <si>
    <t>Cápsula</t>
  </si>
  <si>
    <t>Ácido acetilsalicílico (AAS) 100 mg</t>
  </si>
  <si>
    <t>Comprimido</t>
  </si>
  <si>
    <t>Ácido ascórbico, concentração: 500 mg, forma
farmacêutica: efervescente</t>
  </si>
  <si>
    <t>Ácido tranexâmico 50 mg/mL solução injetável</t>
  </si>
  <si>
    <t>Ampola</t>
  </si>
  <si>
    <t>Adenosina 3 mg/mL solução injetável</t>
  </si>
  <si>
    <t>Amiodarona 50 mg/mL solução injetável</t>
  </si>
  <si>
    <t>Bicarbonato de sódio 1mEq/mL (8,4%) solução
injetável</t>
  </si>
  <si>
    <t>Ampola 10
ml</t>
  </si>
  <si>
    <t>Cefalotina sódica, concentração: 1 g, forma farmacêutica: pó liófilo p, injetável</t>
  </si>
  <si>
    <t>Frasco- ampola</t>
  </si>
  <si>
    <t>Ceftriaxona sódica, concentração: 500 mg, forma farmacêutica: pó p, solução injetável + diluente</t>
  </si>
  <si>
    <t>Clopidogrel 75 mg comprimido</t>
  </si>
  <si>
    <t>Cloreto de potássio 2,56 mEq/mL (19,1%) solução injetável</t>
  </si>
  <si>
    <t>Ampola 10 ml</t>
  </si>
  <si>
    <t>Cloreto de sódio 3,4 mEq/mL (20%) solução injetável</t>
  </si>
  <si>
    <t>Dipirona 500 mg comprimido</t>
  </si>
  <si>
    <t>Dipirona 500 mg/mL solução injetável</t>
  </si>
  <si>
    <t>Ampola 2 ml</t>
  </si>
  <si>
    <t>Dimenidrinato, apresentação: associado com piridoxina + glicose + frutose, dosagem: 3mg + 5mg + 100mg + 100mg/ml, tipo medicamento: solução injetável</t>
  </si>
  <si>
    <t>Dimenidrinato, apresentação: associado com piridoxina cloridrato, dosagem: 50mg + 50mg/ml, tipo medicamento: solução injetável</t>
  </si>
  <si>
    <t>Ampola 1ml</t>
  </si>
  <si>
    <t>Dobutamina cloridrato, dosagem: 12,5 mg/ml, indicação: injetável</t>
  </si>
  <si>
    <t>Ampola 10ml</t>
  </si>
  <si>
    <t>Epinefrina, dosagem: 1 mg/ml, uso: solução injetável</t>
  </si>
  <si>
    <t>Etilefrina 10 mg/mL solução injetável</t>
  </si>
  <si>
    <t>Heparina sódica, dosagem: 5.000 ui,ml, indicação: injetável</t>
  </si>
  <si>
    <t>Ampola 0,25 ml</t>
  </si>
  <si>
    <t>Frasco 5 ml</t>
  </si>
  <si>
    <t>Ivermectina 6 mg comprimido</t>
  </si>
  <si>
    <t>Lactulose 667 mg/mL xarope</t>
  </si>
  <si>
    <t>Frasco 120 ml</t>
  </si>
  <si>
    <t>Levofloxacino 500 mg comprimido</t>
  </si>
  <si>
    <t>Lidocaína 20 mg/g (2%) gel</t>
  </si>
  <si>
    <t>Bisnaga 20 g</t>
  </si>
  <si>
    <t>Metronidazol 400 mg comprimido</t>
  </si>
  <si>
    <t>Omeprazol 20 mg cápsula</t>
  </si>
  <si>
    <t>Paracetamol, dosagem comprimido: 500 mg</t>
  </si>
  <si>
    <t>Prednisona 20 mg comprimido</t>
  </si>
  <si>
    <t>Propranolol 40 mg comprimido</t>
  </si>
  <si>
    <t>Sais para reidratação oral, composição: sódio, potássio, cloreto, citrato e glicose, forma farmacêutica: pó p, solução oral</t>
  </si>
  <si>
    <t>Envelope</t>
  </si>
  <si>
    <t>Tenoxicam 40 mg pó para solução injetável</t>
  </si>
  <si>
    <t>Varfarina sódica 5 mg comprimido</t>
  </si>
  <si>
    <t>Saccharomyces boulardii100 mg cápsula</t>
  </si>
  <si>
    <t>Cloreto de sódio, princípio ativo: 0,9% solução injetável, aplicação: sistema fechado 250 ml</t>
  </si>
  <si>
    <t>Frasco 250 ml</t>
  </si>
  <si>
    <t>Álcool etílico, tipo: hidratado, teor alcoólico: 70% (70°gl), apresentação: líquido</t>
  </si>
  <si>
    <t>Frasco 1L</t>
  </si>
  <si>
    <t>Água sanitária, composição química: hipoclorito de sódio, hidróxido de sódio, cloreto, teorbcloro ativo: varia de 2 a 2,50%, cor: incolor, aplicação: lavagem e alvejante de roupas, banheiras, pias,</t>
  </si>
  <si>
    <t>Grf 5 L</t>
  </si>
  <si>
    <t>Torneirinha, vias: 3 vias, material: polímero, tipo conector: luerlock ,slip , valvulado, pressão máxima: até cerca de 100 psi, tipo uso: estéril, uso único</t>
  </si>
  <si>
    <t>Unidade</t>
  </si>
  <si>
    <t>Eletrodo, aplicação 1: p, monitorização cardíaca - ecg, modelo: de superfície, tipo: adesivo, material sensor: prata, prata clorada, adicional 1: c, gel condutor, tamanhos: ADULTO, acessório: s, cabo, esterilidade: uso único</t>
  </si>
  <si>
    <t>Abaixador língua, material: madeira, tipo: descartável, comprimento: 14 cm, formato: tipo espátula, largura: 1,50 cm, espessura: 2 mm</t>
  </si>
  <si>
    <t>Pacote com 100
unidades</t>
  </si>
  <si>
    <t>Termômetro clínico, ajuste: digital, infravermelho, tipo: uso em testa, componentes: c, alarmes, medição à distância, memória: memória até 20 medições</t>
  </si>
  <si>
    <t>Haste flexível, haste flexível</t>
  </si>
  <si>
    <t>Caixa com 75 Unidades</t>
  </si>
  <si>
    <t>sistema eletroquímico: alcalina, tensão nominal: 1,5 v</t>
  </si>
  <si>
    <t>Pilha recarregável, composição: níquel metal hidreto (nimh), modelo: aa, tensão: 1,5 v, capacidade corrente: 2.300 mah, aplicação: equipamentos eletrônicos</t>
  </si>
  <si>
    <t>Pilha, tamanho: pequena, tipo: alcalina, modelo: AAA, tensão: 1,5 v, características adicionais: não recarregável</t>
  </si>
  <si>
    <t>Pilha recarregável, composição: níquel metal hidreto (nimh), tamanho pilha: palito, modelo: AAA, tensão: 1,5 v, capacidade corrente: 800 mah</t>
  </si>
  <si>
    <t>Carregador bateria, tensão alimentação: 220 v, capacidade: 8 pilhas, características adicionais: com circuitos independentes 2 a 2(carregar 2 ou 4, tipo bateria: recarregáveis AA e AAA.</t>
  </si>
  <si>
    <t>Pano Limpeza, Material 100% em Fibra De Viscose, Látex Sintético, Comprimento 300 M,  Largura  33  cm.  Características AdicionaisMicroperfurado/Gramatura  41g/M2
/Multiuso, Aplicação Uso Geral, tipo Bobina</t>
  </si>
  <si>
    <t>Rolo</t>
  </si>
  <si>
    <t>Imobilizador de cabeça headblock impermeável. Imobilizador de cabeça (coxim): confeccionado em abs\, resistente a impactos; utilizado em conjuntocomprancha de imobilização; anatômico\, regulagem com velcro\, base com regulagem.
Imobilizador de cabeça (coxim): confeccionado em abs\, resistente a impactos; uti lizado em conjunto com prancha de imobilização; anatômico\, regulagem com velcr o\, base com regulagem.</t>
  </si>
  <si>
    <t>Desfibrilador, tipo: externo automático, tipo onda: bifásica, tempo máximo carga: até 10 s, memória: gravação ECG / eventos / RCP, peso: cerca de 3 kg, alimentação: bateria lítio, componente: pás externas e adesivas, componentes adicionais: tela c/ mensagem de texto, características adicionais: comando de voz, tipo módulo: portátil, c/ alça transporte, maleta</t>
  </si>
  <si>
    <t>Termômetro digital infravermelho sem contato</t>
  </si>
  <si>
    <t>Otoscópio, tipo clínico, características adicionais com 5 espéculo reutilizáveis, estojo em nylon</t>
  </si>
  <si>
    <t>Maca de resgate, material: polietileno, tipo: prancha, tamanho: adulto, largura: cerca de 0,40 m, capacidade de carga: até 250 kg, componentes: até 5 cintos de segurança, componentes 01: cinto imobilizador para cabeça</t>
  </si>
  <si>
    <t>Nebulizador, tipo: ultrassônico, modelo: de mesa, ajuste: com interruptor liga/desliga, material: compressor c/ gabinete plástico, componentes no mínimo: máscara, traqueia</t>
  </si>
  <si>
    <t>Armário vitrine hospitalar com portas laterais e 4 prateleiras em vidro transparente de 3mm.
Estrutura\, teto em chapa. Pés em tubo componteiras de borracha, totalmente pintado. Fechadura cilíndrica. Dimensões mínimas: 0,65m d e largura x 0,40m de profundidade x 1,65m de altura, aplicação hospitalar.</t>
  </si>
  <si>
    <t>Glicosímetro (c/ tiras\, lancetas e lancetador) glicosímetro para medição de glicemia capilar (glicosímetrodigital)\, tempo de resultado de teste de 0 a 15segUnidades\, e volume de amostra de até 03 microlitros\, obtidos por capilaridade. O aparelho deve permitir determinação precisa e segura de glicemia em sangue capilar de recém- nascido\, criança\, adultos e pacientes em uso de insulina. O glicosímetro deve acompanhar\, no mínimo: 1 caneta lancetadora\, 50lancetas\, 5 0 tiras de teste e 1 bateria\, compatíveis. Garantia de no mínimo 12 (doze) meses.</t>
  </si>
  <si>
    <t>Termohigrômetro, tipo: digital, fonte alimentação: bateria 9 v, faixa temperatura: 0 a + 50 °c, faixa medição umidade relativa: 10 a 95 per, resolução: 1% °c. Aplicação: Monitoramento Temperatura e umidade.</t>
  </si>
  <si>
    <t>Reagente para diagnóstico clínico 7, tipo: conjunto completo, tipo de análise: qualitativo anticoronavírus covid-19 igg e igm, apresentação: teste, método: imunocromatografia</t>
  </si>
  <si>
    <t>Teste</t>
  </si>
  <si>
    <t>Reagente analítico 1, tipo: conjunto completo, tipo de análise: qualitativas drogas, característica adicional: colorimétrico, componentes: alcaloides, ópio, heroína, morfina, cocaína, crack, componentes adicionais: anfetamina, metanfetamina, barbitúricos, lsd, outros componentes: maconha, haxixe, thc</t>
  </si>
  <si>
    <t>Reagente para diagnóstico clínico 6, tipo: conjunto completo, tipo de análise: qualitativo de anticorpos anti-treponema pallidum, método: imunocromatografia, apresentação: teste</t>
  </si>
  <si>
    <t>Avental hospitalar, tipo: capote cirúrgico, material: sms, tamanho: único, gramatura: cerca de 40 g/cm2, cor: branco, componente: tiras para fixação, característica adicional: manga longa, punho malha.</t>
  </si>
  <si>
    <t>Material gasoterapia, modelo: macronebulizador, saída: p, oxigênio, tipo máscara: máscara em silicone, c, ajuste, tamanho: adulto, tipo frasco: frasco acrílico graduado, c, tampa, volume: cerca de 500 ml, tipo extensão: traqueia corrugada em silicone c, conectores, comprimento extensão: cerca de 1,5 m, característica adicional: conector metal c,rosca, esterilidade : esterilizável</t>
  </si>
  <si>
    <t>Plug adaptador PRN luerlock3/4 curto, dispositivo luer de acesso fechado intravenoso. Adaptador luerlock com látex autovedante. Estéril. Embalado individualmente.</t>
  </si>
  <si>
    <t>Butilbrometo de escopolamina + dipirona solução injetável 4 mg/mL + 500 mg/mL</t>
  </si>
  <si>
    <t>Valerato de betametasona 1 mg/g creme dermatológico</t>
  </si>
  <si>
    <t>Tubo</t>
  </si>
  <si>
    <t>complementar: Aparelho de ultrassom mais jato de bicarbonato. Transdutor Ultrassom: sistema piezoelétrico ativado através de pastilhas cerâmicas em frequência de 30.000 Hz. Bomba peristáltica com regulagemdo fluxo de água.
Reservatório de água removível translúcido com iluminação a LED. Peça de mão do jato de bicarbonato removível e autoclavável. Seletor digital de Operação (jato de bicarbonato
/ultrassom). Opção de 3 funções programáveis: Perio, Endo e Scalling. Tecla geral Liga/Desliga com LED indicativo no painel. Capas autoclaváveis. Alimentação: Bivolt automático. Capacidade de líquido no reservatório: 1L. Frequência das vibrações do ultrassom: 30.000 Hz. Pressão de entrada de ar comprimido: Máxima -80 PSI / Mínima 70 PSI.</t>
  </si>
  <si>
    <t>Centrífuga, tipo: para tubos, ajuste: ajuste digital, c, painel de controle, programável, volume: até 15 ml, capacidade: até 16 unidades, rotação: até 5000 rpm, temporização: temporizador até 99 min, adicional: segurança tampa aberta, alarme desbalanceamento. Descrição complementar: Centrífuga clínica elétrica de bancada utilizada em laboratórios clínicos, tipo para tubos. Que seja constituída por estrutura fabricada em metal ou plástico de alta resistência, tampa com reforço interno metálico, possua painel frontal com LED luminoso indicativo de funcionamento/repouso.
Motor sem escovas de carvão (de indução), rotor de ângulo fixo e pés de borracha aderentes (tipo ventosas), ajuste digital de velocidade e tempo c/ painel de controle programável, com temporizador de 15 seg a 99 min e velocidade ajustável de 100 rpm a 4500 rpm. Capacidade para até 12 tubos de 12 x 75ml, acionamento automático de freio.
Adicional segurança: tampa aberta, bloqueio automático tampa, alarme desbalanceamento, componentes c/ adaptadores para tubos de 3 a 15ml. Voltagem: bivolt automático. Acessórios manual de operação em português e certificado de calibração, 1 ano de garantia.</t>
  </si>
  <si>
    <t>característica adicional: móvel com rodízios. Descrição complementar: visualizador de veias para punção venosa, portátil, que utilize luz infravermelha para exibir um mapa da vasculatura na superfície da pele em tempo real, com projeção de imagem dos vasos sanguíneos em alta definição, com capacidade de detecção de veias de 10 mm de profundidade, permitindo verificar a permeabilidade das veias, válvulas e bifurcações, sem contato com superfície do paciente. Peso aproximado entre 300g a 700g. O equipamento deve possuir modo inverso de contraste de forma a permitir a visualização perfeita em ambos os modos (claro e escuro) em diferentes tons de pele ou regiões não tricotomizadas, e também foco automático, sem necessidade de ajustes. Deve possibilitar a visualização em qualquer ângulo que seja utilizado. No conjunto devem estar inclusos bateria recarregável e suporte / base flexíveis.
Certificado pela Anvisa (Brasil) ou FDA (EUA).
Com garantia de 1 ano. (Modelo tipo Accuvei nAV500).</t>
  </si>
  <si>
    <t>Equipamento odontológico, tipo: fotopolimerizador, aspecto físico: base peça de mão sem fio, material ponteira: ponteira fibra ótica ou acrílico, material corpo: plástico abs, fonte: luz led, instalação: elétrica, componentes: protetor ocular. Descrição complementar: Fotopolimerizador para uso odontológico, painel de controle, com emissão de luz LED. Com as seguintes características mínimas: comprimento de onda entre 440 e 480 nm; potência mínima acima de 1200 mW/cmZ; com bip sonoro; bateria recarregável Lition ou qualidade superior; Display digital para controle de tempo de operação; com três modos de operação: contínua, rampa e pulsada; Alimentação e létrica bivolt automática (110 220 Volts); O equipamento deverá possuir Registro no Ministério da Saúde / ANVISA; O fornecedor deverá entregar os manuais de operação para cada equipamento em português; Acessórios: 02 (duas) ponteiras de fibra ótica autoc laváveis; Embalagem com dados de identificação do produto, marca do fabricante, lote e registro no Ministério da Saúde. (Modelo Dabi Atlante Optilight MAX ou similar).</t>
  </si>
  <si>
    <t>adicionais: 3 aberturas, 19 lentes, à pilha, cor filtros: filtro azu l de cobalto livre de vermelho. Descrição complementar: Oftalmoscópio, direto, conjunto para diagnostico, constando de no mínimo as seguintes características: disco de abertura com no mínimo seis posições e 20 lentes de focalização com uma faixa de 25 a + 40 dioptrias, no mínimo; filtros para redução de reflexos da córnea, controle manual de iluminação; possuir iluminação halogena e dispositivo protetor contra infiltração de poeira e mostrador iluminado. Alimentação por bateria interna recarregável, base com recarregador bivolt automático; acompanha todo o conjunto um estojo tipo maleta para transporte e 04 (quatro) lâmpadas extras. Devem ser entregues com o produto todos os cabos, conectores, adaptadores e demais itens necessários ao perfeito funcionamento do conjunto ofertado. (Modelo WelchAllyn ou similar).</t>
  </si>
  <si>
    <t>Negatoscópio, material estrutura: chapa aço, acabamento superficial estrutura: tratamento antiferruginoso, material visor: acrílico translúcido, comprimento: 70 cm, largur a: cerca de 40 cm, tensão alimentação: 110 v, aplicação: c, 2 corpos p, fixação em parede, características adicionais: prendedor radiografia no corpo, tecla liga, desliga. Descrição complementar: Negatoscópio para mamografia com 4 corpos para 8 filmes de 20 x 25 cm, para fixar na parede.
Estrutura e fixadores em aço tratado e pintado, com superfície frontal translúcida em acrílico branco leitoso; Iluminação através de placas de leds, atingindo luminância de 3000 a 3500 NITs; Acendimento individual para cada corpo e botão liga/desliga; Foco de luz central ou lateral com luz branca de alta intensidade; acompanhando lupa de ampliação. Dotada de prendedores para fixação dos filmes. Alimentação: 110V. Dimensões mínimas: 100cm (largura) x 54cm (altura) x 5cm (profundidade) (Modelo: GRX ou similar</t>
  </si>
  <si>
    <t>Divã Clínico. Material Estrutura: Aço Carbono. Cor: Pintura Epóxi. Comprimento: Cerca De 2,10
m. Largura: Cerca De 0,80 m. Características Adicionais: Cabeceira Regulável, Pés Com Ponteira de borracha. Material Estofamento: Com Espuma D33. Revestimento: Revestido Em Courvin. Capacidade Carga: Até 150 KG.</t>
  </si>
  <si>
    <t>Biombo Hospitalar. Material: Aço Inoxidável. Acabamento Da Estrutura: Pintura Em Epóxi. Tipo: Triplo Dobrável. Altura: 2,00 CM. Comprimento: Comprimento 2,00 Aproximadamente, Aberto CM. Tipo De Rodízio: Ponteiras Giratórias. Acabamento do Rodízio: Termoplástica. Características Adicionais: Tecido Brim</t>
  </si>
  <si>
    <t>Escada Hospitalar. Material: Estrutura Em Aço Inoxidável. Número Degraus: 2 Degraus.
Revestimento Degraus: Antiderrapante em alumínio. Características Adicionais: Pés Com Ponteira De Borracha.</t>
  </si>
  <si>
    <t>Estetoscópio, tipo: biauricular, acessórios: olivas anatômicas pvc, haste: haste aço inox, tubo: tubo "y" pvc, auscultador: auscultador aço inox com anel de borracha, tamanho: adulto. Descrição Complementar: adulto. Sensibilidade acústica de 20 a 500hz, par de olivas extra. (Modelo: WELCH ALLYN QUALIDADE SIMILAR OU SUPERIOR).</t>
  </si>
  <si>
    <t>Tubo hospitalar, material: silicone transparente, referência: nº 204, diâmetro interno: cerca de 6,0 mm, comprimento: 3,0 m, adicionais: com conectores, esterilidade: estéril, uso
único.  Descrição complementar:  tubo extensor para aspiração, drenagem e oxigenioterapia.</t>
  </si>
  <si>
    <t>Lençol descartável, material: polipropileno, gramatura: 30 g/m2, largura: 0,90 m, comprimento: 2,10 m, aplicação: com elástico. Descrição Complementar: atóxico, não estéril, sem látex.</t>
  </si>
  <si>
    <t>Reanimador adulto / Ambu. Reanimador manual, material balão: silicone, capacidade balão: cerca 1,5 L, componente 1: máscara plástico rígido com coxim silicone, tipo válvula: válvula unidirecional pop off cerca 60 CMH2, componente 2: reservatório de oxigênio em plástico c, válvula, componentes 3: entrada de oxigênio e extensor pvc, tamanhos: adulto. Descrição Complementar: Confeccionado em silicone transparente, de alta qualidade. Autolavável. Bolsa reservatório de oxigênio com capacidade mínima de 2,5 litros.</t>
  </si>
  <si>
    <t>Esfigmomanômetro. Ajuste: Analógico, Aneróide. Tipo: De Braço. Faixa De Operação: Até 300 MMHG. Material Braçadeira: Braçadeira Em Nylon. Tipo Fecho: Fecho Em Velcro. Tamanho: Adulto Obeso.</t>
  </si>
  <si>
    <t>Esfigmomanômetro. Ajuste: Analógico, Aneróide. Tipo: De Braço. Faixa De Operação: até 300 MMHG. Material Braçadeira: Braçadeira Em Nylon. Tipo Fecho: Fecho Em Velcro. Tamanho: Infantil.</t>
  </si>
  <si>
    <t>Esfigmomanômetro. Ajuste: Analógico, Aneróide. Tipo: De Braço. Faixa De Operação: Até 300 MMHG. Material Braçadeira: Braçadeira Em Nylon. Tipo Fecho: Fecho Em Velcro. Tamanho: Adulto.</t>
  </si>
  <si>
    <t>Bolsa térmica gel, material: polímero, composição: com gel atóxico, capacidade: cerca 500 ml, características adicionais: selada.
Descrição Complementar: flexível, para termoterapia e crioterapia.</t>
  </si>
  <si>
    <t>Imobilizador (órtese), tipo: bota anatômica, material: tecido resistente, adicionais: com barbatanas em duralumínio, tamanho: tamanho P, posição: bilateral, modelo: longo, tipo fecho: tiras com velcro ajustáveis, tipo sola: sola de borracha antiderrapante</t>
  </si>
  <si>
    <t>Imobilizador (órtese), tipo: bota anatômica, material: tecido resistente, adicionais: com barbatanas em duralumínio, tamanho: tamanho M, posição: bilateral, modelo: longo, tipo fecho: tiras com velcro ajustáveis, tipo sola: sola de borracha antiderrapante</t>
  </si>
  <si>
    <t>barbatanas em duralumínio, tamanho: tamanho G, posição: bilateral, modelo: longo, tipo fecho: tiras com velcro ajustáveis, tipo sola: sola de borracha antiderrapante</t>
  </si>
  <si>
    <t>Compressa gaze, material: tecido 100% algodão, modelo: cor branca, isenta de impurezas, camadas: 8 camadas, quantidade fios: 13 fios/cm2, largura: 7,50 cm, comprimento: 7,50 cm, dobras: 5 dobras, características adicionais: com fio radiopaco, descartável. Descrição Complementar: não estéril, isenta de resíduo e impurezas e produtos tóxicos, deve promover absorção segura, trama regular e sem desprendimento de fios. Embalagem resistente, segura, de fácil abertura, contendo identificação do produto, validade e lote fácil visualização. Registro no Ministério da Saúde
/ANVISA. (Modelo: CREMER 3M QUALIDADE SIMILAR OU SUPERIOR)</t>
  </si>
  <si>
    <t>Pacote com 500
unidades</t>
  </si>
  <si>
    <t>Compressa gaze, material: tecido 100% algodão, tipo: 13 fios, cm2, modelo: cor branca, isenta de impurezas, camadas: 8 camadas, largura: 7,50 cm, comprimento: 7,50 cm, dobras: 5 dobras, características adicionais: estéril, descartável.
Descrição Complementar: 7,50 x 7,50cm quando fechadas e 15 x 30cm quando abertas. Estéril.
Embalagem resistente, segura, de fácil abertura, contendo identificação do produto, validade e lote fácil visualização. Registro no Ministério da Saúde
/ANVISA. (Modelo: CREMER 3M QUALIDADE SIMILAR OU SUPERIOR)</t>
  </si>
  <si>
    <t>Pacote com 5 unidades</t>
  </si>
  <si>
    <t>Espéculo, material: polietileno cristal, tipo: nasal, tamanho: adulto, esterilidade: não estéril, descartável. Descrição complementar: para realização de rinoscopia anterior (visualização das cavidades nasais). Fabricado em resina plástica em forma de alicate, medindo 14cm em seu maior comprimento, com dois guias sobrepostos para abertura.</t>
  </si>
  <si>
    <t>Imobilizador (órtese), tipo: para punho com dedos livres, material: tecido resistente acolchoado, adicionais: com barbatanas, tamanho: tamanho P, posição: bilateral, tipo fecho: tiras com velcro ajustáveis.</t>
  </si>
  <si>
    <t>Imobilizador (órtese), tipo: para punho com dedos livres, material: tecido resistente acolchoado, adicionais: com barbatanas, tamanho M, tipo fecho: tiras com velcro ajustáveis. Descrição Complementar: tamanho médio.</t>
  </si>
  <si>
    <t>Imobilizador (órtese), tipo: para punho com dedos livres, material: tecido resistente acolchoado, adicionais: com barbatanas, tamanho: tamanho G, posição: bilateral, tipo fecho: tiras com velcro ajustáveis.</t>
  </si>
  <si>
    <t>Imobilizador (órtese), tipo: articulado até 90 ° para joelho, material: neoprene, adicionais: com barbatanas em duralumínio, tamanho: tamanho P, posição: bilateral, tipo fecho: tiras com velcro ajustáveis.</t>
  </si>
  <si>
    <t>Imobilizador (órtese), tipo: articulado até 90 ° para joelho, material: neoprene, adicionais: com barbatanas em duralumínio, tamanho: tamanho M, posição: bilateral, tipo fecho: tiras com velcro ajustáveis.</t>
  </si>
  <si>
    <t>Imobilizador (órtese), tipo: articulado até 90 ° para joelho, material: neoprene, adicionais: com barbatanas em duralumínio, tamanho: tamanho G, posição: bilateral, tipo fecho: tiras com velcro ajustáveis.</t>
  </si>
  <si>
    <t>Imobilizador (órtese), tipo: tipoia velpeau, material: tecido 100% algodão resistente, tamanho: tamanho P, posição: bilateral, modelo: alça regulável, tipo fecho: fecho de engate rápido. Descrição Complementar: adulto.</t>
  </si>
  <si>
    <t>Imobilizador (órtese), tipo: tipoia velpeau, material: tecido 100% algodão resistente, tamanho: tamanho M, posição: bilateral, modelo: alça regulável, tipo fecho: fecho de engate rápido. Descrição Complementar: adulto.</t>
  </si>
  <si>
    <t>Imobilizador (órtese), tipo: tipoia velpeau, material: tecido 100% algodão resistente, tamanho: tamanho G, posição: bilateral, modelo: alça regulável, tipo fecho: fecho de engate rápido. Descrição Complementar: adulto.</t>
  </si>
  <si>
    <t>Imobilizador (órtese), tipo: articulado até 90° p, tornozelo, material: tecido resistente duplo, tamanho: tamanho m, posição: bilateral, tipo fecho: tiras c, velcro ajustáveis, tipo sola: sola de borracha antiderrapante. Descrição Complementar: cor preta, adulto.</t>
  </si>
  <si>
    <t>Suporte para Desfibrilador Externo Automático – DEA. Material: metálico e acrílico. Modelo: Tipo Caixa C/ Visor Frontal, de parede. Dimensões: cerca de 15 X 45 X 45 cm.</t>
  </si>
  <si>
    <t>Bolsa Transporte Material Emergência. Dimensões: 60 X 28 X 27 CM. Características</t>
  </si>
  <si>
    <t>Torniquete Não Pneumático. Aplicação: Tático, P/ Atendimento Pré Hospitalar. Modelo: Cinta Em Nylon, C/ Cor. Tipo fecho: auto ajustável com velcro, fivela e barra pressão.</t>
  </si>
  <si>
    <t>Caneta alta rotação, material rolamento: rolamento cerâmica, velocidade máxima: velocidade máxima menor ou igual 400.000 rpm, refrigeração: 3 ou mais furos, troca de brocas: botão de pressão (pb), tipo conexão: conexão 2 furos, tipo cabeça: cabeça padrão. Descrição complementar: Para micromotor elétrico; Spray interno triplo; Multiplicador; fabricado em aço inoxidável; Rotação máxima de acionamento 40.000 rpm, rotação máxima na ponta da broca 200.000 rpm; Sistema troca broca: Press Button; Esterilizáveis a 135º C; Sistema INTRA: acoplamento em micromotor elétrico e pneumático; Filtro de água: Incorporado ao instrumento; para uso com brocas de alta rotação de diâmetro de 1,6mm; Melhor desempenho com micromotor elétrico. (Modelo: KAVO, QUALIDADE SIMILAR OU SUPERIOR)</t>
  </si>
  <si>
    <t>Caneta baixa rotação, tipo: micromotor, conexão: conexão borden 2 furos, refrigeração: c, refrigeração externa. Descrição complementar: Contra ângulo rotatório, acoplável ao micromotor pneumático e /ou elétrico, utiliza limas rotatórias NiTi, Transmissão de redução de 10:1 10:1 na cabeça e 10:1 na transmissão, ação 360°, velocidade máxima 300 rpm, pushbutton.</t>
  </si>
  <si>
    <t>Contra-ângulo 20:1 – para procedimentos cirúrgicos com alto torque, ideal para cirurgia de implantes, sendo muito utilizado para inserção dos mesmos no osso com segurança. Permite fixação de microparafusos para mini-implantes (fraturas) e enxertos ósseos, excelente performance, balanceado e silencioso. Acabamento em titânio e design moderno. Especificações: velocidade máxima correspondente ao micromotor; sistema de encaixe intra; push-button reduz vinte vezes a velocidade do micromotor; sistema de irrigação Externa/interna (agulha opcional); abertura para encaixe de broca com haste de diâmetro de 2,35 mm; torque máximo: 55 n cm. (Modelo: NSK, QUALIDADE SIMILAR OUSUPERIOR)</t>
  </si>
  <si>
    <t>Cloreto de sódio, princípio ativo: 0,9% solução injetável, aplicação: sistema fechado 10 ml</t>
  </si>
  <si>
    <t>Paracetamol, apresentação: associado com codeína, dosagem: 500 mg + 30 mg</t>
  </si>
  <si>
    <t>Dexclorfeniramina 2 mg comprimido</t>
  </si>
  <si>
    <t>Loratadina 10 mg comprimido</t>
  </si>
  <si>
    <t>Tramadol 50mg/ml solução injetável</t>
  </si>
  <si>
    <t>Ipratrópio brometo, dosagem: 0,25 mg/ml, uso: solução para inalação</t>
  </si>
  <si>
    <t>Frasco 20 mL</t>
  </si>
  <si>
    <t>Fenoterolbromidrato, concentração: 5 mg/ml, forma farmaceutica: solução oral</t>
  </si>
  <si>
    <t>Midazolam 1 mg/mL solução injetável</t>
  </si>
  <si>
    <t>Ampola 5 ml</t>
  </si>
  <si>
    <t>Midazolam 5 mg/mL solução injetável</t>
  </si>
  <si>
    <t>Fentanila, apresentação: sal citrato, dosagem: 0,05 mg/ml, indicação: solução injetável</t>
  </si>
  <si>
    <t>Ondansetrona 2 mg/mL solução injetável</t>
  </si>
  <si>
    <t>Ondansetrona 4 mg comprimido</t>
  </si>
  <si>
    <t>Neostigmina metilsulfato, dosagem: 0,5 mg/ml, apresentação: solução injetável</t>
  </si>
  <si>
    <t>Nitroglicerina, dosagem: 5 mg/ml, aplicação: injetável</t>
  </si>
  <si>
    <t>Nitroprusseto de sódio, concentração: 25 mg/ml, forma farmacêutica: solução injetável</t>
  </si>
  <si>
    <t>Bromoprida 10 mg comprimido</t>
  </si>
  <si>
    <t>Bromoprida 5 mg/mL solução injetável</t>
  </si>
  <si>
    <t>Salicilato de metila, composição: associada à cânfora, mentol, e ess. deterebentina, concentração: 0,0333 ml + 0,0333 g + 0,0083 g + 0,0833 ml,ml, forma farmacêutica: solução tópica, embalagem: frasco aerossol</t>
  </si>
  <si>
    <t>Salicilato de metila, composição: associado à ess. terebentina, cânfora e mentol, concentração: 0,02 ml + 0,05 ml + 30 mg + 5 mg,g, forma farmacêutica: pomada</t>
  </si>
  <si>
    <t>Bisnaga 30 g</t>
  </si>
  <si>
    <t>Nimesulida 100 mg comprimido</t>
  </si>
  <si>
    <t>Triancinolona, composição: acetonida, concentração: 1 mg/g, forma farmacêutica: pasta oral</t>
  </si>
  <si>
    <t>Bisnaga 10 g</t>
  </si>
  <si>
    <t>Betametasona, composição: dipropionato, associada ao cetoconazol e neomicina, concentração: 0,5 mg,g + 20 mg/g + 1,5 mg/g, forma farmacêutica: creme</t>
  </si>
  <si>
    <t>Dipirona sódica 500 mg/mL solução oral, frasco 10 mL</t>
  </si>
  <si>
    <t>Frasco 10 mL</t>
  </si>
  <si>
    <t>Omeprazol 40 mg pó para solução injetável</t>
  </si>
  <si>
    <t>Cetoconazol 20 mg/g (2%) creme</t>
  </si>
  <si>
    <t>Bisnaga 30g</t>
  </si>
  <si>
    <t>Colagenase 0,6 UI/g creme</t>
  </si>
  <si>
    <t>Ácido acetilsalicílico, dosagem:100 mg, tipo uso: tamponado</t>
  </si>
  <si>
    <t>Paracetamol, apresentação: associado com tramadol cloridrato, dosagem:325mg + 37,5mg</t>
  </si>
  <si>
    <t>Zolpidem, dosagem:10 mg</t>
  </si>
  <si>
    <t>Material gasoterapia, modelo: umidificador, saída: p, oxigênio, tipo frasco: frasco plástico graduado, c, tampa, volume: cerca de 250 ml, esterilidade: esterilizável</t>
  </si>
  <si>
    <t>Material gasoterapia, modelo: umidificador, saída: p, oxigênio, tipo frasco: frasco plástico graduado, c, tampa, volume: cerca de 500 ml, esterilidade: esterilizável</t>
  </si>
  <si>
    <t>Material gasoterapia, modelo: umidificador, saída: p, oxigênio, tipo frasco: frasco plástico graduado, c, tampa, volume: cerca de 250 ml, característica adicional: conector metal, c,rosca, esterilidade : esterilizável</t>
  </si>
  <si>
    <t>Material gasoterapia, modelo: micronebulizador, saída: p, oxigênio, tipo máscara: máscara em plástico, tamanho: adulto, tipo frasco: frasco plástico graduado, c, tampa, volume: cerca de 10 ml, tipo extensão: extensor em pvc c, conectores, comprimento extensão: cerca de 1,5 m, esterilidade: esterilizável</t>
  </si>
  <si>
    <t>plástico, tamanho: infantil, tipo frasco: frasco plástico graduado, c, tampa, volume: cerca de 10 ml, tipo extensão: extensor em pvc, conectores, comprimento extensão: cerca de 1,5 m, esterilidade: esterilizável</t>
  </si>
  <si>
    <t>Material gasoterapia, modelo: macronebulizador, saída: p, oxigênio, tipo máscara: máscara em silicone, c, ajuste, tamanho: adulto, tipo frasco: frasco acrílico graduado, c, tampa, volume: cerca de 500 ml, tipo extensão: traqueia corrugada em pvc c, conectores, comprimento extensão: cerca de 2,0 m, característica adicional: conector metal c, rosca, esterilidade : esterilizável</t>
  </si>
  <si>
    <t>Válvula reguladora cilindro gás, tipo fechamento: manual, componentes: manômetro e fluxometro, tipo rosca: para oxigênio.</t>
  </si>
  <si>
    <t>Mangueira, material: silicone, aparência visual: transparente, diâmetro interno: 6 mm, diâmetro externo: 12 mm</t>
  </si>
  <si>
    <t>Pacote com 6 unidades</t>
  </si>
  <si>
    <t>Oxímetro, tipo dedo, faixa de medição saturação 1: 0 a 100%, faixa de medição pulso 1: cerca de 20 a 250 bpm, autonomia sistema 1: cerca 24h, alimentação: p ilha. Conforme modelo de referência (apêndice a) ou superior.</t>
  </si>
  <si>
    <t>Sonda trato digestivo, aplicação: oro ou nasogástrica, modelo: levine, material: pvc, calibre: nº 22, tamanho: longa, comprimento: cerca 120 cm, conector: conector padrão c, tampa, componentes: ponta distal fechada, c, orifícios laterais, esterilidade: estéril, descartável, embalagem: embalagem individual</t>
  </si>
  <si>
    <t>Sonda trato digestivo, aplicação: oro ou nasogástrica, modelo: levine, material: pvc, calibre: nº 20, tamanho: longa, comprimento: cerca 120 cm, conector: conector padrão c, tampa, componentes: ponta distal fechada, c, orifícios laterais, esterilidade: estéril, descartável, embalagem: embalagem individual</t>
  </si>
  <si>
    <t>calibre: nº 18, tamanho: longa, comprimento: cerca 120 cm, conector: conector padrão c, tampa, componentes: ponta distal fechada, c, orifícios laterais, esterilidade: estéril, descartável, embalagem: embalagem individual</t>
  </si>
  <si>
    <t>Sonda trato digestivo, aplicação: oro ou nasogástrica, modelo: levine, material: pvc, calibre: nº 16, tamanho: longa, comprimento: cerca 120 cm, conector: conector padrão c, tampa, componentes: ponta distal fechada, c, orifícios laterais, esterilidade: estéril, descartável, embalagem: embalagem individual</t>
  </si>
  <si>
    <t>Sonda trato digestivo, aplicação: oro ou nasogástrica, modelo: levine, material: pvc, calibre: nº 14, tamanho: longa, comprimento: cerca 120 cm, conector: conector padrão c, tampa, componentes: ponta distal fechada, c, orifícios laterais, esterilidade: estéril, descartável, embalagem: embalagem individual</t>
  </si>
  <si>
    <t>Sonda trato digestivo, aplicação: oro ou nasogástrica, modelo: levine, material: silicone, calibre: nº 12, tamanho: longa, comprimento: cerca 120 cm, conector: conector padrão c, tampa, componentes: ponta distal fechada, c, orifícios laterais, esterilidade: estéril, descartável, embalagem: embalagem individual</t>
  </si>
  <si>
    <t>Sonda trato digestivo, aplicação: oro ou nasogástrica, modelo: levine, material: silicone, calibre: nº 10, tamanho: longa, comprimento: cerca 120 cm, conector: conector padrão c, tampa, componentes: ponta distal fechada, c, orifícios laterais, esterilidade: estéril, descartável, embalagem: embalagem individual</t>
  </si>
  <si>
    <t>Sonda trato digestivo, aplicação: oro ou nasogástrica, modelo: levine, material: silicone, calibre: nº 8, tamanho: longa, comprimento: cerca 100 cm, conector: conector padrão c, tampa, componentes: ponta distal fechada, c, orifícios laterais, esterilidade: estéril, descartável, embalagem: embalagem individual</t>
  </si>
  <si>
    <t>adicionais: ponta atraumática, orifícios distais lateralizados, tipo embalagem: estéril, embalagem individual. Espessura: nº 16</t>
  </si>
  <si>
    <t>Cateter aspiração traqueal, material: pvc, atóxico, flexível, tipo uso: descartável, características adicionais: ponta atraumática, orifícios distais lateralizados, tipo embalagem: estéril, embalagem individual. Espessura: nº 14</t>
  </si>
  <si>
    <t>Cateter aspiração traqueal, material: pvc, atóxico, flexível, tipo uso: descartável, características adicionais: ponta atraumática, orifícios distais lateralizados, tipo embalagem: estéril, embalagem individual. Espessura: nº 12</t>
  </si>
  <si>
    <t>Cateter aspiração traqueal, material: pvc, atóxico, flexível, tipo uso: descartável, características adicionais: ponta atraumática, orifícios distais lateralizados, tipo embalagem: estéril, embalagem individual. Espessura: nº 8</t>
  </si>
  <si>
    <t>Cateter oxigenoterapia, material tubo: pvc flexível grau médico, tipo: tipo óculos, pronga silicone contorno arredondado, tipo uso: descartável, esterilidade: estéril, tamanho: neonatal, infantil, características adicionais: a prova de deformação e torção 2,10m, tipo adaptador: conector universal</t>
  </si>
  <si>
    <t>Cateter oxigenoterapia, material tubo: pvc flexível grau médico, tipo: tipo óculos, pronga silicone contorno arredondado, tipo uso: descartável, esterilidade: estéril, tamanho: adulto, características adicionais: a prova de deformação e torção,2,10m, tipo adaptador: conector universal</t>
  </si>
  <si>
    <t>Máscara cirúrgica, material: SMS, camadas: 3 camadas c, dobras, fixação: tiras elásticas, adicional: c, clipe nasal, componentes: filtração de partículas mínima de 95%, esterilidade: uso único</t>
  </si>
  <si>
    <t>Máscara cirúrgica, tipo: não tecido,3 camadas, pregas horizontais, atóxica, tipo fixação: com elástico, características adicionais: clip nasal embutido, hipoalergênica, tipo uso: descartável</t>
  </si>
  <si>
    <t>Respirador. Material: Camadas Fibras Sintéticas. Quantidade Pontos Fixação: Tiras Vedação Anatômica, Clipe Nasal. Tamanho Peça Facial: Adulto. Aplicação: Classe N99, Pff3 ou equivalente. Características Adicionais: Eficiência Filtração Mínima 99%. Tipo Uso: Descartável.
Formato: Dobrável, Tipo Bico De Pato. S/ Válvulas</t>
  </si>
  <si>
    <t>Máscara multiuso, material: manta sintética com tratamento eletrostático, tipo uso: descartável, finalidade: proteção contra poeiras, fumos e névoas tóxicas, tipo correia: cinta elástica com ajuste no rosto, tamanho: único, cor: branca, características adicionais: n95, pff2, mínimo filtração 95% partículas até 0,3</t>
  </si>
  <si>
    <t>Avental hospitalar, tipo: capote cirúrgico, material: polipropileno, tamanho: g, gramatura cerca de 50 g/cm2, cor: branco, característica adicional: manga longa, esterilidade: estéril, uso único.</t>
  </si>
  <si>
    <t>Frasco plástico rígido para coleta de fezes: leitoso, capacidade mínima de 70 ml e máxima de 90 ml, tampa rosqueável ou de pressão com fácil adaptação e vedação total, com dispositivo que permita coleta de fezes (pá), não deverá apresentar protuberâncias externas, embalagem individual</t>
  </si>
  <si>
    <t>Frasco coletor de urina, estéril, cap. 80 ml. Registro na ANVISA: 10379860094, procedência: nacional.</t>
  </si>
  <si>
    <t>Garrote para punção, em tecido elástico, com fita em nylon e algodão, trava em PVC; tipo freehand, processo de auto-trava e ajuste de pressão, trava com 2 estágios de liberação do fluxo sanguíneo; antialérgico</t>
  </si>
  <si>
    <t>Garrote com trava infantil, material: faixa elástica, componente adicional: c/ sistema de trava em plástico, tamanho: tamanho infantil, tipo uso: reutilizável.</t>
  </si>
  <si>
    <t>máximos e mínimos da temperatura e da umidade. Visor: triplo, de cristal líquido (LCD) para visualização simultânea da temperatura interna, externa e umidade. Funções: temperatura interna e externa (registro do máximo e do mínimo) e umidade relativa (registro do máximo e mínimo). Temperatura de operação: de 0ºC A 50ºC. Alimentação:pilhas AAA DE 1,5V. peso: 150G (incluindo as pilhas). Alcance do sensor externo: 2 metros.</t>
  </si>
  <si>
    <t>Teste para detecção de Dengue IgM/IgG para dosagem em soro, plasma ou sangue, método imunocromatografia em cards, teste rápido, acondicioando em kit Reagente para diagnóstico clínico 3, tipo: conjunto completo, tipo de análise: qualitativo antígeno ns1 de dengue vírus, método: imunocro-matografia, apresentação: teste</t>
  </si>
  <si>
    <t>Broca alta rotação, material: aço inoxidável diamantada, formato: chama, tipo haste: haste regular, tipo corte: corte médio, numeração americana: 3118. Padrão de Referência: KG SORENSEN OU SUPERIOR</t>
  </si>
  <si>
    <t>Broca tronco cônica n°9714 ff 30 lâminas. Broca alta rotação, material: carbide, formato: tronco cônica, característica adicional: longa, tipo haste: haste regular, tipo corte: corte extra fino, numeração americana 1:ref. 9714. Padrão de Referencia: JET Ou Superior</t>
  </si>
  <si>
    <t>Revelador radiológico, tipo solução aquosa pronta p/ uso, aplicação para processamento manual.
Apresentação: frasco de 500ml com composição: água, dietileno glicol, hidroquinona e carbonato de potássio PADRÃO DE REFERÊNCIA:
Carestream similar ou superior.</t>
  </si>
  <si>
    <t>Frasco 500 mL</t>
  </si>
  <si>
    <t>Algodão, tipo: hidrófilo, apresentação: em rolete, material: alvejado, purificado, isento de impurezas, esterilidade: não estéril. Cada Pacote deve conter 100 roletes de algodão.</t>
  </si>
  <si>
    <t>Pacote 100 unidades</t>
  </si>
  <si>
    <t>Apresentação: Caixa com 01 seringa de 2 gramas cada. Padrão de referência: FluorShield Selante de Fóssulas e Fissuras Fotopolimerizável. Padrão de Referência: FLUROSHIED DENTSPLY OU SUPERIOR</t>
  </si>
  <si>
    <t>Sugador, material: pvc, tipo: saliva, características adicionais: c, arame, apresentação: pacote c, 40 unidades, tipo uso: estéril, descartável. Sugador de saliva descartável, ponteira macia e aromatizada sabor tutti-frutti. Pacote com 40 unidades similar ou superior.</t>
  </si>
  <si>
    <t>Spray de resfriamento - 50°c para teste vitalidade pulpar isento de cfc, com butano e propano, frasco com 20 ml. Padrão de referência: endo ice maquira ou superior</t>
  </si>
  <si>
    <t>Frasco</t>
  </si>
  <si>
    <t>Verniz dentário, composição: c/ fluoreto de sódio. Padrão de Referência: DURAFLÚOR DENTSPLY OU SUPERIOR. Frasco com 10ml.</t>
  </si>
  <si>
    <t>Adesivo dental, tipo: fotopolimerizável, componentes: mono componente. Capacidade de primer/adesivo combinado para adesão de substratos indireta (metais, cerâmicas de zircônia, alumina e vidro). Apresentação comercial: Frasco com 6g com tampa bico</t>
  </si>
  <si>
    <t>Adesivo dental, tipo: ativação dual, componentes: auto condicionante, composição: dois componentes, passo único, apresentação: conjunto completo. Descrição complementar: imediato da dentina como pré-tratamento em restaurações indiretas e hipersensibilidade dentinária e/ou superfícies radiculares expostas, reparos intraorais de coroas metalocêramicas ou cerâmica pura e tratamento de superfície de restaurações indiretas confeccionadas com cerâmica ou resina composta, composto por solvente à base de água, primer autocondicionante e um bond fotopolimerizável, características: longevidade com excelente selamento marginal, sem necessidade de condicionamento ácido reduzindo a sensibilidade em restaurações diretas e indiretas, composição: primermdp (monômero ácido) e água, bondadesivo à base bis-gma, fácil aplicação, rendimento para até 70 aplicações, embalagem</t>
  </si>
  <si>
    <t>Gel à base de ácido fosfórico na concentração de 37%. Condicionador dental, tipo ácido fosfórico, concentração 37%, aspecto físico gel. Descrição complementar: embalagem com 3 seringas.
PADRÃO DE REFERÊNCIA: DENTSPLY SIRONA OU SUPERIOR</t>
  </si>
  <si>
    <t>Agulha odontológica, material: aço inoxidável siliconizado, aplicação: gengival, anestesia, dimensão: 30 g curta, tipo ponta: com biseltrifacetado, tipo conexão: conector p, seringa carpule, tipo uso: estéril, descartável, apresentação: c, protetor plástico e lacre.
Apresentação comercial: caixa com 100 agulhas estéreis descartáveis– PADRÃO DE REFERÊNCIA: SEPTOJECT / SEPTODONT;
UNOJECT / DFL similar ou superior.</t>
  </si>
  <si>
    <t>Caixa c/ 100
unidades</t>
  </si>
  <si>
    <t>Agulha odontológica, material: aço inoxidável siliconizado, aplicação: gengival, anestesia, dimensão: 27 g longa, tipo ponta: com biseltrifacetado, tipo conexão: conector p, seringa carpule, tipo uso:  estéril, descartável, apresentação:  c, protetor plástico e lacre.
Apresentação comercial: caixa com 100 agulhas estéreis descartáveis– PADRÃO DE REFERÊNCIA: SEPTOJECT / SEPTODONT;
UNOJECT / DFL similar ou superior</t>
  </si>
  <si>
    <t>Anestésico cloridrato lidocaína, composição associada com epinefrina, dosagem 2% + 1: 100.000, apresentação injetável, embalagem com 50 tubetes de 1,8ml</t>
  </si>
  <si>
    <t>Caixa c/50 tubetes</t>
  </si>
  <si>
    <t>Anestésico injetável local a base de cloridrato de mepivacaína 3 % SEM VASO mepivacaína, 3%. Apresentação injetável. Caixa com 50 tubetes de 1,8ml</t>
  </si>
  <si>
    <t>flexibilidade, que se dobrem facilmente até 90°, com pontas em fibras não absorventes e resistentes à abrasão. Apresentação: tubo com 100 aplicadores. Tamanho regular (2,0 mm).
PADRÃO DE REFERÊNCIA: kg brush
microbrush kg sorensen similar ou superior.</t>
  </si>
  <si>
    <t>Pacote com 100 unidade</t>
  </si>
  <si>
    <t>Bicarbonato de sódio, apresentação: pó. Apresentação comercial: peso líquido 500g. Padrão de Referência: AIRON MAQUIRA OU SUPERIOR</t>
  </si>
  <si>
    <t>Frasco 500g</t>
  </si>
  <si>
    <t>Silicones abrasivos para acabamento e polimento pontas sortidas (taça, disco e chama). Ponta montada uso odontológico, material: borracha com óxido de alumínio, formato: 07 pontas sortidas, cor: branca, aplicação: resinas, características adicionais: conjunto completo, compatibilidade: contra ângulo. Descrição complementar: silicones abrasivos para acabamento e polimento composto por pontas abrasivas de resina e óxido de alumínio, caixa c/ 07 pontas sortidas (taça, disco e chama). Padrão de referência: dentsply ou superior</t>
  </si>
  <si>
    <t>KIT</t>
  </si>
  <si>
    <t>Discos de acabamento e polimento 19,05 mm em 4 granulações soflex 3m.disco - uso odontologia, tipo: lixa, material: poliéster + óxido de alumínio, tipo face: monoface, diâmetro: cerca de 3,4 pol, tipo do encaixe: encaixe p, mandril c, parafuso, tipo uso: descartável. Descrição complementar: discos de acabamento e polimento; caixa com 50 discos de 19,05 mm em 4 granulações; abrasivo à base de óxido de alumínio e costado de poliuretano; (com 3/4 de polegadas nas cores preto, azul escuro, azul e azul claro). Soflex 3m 1958d. PADRÃO DE REFERÊNCIA: 3m espe ou
superior</t>
  </si>
  <si>
    <t>Disco de lixa indicados para áreas interproximais, disco de lixa sof-lex pop on. Disco de lixa indicados para áreas interproximais, superfícies bucal, mesial e distal, indicado para contorno e acabamento, características: costado em poliéster, centro metálico com mandril de encaixe, granulações: super fino(laranja claro), fino (laranja), médio(laranja escuro) e grosso(marrom), utilizados na sequência correta resultam em uma excelente lisura de superfície e em restaurações estéticas, itens inclusos: kit com 120 discos</t>
  </si>
  <si>
    <t>Babador descartável odontológico impermeável. babador material papel absorvente e plástico, tipo uso descartável, cor branca, comprimento 33 cm, largura 48 cm, características adicionais 2 camadas papel/1 camada plástico. PADRÃO DE REFERÊNCIA: Biodinâmica ou Superior</t>
  </si>
  <si>
    <t>Enxaguatório bucal em digluconato de clorexidina 0,12%. Clorexidinadigluconato, concentração 0,12%, forma farmacêutica colutório. Descrição complementar: com xilitol. PADRÃO DE REFERÊNCIA: perioxidin, lacer ou superior</t>
  </si>
  <si>
    <t>Frasco 200 mL</t>
  </si>
  <si>
    <t>Carbono para articular, material: em papel, formato: formato de ferradura, cor: dupla face - 2 cores (VERMELHO / AZUL), tipo uso: estéril, descartável, apresentação: em folha. PADRÃO DE REFERÊNCIA: CONTACTO FILM ANGELUS OU SUPERIOR</t>
  </si>
  <si>
    <t>Cimento de ionômero de vidro, tipo: resinoso, ativação: fotopolimerizável, apresentação: conjunto completo PADRÃO DE REFERÊNCIA: Riva Light Cure similar ou superior</t>
  </si>
  <si>
    <t>Cimento de ionômero de vidro, forrador, ionoseal. Tipo: resinoso, ativação: fotopolimerizável, apresentação: conjunto completo. PADRÃO DE REFERÊNCIA: voco ou superior</t>
  </si>
  <si>
    <t>Detergente enzimático, composição: a base de amilase, protease, lipase, composição ii: peptidase, celulase. Indicado especificamente para a limpeza de instrumentais médicos e odontológicos.
Apresentação comercial: Galão de 5 litro. PRADRÃO DE REFERÊNCIA: Prolink ou superir</t>
  </si>
  <si>
    <t>Frasco 5 L</t>
  </si>
  <si>
    <t>Dessensibilizante dentinário, composição
básica:  nitrato de potássio, composição adicional: fluoreto de sódio, KF 0,2%: com 0,2% de fluoreto de sódio. PADRÃO DE REFERÊNCIA: FGM ou
Superior</t>
  </si>
  <si>
    <t>Seringa 2,5 G</t>
  </si>
  <si>
    <t>Eugenol ý2-metoxi-4-(2-propen-1- il)fenol¨, aspecto físico: líquido incolor à levemente amarelado, fórmula química: c10h12o2, peso molecular: 164,20 g.mol, grau de pureza: pureza mínima de 99%, número de referência química: cas 97-53-0. PADRÃO DE REFERÊNCIA:
Biodinâmica ou Superior</t>
  </si>
  <si>
    <t>Escova de Robson, tipo taça, uso contra-ângulo, cor branca. PADRÃO DE REFERÊNCIA: Microdont ou superior</t>
  </si>
  <si>
    <t>Fixador radiológico, composição tiossulfato amoneo, tampão ph, ácido, antioxidante, aplicação manual, aspecto físico solução aquosa, características adicionais solução pronta para uso, 475 ml. PADRÃO DE REFERÊNCIA: kodak 156
2826 ou superior</t>
  </si>
  <si>
    <t>Frasco 475 mL</t>
  </si>
  <si>
    <t>Filme periapical para adultos e-, composição poliéster com emulsão fotossensível. PADRÃO DE REFERÊNCIA: Kodak Speed Film, qualidade similar ou superior.</t>
  </si>
  <si>
    <t>CAIXA C/ 150 UND</t>
  </si>
  <si>
    <t>Filme periapical infantil. PADRÃO DE REFERÊNCIA: kodak ip-01 ou superior</t>
  </si>
  <si>
    <t>CAIXA C/ 100 UND</t>
  </si>
  <si>
    <t>Formocresol, composição: formaldeído + orto- cresol, concentração: 19% + 35% aproximadamente, veículo: em solução glicerinada. PADRÃO DE REFERÊNCIA: Biodinâmica similar ou superior</t>
  </si>
  <si>
    <t>Frasco 10mL</t>
  </si>
  <si>
    <t>Fio dental composto por 3 partes. Fio dental composto por 3 partes: uma extremidade rígida, o que facilita a inserção entre os espaços dos dentes, coroas, pontes e sob aparelhos ortodônticos. Rede de fibras esponjosas, que permite uma limpeza mais eficaz. Fio dental regular para limpeza entre os dentes e o espaço entre gengiva e dente.
Embalagem com 50 unidades. PADRÃO DE REFERÊNCIA: superfloss oral b, ou superior</t>
  </si>
  <si>
    <t>Hidróxido de Cálcio PA (CAPEADOR PULPAR), pó frasco com 10g</t>
  </si>
  <si>
    <t>Hemostático tópico, princípio ativo: cloreto de alumínio, aspecto físico: líquido. PADRÃO DE REFERÊNCIA: HEMOSTOP DENTSPLY OU SUPERIOR</t>
  </si>
  <si>
    <t>Arco e serra microcut. Acessórios - uso odontológico, aplicação interdental/ bucal.</t>
  </si>
  <si>
    <t>Tira de Lixa para Resina Epitex 10m. Cor: LARANJA (Extra-Fina). PADRÃO DE
REFERÊNCIA: Epitex ou Superior</t>
  </si>
  <si>
    <t>Cimento odontológico, tipo: endodôntico, composição: óxido de zinco, aspecto físico: pó</t>
  </si>
  <si>
    <t>Pasta de hidróxido de cálcio para uso endodôntico. Cimento odontológico, tipo: endodôntica composição: hidróxido de cálcio, aspecto físico: pasta + pasta, apresentação: conjunto completo.
Descrição complementar: tipo calen. PADRÃO DE REFERÊNCIA: sswhite ou superior</t>
  </si>
  <si>
    <t>Paramonoclorofenol, associação: cloreto de benzalcônio, polietilenolicol, aspecto
físico: solução intracanal Medicamento líquido volátil, com tensão superficial baixa. Frasco com 20mL. PADRÃO DE REFERÊNCIA:
biodinâmica similar ou superior.</t>
  </si>
  <si>
    <t>Frasco 20ML</t>
  </si>
  <si>
    <t>Pasta profilática, composição básica pedra pomes, composição lauril sulfato de sódio, características adicionais com flúor. Caixa com bisnaga de 90 g. PADRÃO DE REFERÊNCIA: pasta profilática herjos – coltene similar ou superior</t>
  </si>
  <si>
    <t>Bisnaga 90GR</t>
  </si>
  <si>
    <t>Pasta diamantada para acabamento e polimento de resina. Pasta de polimento diamondpolishmint 0.5. Aplicação polimento final de porcelana e resina, tipo diamantada. Embalagem com 1 seringa de 1,2 ml.</t>
  </si>
  <si>
    <t>Pedra - pomes, material: rocha magnética, cor: branca, aspecto físico: pó, aplicação: limpeza dental, uso: odontológico, características adicionais: extrafino</t>
  </si>
  <si>
    <t>Frasco 100G</t>
  </si>
  <si>
    <t>Embalagem para esterilização, material: papel grau cirúrgico, composição: c, filme polímero multilaminado, gramatura, espessura: cerca de 60 g,m2, apresentação: envelope, componentes adicionais: autosselante, tamanho: cerca de 100 x 200 cm, componentes: c, indicador químico, tipo uso: uso único</t>
  </si>
  <si>
    <t>Broca alta rotação, material: aço inoxidável diamantada, formato: esférica, tipo haste: haste regular, tipo corte: corte médio, numeração americana: 1012. Padrão de Referência: KG SORENSEN OU SUPERIOR</t>
  </si>
  <si>
    <t>Broca alta rotação, material: aço inoxidável diamantada, formato: esférica, tipo haste: haste regular, tipo corte: corte médio, numeração americana: 1014. Padrão de Referência: KG SORENSEN OU SUPERIOR</t>
  </si>
  <si>
    <t>BROCA ESFERICA DIAMANTADA PARA
ALTA ROTAÇÃO 1014HL. Material: aço inoxidável diamantada, formato: esférica, tipo haste: hastelonga, tipo corte: cirúrgica, numeração americana: 1014. Padrão de Referência: KG SORENSEN OU SUPERIOR</t>
  </si>
  <si>
    <t>Broca diamantada esférica 3018. Broca alta rotação, material aço inoxidável diamantada, formato esférica, tipo haste regular, tipo corte: corte médio, numeração americana 3018.Padrão de Referência: KG SORENSEN OU SUPERIOR</t>
  </si>
  <si>
    <t>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A1B. PADRAO de REFERÊNCIA: Z350 XT - 3M-
ESPE similar ou superior</t>
  </si>
  <si>
    <t>orgânica de Bis-GMA, UDMA, TEGDMA, PEGDMA e Bis-EMA e partículas inorgânicas de Zircônia/Sílica. COM 100% NANOPARTÍCULAS. Seringa de 4 g. Cor A1E. PADRAO de REFERÊNCIA: Z350 XT - 3M-
ESPE similar ou superior</t>
  </si>
  <si>
    <t>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A2E. PADRAO de REFERÊNCIA: Z350 XT - 3M-
ESPE similar ou superior</t>
  </si>
  <si>
    <t>Resina composta, tipo: fotopolimerizável, tamanho partículas: nanoparticuladas, aspecto físico: pastosa, constituída por “nanoaglomerados” compostos unicamente por nanopartículas. Matriz orgânica de Bis-GMA, UDMA, TEGDMA, PEGDMA eBis-EMA e partículas inorgânicas de Zircônia/Sílica. COM 100% NANOPARTÍCULAS. Seringa de 4 g. Cor A2B. PADRAO de REFERÊNCIA: Z350 XT - 3M-
ESPE similar ou superior</t>
  </si>
  <si>
    <t>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A2D. PADRAO de REFERÊNCIA: Z350 XT - 3M-
ESPE similar ou superior</t>
  </si>
  <si>
    <t>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t>
  </si>
  <si>
    <t>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A3, 5B. PADRAO de REFERÊNCIA: Z350 XT - 3M-
ESPE similar ou superior</t>
  </si>
  <si>
    <t>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A3B. PADRAO de REFERÊNCIA: Z350 XT - 3M-
ESPE similar ou superior.</t>
  </si>
  <si>
    <t>Resina composta, tipo: fotopolimerizável,tamanho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A3D. PADRAO de REFERÊNCIA: Z350 XT - 3M-
ESPE similar ou superior</t>
  </si>
  <si>
    <t>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A3E. PADRAO de REFERÊNCIA: Z350 XT - 3M-
ESPE similar ou superior.</t>
  </si>
  <si>
    <t>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B1B CERVICAL. PADRAO de REFERÊNCIA: Z350
XT - 3M-ESPE similar ou superior</t>
  </si>
  <si>
    <t>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B2B CERVICAL. PADRAO de REFERÊNCIA: Z350
XT - 3M-ESPE similar ou superior.</t>
  </si>
  <si>
    <t>Resina composta, tipo: fotopolimerizável, tamanho partículas: nanoparticuladas, aspecto físico: pastosa, constituída por “nanoaglomerados” compostos unicamente por nanopartículas. Matriz orgânica deBis-GMA, UDMA, TEGDMA, PEGDMA e Bis-EMA e partículas inorgânicas de Zircônia/Sílica. COM 100% NANOPARTÍCULAS. Seringa de 4 g. Cor B1D CERVICAL. PADRAO de REFERÊNCIA: Z350
XT - 3M-ESPE similar ou superior.</t>
  </si>
  <si>
    <t>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B2 D. PADRAO de REFERÊNCIA: Z350 XT - 3M-
ESPE similar ou superior.</t>
  </si>
  <si>
    <t>PEGDMA e Bis-EMA e partículas inorgânicas deZircônia/Sílica. COM 100% NANOPARTÍCULAS. Seringa de 4 g. Cor B1E. PADRAO de REFERÊNCIA: Z350 XT - 3M-
ESPE similar ou superior.</t>
  </si>
  <si>
    <t>Resina composta, tipo: fotopolimerizável, tamanho partículas: nanoparticuladas, aspecto físico: pastosa, constituída por “nanoaglomerados” compostos unicamente por nanopartículas. Matriz orgânica de Bis-GMA, UDMA, TEGDMA, PEGDMA e Bis-EMA e partículas inorgânicas de Zircônia/Sílica. COM 100% NANOPARTÍCULAS. Seringa de 4 g. Cor B2E. PADRAO de REFERÊNCIA: Z350 XT - 3M-
ESPE similar ou superior</t>
  </si>
  <si>
    <t>Resina composta, tipo: fotopolimerizável, tipo " bulk fill ", aspecto físico: fluída, alta viscosidade. Padrão de referência: Resina Opus Bulk Fill Flow
- FGM A3 similar ou superior Resina Filtek Bulk Fill Flow - 3m - A3 similar ou superior</t>
  </si>
  <si>
    <t>Resina composta, tipo: fotopolimerizável, tipo " bulk fill ", aspecto físico: fluída, alta viscosidade. Padrão de referência: Resina Opus Bulk Fill Flow
- FGM A3 similar ou superior Resina FiltekBulk Fill Flow - 3m - A1 similar ou superior</t>
  </si>
  <si>
    <t>Espátula para restaurações anteriores da marca finlandesa LM-Dental. LM-Arte Anterior (431- 433 XSI) LM-Arte Posterior (434-438 XSI) Padrão Referência: Quinelato</t>
  </si>
  <si>
    <t>Espátula para restaurações anteriores da marca finlandesa LM-Dental. LM-Arte Posterior (434- 438 XSI) Padrão Referência: Quinelato</t>
  </si>
  <si>
    <t>Espelho bucal, material: aço inoxidável e espelho, tipo: 1º plano, tamanho: nº 5, uso: encaixe universal, tipo uso: autoclavável, apresentação: embalagem individual</t>
  </si>
  <si>
    <t>Pinça odontológica, material: aço inoxidável, tamanho: cerca de 17 cm, referência: 317, indicação: clínica, aplicação: p, algodão, esterilidade: autoclavável.</t>
  </si>
  <si>
    <t>Blau</t>
  </si>
  <si>
    <t>Teuto</t>
  </si>
  <si>
    <t>Cristália</t>
  </si>
  <si>
    <t>VALOR DE REFERÊNCIA
(UNITÁRIO)</t>
  </si>
  <si>
    <t>VALOR DE REFERÊNCIA
(TOTAL)</t>
  </si>
  <si>
    <t>Biomm</t>
  </si>
  <si>
    <t>Germed</t>
  </si>
  <si>
    <t>Biolab</t>
  </si>
  <si>
    <t>Geolab</t>
  </si>
  <si>
    <t>Brasterápica</t>
  </si>
  <si>
    <t>Farmace</t>
  </si>
  <si>
    <t>Airela</t>
  </si>
  <si>
    <t>Hipolabor</t>
  </si>
  <si>
    <t>Pharlab</t>
  </si>
  <si>
    <t>Isofarma</t>
  </si>
  <si>
    <t>Eurofarma</t>
  </si>
  <si>
    <t>Vitamedic</t>
  </si>
  <si>
    <t>Brainfarma</t>
  </si>
  <si>
    <t>Takeda</t>
  </si>
  <si>
    <t>União Química</t>
  </si>
  <si>
    <t>Novartis</t>
  </si>
  <si>
    <t>Nutriex</t>
  </si>
  <si>
    <t>Cellera</t>
  </si>
  <si>
    <t>Multilab</t>
  </si>
  <si>
    <t>Belfar</t>
  </si>
  <si>
    <t>Globo</t>
  </si>
  <si>
    <t>Osório de Moraes</t>
  </si>
  <si>
    <t>Pharmascience</t>
  </si>
  <si>
    <t>Legrand</t>
  </si>
  <si>
    <t>JP</t>
  </si>
  <si>
    <t>Prolink</t>
  </si>
  <si>
    <t>Solidor</t>
  </si>
  <si>
    <t>Labor</t>
  </si>
  <si>
    <t>Taylor</t>
  </si>
  <si>
    <t>Polyfarma</t>
  </si>
  <si>
    <t>Panasonic</t>
  </si>
  <si>
    <t>Duracel</t>
  </si>
  <si>
    <t>Head Block</t>
  </si>
  <si>
    <t>Gtech</t>
  </si>
  <si>
    <t>Mikatos</t>
  </si>
  <si>
    <t>DMZ Medical</t>
  </si>
  <si>
    <t>Roché</t>
  </si>
  <si>
    <t>Supermed</t>
  </si>
  <si>
    <t>Maycare</t>
  </si>
  <si>
    <t>Supermax</t>
  </si>
  <si>
    <t>Unigloves</t>
  </si>
  <si>
    <t>Medix</t>
  </si>
  <si>
    <t>Polarfix</t>
  </si>
  <si>
    <t>Brace</t>
  </si>
  <si>
    <t>Anadona</t>
  </si>
  <si>
    <t>Protec</t>
  </si>
  <si>
    <t>Limed</t>
  </si>
  <si>
    <t>Amed</t>
  </si>
  <si>
    <t>Cremer</t>
  </si>
  <si>
    <t>Kolplast</t>
  </si>
  <si>
    <t>Hypofarma</t>
  </si>
  <si>
    <t>Genom</t>
  </si>
  <si>
    <t>Latinofarma</t>
  </si>
  <si>
    <t>Nova Farma</t>
  </si>
  <si>
    <t>Neo Química</t>
  </si>
  <si>
    <t>Aché</t>
  </si>
  <si>
    <t>Janssen</t>
  </si>
  <si>
    <t>Medquímica</t>
  </si>
  <si>
    <t>EMS</t>
  </si>
  <si>
    <t>Biosintética</t>
  </si>
  <si>
    <t>Medsonda</t>
  </si>
  <si>
    <t>Biosani</t>
  </si>
  <si>
    <t>Byd</t>
  </si>
  <si>
    <t>Cral</t>
  </si>
  <si>
    <t>Incoterm</t>
  </si>
  <si>
    <t>Estilo</t>
  </si>
  <si>
    <t>Coluna1</t>
  </si>
  <si>
    <t>Enoxaparina, concentração: 100 mg/ml, forma farmacêutica: solução injetável, características adicionais 1: seringa preenchida 0,40 mL</t>
  </si>
  <si>
    <t>Seringa 0,40 ml</t>
  </si>
  <si>
    <t>Enoxaparina, concentração: 100 mg/ml, forma farmacêutica: solução injetável, características adicionais 1: seringa preenchida 0,20 mL</t>
  </si>
  <si>
    <t>Seringa 0,20 ml</t>
  </si>
  <si>
    <t>Orfenadrinacitrato, composição: associada com dipirona e cafeína, dosagem: 35mg + 300mg + 50mg</t>
  </si>
  <si>
    <t>Ceftriaxona sódica, concentração: 1 g, forma farmaceutica: pó p, solução injetável</t>
  </si>
  <si>
    <t>Desvenlafaxina, composição: salsuccinato, concentração:50 mg, forma farmacêutica: liberação controlada</t>
  </si>
  <si>
    <t>Desvenlafaxina, composição:salsuccinato, concentração:100 mg, forma farmacêutica: liberação controlada</t>
  </si>
  <si>
    <t>Máscara Cirúrgica. Material: Não Tecido 100% Polipropileno. Filtro: Elemento Filtrante Interno. Eficiência: Efp Maior Que 98% E Bfe Maior Que 95%. Quantidade Camadas: Mínimo 3 Camadas. Modelo: Ajustável, Clipe Nasal. Formato: Retangular, C/ Pregas Horizontais. Cor: C/ Cor. Tamanho: Adulto. Esterilidade: Descartável.</t>
  </si>
  <si>
    <t>Avental hospitalar. Esterilidade: Não Estéril, Descartável. Tipo: Avental / Camisola / Bata. Material: Não Tecido 100% Polipropileno - Tipo SMS. Gramatura: Cerca De 50 G/M2. Modelo Camisola: Ajustável C/ Abertura Na Frente Ou Costas. Tamanho: Adulto Médio (M).Característica: C/ Cor, Unissex.</t>
  </si>
  <si>
    <t>PREÇO UNIT FINAL</t>
  </si>
  <si>
    <t>PREÇO DE COMPRA</t>
  </si>
  <si>
    <t>OUTRA TAXA (SUGESTÃO)</t>
  </si>
  <si>
    <t>FRETE (SUGESTÃO)</t>
  </si>
  <si>
    <t>IMPOSTOS (SUGESTÃO)</t>
  </si>
  <si>
    <t>PREÇO GANHO</t>
  </si>
  <si>
    <t>LUCRO (%)</t>
  </si>
  <si>
    <t>Referenc</t>
  </si>
  <si>
    <t>Min</t>
  </si>
  <si>
    <t>Ganho</t>
  </si>
  <si>
    <t>Obs</t>
  </si>
  <si>
    <t>Descrição</t>
  </si>
  <si>
    <t>Preço Estimado</t>
  </si>
  <si>
    <t>Preço de Custo</t>
  </si>
  <si>
    <t>Preço que Ganhamos</t>
  </si>
  <si>
    <t>Qtd</t>
  </si>
  <si>
    <t>Negociado</t>
  </si>
  <si>
    <t>Itens Ganhos Abaixo da REF</t>
  </si>
  <si>
    <t>Itens Ganhos Acima da REF</t>
  </si>
  <si>
    <t>Principal</t>
  </si>
  <si>
    <t>Itens ganhos de acordo c/ Pregoeiro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</si>
</sst>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R$&quot;\ #,##0.00;[Red]\-&quot;R$&quot;\ #,##0.00"/>
    <numFmt numFmtId="44" formatCode="_-&quot;R$&quot;\ * #,##0.00_-;\-&quot;R$&quot;\ * #,##0.00_-;_-&quot;R$&quot;\ * &quot;-&quot;??_-;_-@_-"/>
    <numFmt numFmtId="164" formatCode="0.000"/>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sz val="10"/>
      <color rgb="FF000000"/>
      <name val="Times New Roman"/>
      <family val="1"/>
    </font>
    <font>
      <b/>
      <sz val="9"/>
      <name val="Times New Roman"/>
      <family val="1"/>
    </font>
    <font>
      <sz val="9"/>
      <name val="Times New Roman"/>
      <family val="1"/>
    </font>
    <font>
      <i/>
      <sz val="9"/>
      <name val="Times New Roman"/>
      <family val="1"/>
    </font>
    <font>
      <sz val="10"/>
      <name val="Times New Roman"/>
      <family val="1"/>
    </font>
    <font>
      <sz val="1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4" fillId="0" borderId="0"/>
  </cellStyleXfs>
  <cellXfs count="69">
    <xf numFmtId="0" fontId="0" fillId="0" borderId="0" xfId="0"/>
    <xf numFmtId="0" fontId="0" fillId="0" borderId="1" xfId="0" applyBorder="1" applyAlignment="1">
      <alignment horizontal="center" vertical="center"/>
    </xf>
    <xf numFmtId="44" fontId="0" fillId="0" borderId="1" xfId="1" applyFont="1" applyBorder="1"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xf>
    <xf numFmtId="44" fontId="0" fillId="0" borderId="3" xfId="1"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9" fontId="0" fillId="0" borderId="1" xfId="2"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44" fontId="3" fillId="0" borderId="1" xfId="0" applyNumberFormat="1" applyFont="1" applyBorder="1" applyAlignment="1">
      <alignment horizontal="center" vertical="center"/>
    </xf>
    <xf numFmtId="44" fontId="3" fillId="0" borderId="3" xfId="0" applyNumberFormat="1"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44" fontId="3" fillId="0" borderId="9" xfId="0" applyNumberFormat="1" applyFont="1" applyBorder="1" applyAlignment="1">
      <alignment horizontal="center" vertical="center"/>
    </xf>
    <xf numFmtId="0" fontId="3" fillId="0" borderId="5" xfId="0" applyFont="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44" fontId="1" fillId="0" borderId="1" xfId="1" applyFont="1" applyBorder="1" applyAlignment="1">
      <alignment horizontal="center" vertical="center"/>
    </xf>
    <xf numFmtId="44" fontId="1" fillId="2" borderId="1" xfId="1" applyFont="1" applyFill="1" applyBorder="1" applyAlignment="1">
      <alignment horizontal="center" vertical="center"/>
    </xf>
    <xf numFmtId="0" fontId="1" fillId="0" borderId="1" xfId="1" applyNumberFormat="1" applyFont="1" applyBorder="1" applyAlignment="1">
      <alignment horizontal="center" vertical="center"/>
    </xf>
    <xf numFmtId="0" fontId="4" fillId="0" borderId="0" xfId="3" applyAlignment="1">
      <alignment horizontal="center" vertical="center"/>
    </xf>
    <xf numFmtId="0" fontId="4" fillId="0" borderId="0" xfId="3" applyAlignment="1">
      <alignment horizontal="left" vertical="top"/>
    </xf>
    <xf numFmtId="0" fontId="4" fillId="0" borderId="0" xfId="3" applyAlignment="1">
      <alignment horizontal="center" vertical="center" wrapText="1"/>
    </xf>
    <xf numFmtId="9" fontId="0" fillId="2" borderId="1" xfId="2" applyFont="1" applyFill="1" applyBorder="1" applyAlignment="1">
      <alignment horizontal="center" vertical="center"/>
    </xf>
    <xf numFmtId="0" fontId="5" fillId="0" borderId="0" xfId="3" applyFont="1" applyAlignment="1">
      <alignment horizontal="center" vertical="center" wrapText="1"/>
    </xf>
    <xf numFmtId="0" fontId="4" fillId="0" borderId="0" xfId="3" applyAlignment="1">
      <alignment horizontal="left" vertical="top" wrapText="1"/>
    </xf>
    <xf numFmtId="44" fontId="4" fillId="0" borderId="0" xfId="1" applyFont="1" applyAlignment="1">
      <alignment horizontal="left" vertical="top"/>
    </xf>
    <xf numFmtId="44" fontId="4" fillId="0" borderId="0" xfId="3" applyNumberFormat="1" applyAlignment="1">
      <alignment horizontal="left" vertical="top"/>
    </xf>
    <xf numFmtId="0" fontId="4" fillId="2" borderId="0" xfId="3" applyFill="1" applyAlignment="1">
      <alignment horizontal="center" vertical="center"/>
    </xf>
    <xf numFmtId="0" fontId="4" fillId="2" borderId="0" xfId="3" applyFill="1" applyAlignment="1">
      <alignment horizontal="center" vertical="center" wrapText="1"/>
    </xf>
    <xf numFmtId="0" fontId="9" fillId="0" borderId="2" xfId="0" applyFont="1" applyBorder="1" applyAlignment="1">
      <alignment horizontal="center" vertical="center"/>
    </xf>
    <xf numFmtId="0" fontId="9" fillId="0" borderId="1" xfId="0" applyFont="1" applyBorder="1" applyAlignment="1">
      <alignment horizontal="center" vertical="center" wrapText="1"/>
    </xf>
    <xf numFmtId="0" fontId="9" fillId="0" borderId="1" xfId="0" applyFont="1" applyBorder="1" applyAlignment="1">
      <alignment horizontal="center" vertical="center"/>
    </xf>
    <xf numFmtId="44" fontId="9" fillId="0" borderId="1" xfId="1" applyFont="1" applyFill="1" applyBorder="1" applyAlignment="1">
      <alignment horizontal="center" vertical="center"/>
    </xf>
    <xf numFmtId="2" fontId="0" fillId="0" borderId="1" xfId="1" applyNumberFormat="1" applyFont="1" applyBorder="1" applyAlignment="1">
      <alignment horizontal="center" vertical="center"/>
    </xf>
    <xf numFmtId="0" fontId="0" fillId="0" borderId="0" xfId="0" applyAlignment="1">
      <alignment horizontal="center" vertical="center"/>
    </xf>
    <xf numFmtId="0" fontId="0" fillId="0" borderId="0" xfId="0" applyAlignment="1">
      <alignment wrapText="1"/>
    </xf>
    <xf numFmtId="0" fontId="0" fillId="0" borderId="1" xfId="0" applyBorder="1" applyAlignment="1">
      <alignment horizontal="justify" wrapText="1"/>
    </xf>
    <xf numFmtId="0" fontId="2" fillId="0" borderId="2" xfId="0" applyFont="1" applyBorder="1" applyAlignment="1">
      <alignment horizontal="center" vertical="center"/>
    </xf>
    <xf numFmtId="0" fontId="2" fillId="0" borderId="7" xfId="0" applyFont="1" applyBorder="1" applyAlignment="1">
      <alignment horizontal="center" vertical="center"/>
    </xf>
    <xf numFmtId="0" fontId="0" fillId="0" borderId="8" xfId="0" applyBorder="1" applyAlignment="1">
      <alignment horizontal="justify" wrapText="1"/>
    </xf>
    <xf numFmtId="0" fontId="0" fillId="0" borderId="8" xfId="0" applyBorder="1" applyAlignment="1">
      <alignment horizontal="center" vertical="center"/>
    </xf>
    <xf numFmtId="44" fontId="0" fillId="0" borderId="9" xfId="1" applyFont="1" applyBorder="1" applyAlignment="1">
      <alignment horizontal="center" vertical="center"/>
    </xf>
    <xf numFmtId="9" fontId="0" fillId="0" borderId="5" xfId="2" applyFont="1" applyBorder="1" applyAlignment="1">
      <alignment horizontal="center" vertical="center"/>
    </xf>
    <xf numFmtId="164" fontId="0" fillId="0" borderId="0" xfId="0" applyNumberFormat="1"/>
    <xf numFmtId="44" fontId="0" fillId="3" borderId="1" xfId="1" applyFont="1" applyFill="1" applyBorder="1" applyAlignment="1">
      <alignment horizontal="center" vertical="center"/>
    </xf>
    <xf numFmtId="44" fontId="0" fillId="0" borderId="0" xfId="1" applyFont="1"/>
    <xf numFmtId="8" fontId="0" fillId="3" borderId="1" xfId="1" applyNumberFormat="1" applyFont="1" applyFill="1" applyBorder="1" applyAlignment="1">
      <alignment horizontal="center" vertical="center"/>
    </xf>
    <xf numFmtId="0" fontId="2" fillId="0" borderId="4" xfId="0" applyFont="1" applyBorder="1" applyAlignment="1">
      <alignment horizontal="center" vertical="center" wrapText="1"/>
    </xf>
    <xf numFmtId="0" fontId="0" fillId="0" borderId="2" xfId="0" applyBorder="1" applyAlignment="1">
      <alignment wrapText="1"/>
    </xf>
    <xf numFmtId="0" fontId="0" fillId="0" borderId="7" xfId="0" applyBorder="1" applyAlignment="1">
      <alignment wrapText="1"/>
    </xf>
    <xf numFmtId="0" fontId="0" fillId="0" borderId="2" xfId="0" applyBorder="1" applyAlignment="1">
      <alignment horizontal="center" vertical="center" wrapText="1"/>
    </xf>
    <xf numFmtId="0" fontId="0" fillId="0" borderId="7" xfId="0" applyBorder="1" applyAlignment="1">
      <alignment horizontal="center" vertical="center" wrapText="1"/>
    </xf>
    <xf numFmtId="44" fontId="0" fillId="0" borderId="1" xfId="0" applyNumberFormat="1" applyBorder="1" applyAlignment="1">
      <alignment horizontal="center" vertical="center"/>
    </xf>
    <xf numFmtId="44" fontId="0" fillId="0" borderId="3" xfId="0" applyNumberFormat="1" applyBorder="1" applyAlignment="1">
      <alignment horizontal="center" vertical="center"/>
    </xf>
    <xf numFmtId="44" fontId="0" fillId="0" borderId="8" xfId="0" applyNumberFormat="1" applyBorder="1" applyAlignment="1">
      <alignment horizontal="center" vertical="center"/>
    </xf>
    <xf numFmtId="44" fontId="0" fillId="0" borderId="9" xfId="0" applyNumberFormat="1" applyBorder="1" applyAlignment="1">
      <alignment horizontal="center" vertical="center"/>
    </xf>
    <xf numFmtId="0" fontId="0" fillId="0" borderId="7" xfId="0"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wrapText="1"/>
    </xf>
    <xf numFmtId="44" fontId="0" fillId="2" borderId="1" xfId="0" applyNumberFormat="1" applyFill="1" applyBorder="1" applyAlignment="1">
      <alignment horizontal="center" vertical="center"/>
    </xf>
    <xf numFmtId="44" fontId="0" fillId="2" borderId="8" xfId="0" applyNumberFormat="1" applyFill="1" applyBorder="1" applyAlignment="1">
      <alignment horizontal="center" vertical="center"/>
    </xf>
    <xf numFmtId="0" fontId="0" fillId="0" borderId="0" xfId="0" applyAlignment="1">
      <alignment horizontal="center" vertical="center" wrapText="1"/>
    </xf>
  </cellXfs>
  <cellStyles count="4">
    <cellStyle name="Moeda" xfId="1" builtinId="4"/>
    <cellStyle name="Normal" xfId="0" builtinId="0"/>
    <cellStyle name="Normal 2" xfId="3" xr:uid="{6D09664A-CF73-43DE-B044-DEB62C36DB49}"/>
    <cellStyle name="Porcentagem" xfId="2" builtinId="5"/>
  </cellStyles>
  <dxfs count="118">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numFmt numFmtId="34" formatCode="_-&quot;R$&quot;\ * #,##0.00_-;\-&quot;R$&quot;\ * #,##0.00_-;_-&quot;R$&quot;\ * &quot;-&quot;??_-;_-@_-"/>
      <alignment horizontal="center" vertical="center" textRotation="0" wrapText="0" indent="0" justifyLastLine="0" shrinkToFit="0" readingOrder="0"/>
      <border diagonalUp="0" diagonalDown="0" outline="0">
        <left style="thin">
          <color indexed="64"/>
        </left>
        <right/>
        <top style="thin">
          <color indexed="64"/>
        </top>
        <bottom/>
      </border>
    </dxf>
    <dxf>
      <font>
        <strike val="0"/>
        <outline val="0"/>
        <shadow val="0"/>
        <u val="none"/>
        <vertAlign val="baseline"/>
        <sz val="10"/>
        <color theme="1"/>
        <name val="Calibri"/>
        <family val="2"/>
        <scheme val="minor"/>
      </font>
      <numFmt numFmtId="34" formatCode="_-&quot;R$&quot;\ * #,##0.00_-;\-&quot;R$&quot;\ * #,##0.00_-;_-&quot;R$&quot;\ * &quot;-&quot;??_-;_-@_-"/>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theme="1"/>
        <name val="Calibri"/>
        <family val="2"/>
        <scheme val="minor"/>
      </font>
      <numFmt numFmtId="34" formatCode="_-&quot;R$&quot;\ * #,##0.00_-;\-&quot;R$&quot;\ * #,##0.00_-;_-&quot;R$&quot;\ *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font>
        <strike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border>
        <bottom style="thin">
          <color indexed="64"/>
        </bottom>
      </border>
    </dxf>
    <dxf>
      <font>
        <strike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numFmt numFmtId="34" formatCode="_-&quot;R$&quot;\ * #,##0.00_-;\-&quot;R$&quot;\ * #,##0.00_-;_-&quot;R$&quot;\ * &quot;-&quot;??_-;_-@_-"/>
      <alignment horizontal="center" vertical="center" textRotation="0" wrapText="0" indent="0" justifyLastLine="0" shrinkToFit="0" readingOrder="0"/>
      <border diagonalUp="0" diagonalDown="0" outline="0">
        <left style="thin">
          <color indexed="64"/>
        </left>
        <right/>
        <top style="thin">
          <color indexed="64"/>
        </top>
        <bottom/>
      </border>
    </dxf>
    <dxf>
      <font>
        <strike val="0"/>
        <outline val="0"/>
        <shadow val="0"/>
        <u val="none"/>
        <vertAlign val="baseline"/>
        <sz val="10"/>
        <color theme="1"/>
        <name val="Calibri"/>
        <family val="2"/>
        <scheme val="minor"/>
      </font>
      <numFmt numFmtId="34" formatCode="_-&quot;R$&quot;\ * #,##0.00_-;\-&quot;R$&quot;\ * #,##0.00_-;_-&quot;R$&quot;\ * &quot;-&quot;??_-;_-@_-"/>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theme="1"/>
        <name val="Calibri"/>
        <family val="2"/>
        <scheme val="minor"/>
      </font>
      <numFmt numFmtId="34" formatCode="_-&quot;R$&quot;\ * #,##0.00_-;\-&quot;R$&quot;\ * #,##0.00_-;_-&quot;R$&quot;\ *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theme="1"/>
        <name val="Calibri"/>
        <family val="2"/>
        <scheme val="minor"/>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theme="1"/>
        <name val="Calibri"/>
        <family val="2"/>
        <scheme val="minor"/>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color theme="1"/>
        <name val="Calibri"/>
        <family val="2"/>
        <scheme val="minor"/>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0"/>
        <color theme="1"/>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top style="thin">
          <color rgb="FF000000"/>
        </top>
      </border>
    </dxf>
    <dxf>
      <font>
        <strike val="0"/>
        <outline val="0"/>
        <shadow val="0"/>
        <u val="none"/>
        <vertAlign val="baseline"/>
        <sz val="10"/>
        <color rgb="FF000000"/>
        <name val="Calibri"/>
        <family val="2"/>
        <scheme val="none"/>
      </font>
      <alignment horizontal="center" vertical="center" textRotation="0" wrapText="0" indent="0" justifyLastLine="0" shrinkToFit="0" readingOrder="0"/>
      <border diagonalUp="0" diagonalDown="0" outline="0">
        <left style="thin">
          <color rgb="FF000000"/>
        </left>
        <right style="thin">
          <color rgb="FF000000"/>
        </right>
        <top/>
        <bottom/>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10"/>
        <color rgb="FF000000"/>
        <name val="Calibri"/>
        <family val="2"/>
        <scheme val="none"/>
      </font>
      <alignment horizontal="center" vertical="center" textRotation="0" wrapText="0" indent="0" justifyLastLine="0" shrinkToFit="0" readingOrder="0"/>
    </dxf>
    <dxf>
      <border>
        <bottom style="thin">
          <color rgb="FF000000"/>
        </bottom>
      </border>
    </dxf>
    <dxf>
      <font>
        <strike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R$&quot;\ * #,##0.00_-;\-&quot;R$&quot;\ * #,##0.00_-;_-&quot;R$&quot;\ *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34" formatCode="_-&quot;R$&quot;\ * #,##0.00_-;\-&quot;R$&quot;\ * #,##0.00_-;_-&quot;R$&quot;\ * &quot;-&quot;??_-;_-@_-"/>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34" formatCode="_-&quot;R$&quot;\ * #,##0.00_-;\-&quot;R$&quot;\ * #,##0.00_-;_-&quot;R$&quot;\ * &quot;-&quot;??_-;_-@_-"/>
      <border diagonalUp="0" diagonalDown="0" outline="0">
        <left style="thin">
          <color indexed="64"/>
        </left>
        <right style="thin">
          <color indexed="64"/>
        </right>
        <top style="thin">
          <color indexed="64"/>
        </top>
        <bottom/>
      </border>
    </dxf>
    <dxf>
      <numFmt numFmtId="0" formatCode="Genera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tint="0.39994506668294322"/>
        </patternFill>
      </fill>
    </dxf>
    <dxf>
      <font>
        <color theme="0"/>
      </font>
      <fill>
        <patternFill>
          <bgColor rgb="FF7030A0"/>
        </patternFill>
      </fill>
    </dxf>
    <dxf>
      <font>
        <b val="0"/>
        <i val="0"/>
        <color theme="1"/>
      </font>
      <fill>
        <patternFill>
          <bgColor theme="9" tint="0.39994506668294322"/>
        </patternFill>
      </fill>
    </dxf>
    <dxf>
      <font>
        <b/>
        <i val="0"/>
        <color rgb="FFFF0000"/>
      </font>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34" formatCode="_-&quot;R$&quot;\ * #,##0.00_-;\-&quot;R$&quot;\ * #,##0.00_-;_-&quot;R$&quot;\ * &quot;-&quot;??_-;_-@_-"/>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numFmt numFmtId="34" formatCode="_-&quot;R$&quot;\ * #,##0.00_-;\-&quot;R$&quot;\ * #,##0.00_-;_-&quot;R$&quot;\ * &quot;-&quot;??_-;_-@_-"/>
      <alignment horizontal="center" vertical="center" textRotation="0" wrapText="0" indent="0" justifyLastLine="0" shrinkToFit="0" readingOrder="0"/>
      <border diagonalUp="0" diagonalDown="0" outline="0">
        <left style="thin">
          <color indexed="64"/>
        </left>
        <right/>
        <top style="thin">
          <color indexed="64"/>
        </top>
        <bottom/>
      </border>
    </dxf>
    <dxf>
      <numFmt numFmtId="34" formatCode="_-&quot;R$&quot;\ * #,##0.00_-;\-&quot;R$&quot;\ * #,##0.00_-;_-&quot;R$&quot;\ * &quot;-&quot;??_-;_-@_-"/>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numFmt numFmtId="34" formatCode="_-&quot;R$&quot;\ * #,##0.00_-;\-&quot;R$&quot;\ * #,##0.00_-;_-&quot;R$&quot;\ * &quot;-&quot;??_-;_-@_-"/>
      <alignment horizontal="center" vertical="center" textRotation="0" wrapText="0" indent="0" justifyLastLine="0" shrinkToFit="0" readingOrder="0"/>
      <border diagonalUp="0" diagonalDown="0" outline="0">
        <left style="thin">
          <color indexed="64"/>
        </left>
        <right/>
        <top style="thin">
          <color indexed="64"/>
        </top>
        <bottom/>
      </border>
    </dxf>
    <dxf>
      <numFmt numFmtId="34" formatCode="_-&quot;R$&quot;\ * #,##0.00_-;\-&quot;R$&quot;\ * #,##0.00_-;_-&quot;R$&quot;\ * &quot;-&quot;??_-;_-@_-"/>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34" formatCode="_-&quot;R$&quot;\ * #,##0.00_-;\-&quot;R$&quot;\ * #,##0.00_-;_-&quot;R$&quot;\ *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34" formatCode="_-&quot;R$&quot;\ * #,##0.00_-;\-&quot;R$&quot;\ * #,##0.00_-;_-&quot;R$&quot;\ * &quot;-&quot;??_-;_-@_-"/>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34" formatCode="_-&quot;R$&quot;\ * #,##0.00_-;\-&quot;R$&quot;\ * #,##0.00_-;_-&quot;R$&quot;\ *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34" formatCode="_-&quot;R$&quot;\ * #,##0.00_-;\-&quot;R$&quot;\ * #,##0.00_-;_-&quot;R$&quot;\ * &quot;-&quot;??_-;_-@_-"/>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34" formatCode="_-&quot;R$&quot;\ * #,##0.00_-;\-&quot;R$&quot;\ * #,##0.00_-;_-&quot;R$&quot;\ *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34" formatCode="_-&quot;R$&quot;\ * #,##0.00_-;\-&quot;R$&quot;\ * #,##0.00_-;_-&quot;R$&quot;\ * &quot;-&quot;??_-;_-@_-"/>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34" formatCode="_-&quot;R$&quot;\ * #,##0.00_-;\-&quot;R$&quot;\ * #,##0.00_-;_-&quot;R$&quot;\ *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34" formatCode="_-&quot;R$&quot;\ * #,##0.00_-;\-&quot;R$&quot;\ * #,##0.00_-;_-&quot;R$&quot;\ * &quot;-&quot;??_-;_-@_-"/>
      <fill>
        <patternFill patternType="solid">
          <fgColor indexed="64"/>
          <bgColor rgb="FFFFFF00"/>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border>
    </dxf>
    <dxf>
      <numFmt numFmtId="0" formatCode="Genera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right/>
        <top style="thin">
          <color indexed="64"/>
        </top>
        <bottom/>
      </border>
    </dxf>
    <dxf>
      <numFmt numFmtId="0" formatCode="General"/>
      <alignment horizontal="general" vertical="bottom" textRotation="0" wrapText="1" indent="0" justifyLastLine="0" shrinkToFit="0" readingOrder="0"/>
      <border diagonalUp="0" diagonalDown="0" outline="0">
        <left/>
        <right/>
        <top style="thin">
          <color indexed="64"/>
        </top>
        <bottom style="thin">
          <color indexed="64"/>
        </bottom>
      </border>
    </dxf>
    <dxf>
      <alignment horizontal="center" vertical="center" textRotation="0" wrapText="0" indent="0" justifyLastLine="0" shrinkToFit="0" readingOrder="0"/>
      <border diagonalUp="0" diagonalDown="0" outline="0">
        <left/>
        <right/>
        <top style="thin">
          <color indexed="64"/>
        </top>
        <bottom/>
      </border>
    </dxf>
    <dxf>
      <alignment horizontal="center" vertical="center" textRotation="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numFmt numFmtId="34" formatCode="_-&quot;R$&quot;\ * #,##0.00_-;\-&quot;R$&quot;\ * #,##0.00_-;_-&quot;R$&quot;\ * &quot;-&quot;??_-;_-@_-"/>
    </dxf>
    <dxf>
      <numFmt numFmtId="1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justify"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microsoft.com/office/2017/10/relationships/person" Target="persons/person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17/10/relationships/person" Target="persons/person0.xml"/><Relationship Id="rId2" Type="http://schemas.openxmlformats.org/officeDocument/2006/relationships/worksheet" Target="worksheets/sheet2.xml"/><Relationship Id="rId16" Type="http://schemas.microsoft.com/office/2017/10/relationships/person" Target="persons/pers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styles" Target="styles.xml"/><Relationship Id="rId19" Type="http://schemas.microsoft.com/office/2017/10/relationships/person" Target="persons/person1.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0</xdr:col>
      <xdr:colOff>350202</xdr:colOff>
      <xdr:row>99</xdr:row>
      <xdr:rowOff>1015812</xdr:rowOff>
    </xdr:from>
    <xdr:ext cx="9525" cy="94615"/>
    <xdr:sp macro="" textlink="">
      <xdr:nvSpPr>
        <xdr:cNvPr id="2" name="Shape 2">
          <a:extLst>
            <a:ext uri="{FF2B5EF4-FFF2-40B4-BE49-F238E27FC236}">
              <a16:creationId xmlns:a16="http://schemas.microsoft.com/office/drawing/2014/main" id="{191BCEDD-6BBD-40DE-BE87-B307DB43A3DF}"/>
            </a:ext>
          </a:extLst>
        </xdr:cNvPr>
        <xdr:cNvSpPr/>
      </xdr:nvSpPr>
      <xdr:spPr>
        <a:xfrm>
          <a:off x="350202" y="16189137"/>
          <a:ext cx="9525" cy="94615"/>
        </a:xfrm>
        <a:custGeom>
          <a:avLst/>
          <a:gdLst/>
          <a:ahLst/>
          <a:cxnLst/>
          <a:rect l="0" t="0" r="0" b="0"/>
          <a:pathLst>
            <a:path w="9525" h="94615">
              <a:moveTo>
                <a:pt x="9525" y="0"/>
              </a:moveTo>
              <a:lnTo>
                <a:pt x="4762" y="4762"/>
              </a:lnTo>
              <a:lnTo>
                <a:pt x="0" y="0"/>
              </a:lnTo>
              <a:lnTo>
                <a:pt x="0" y="9525"/>
              </a:lnTo>
              <a:lnTo>
                <a:pt x="0" y="94246"/>
              </a:lnTo>
              <a:lnTo>
                <a:pt x="9525" y="94246"/>
              </a:lnTo>
              <a:lnTo>
                <a:pt x="9525" y="9525"/>
              </a:lnTo>
              <a:lnTo>
                <a:pt x="9525" y="0"/>
              </a:lnTo>
              <a:close/>
            </a:path>
          </a:pathLst>
        </a:custGeom>
        <a:solidFill>
          <a:srgbClr val="000000"/>
        </a:solidFill>
      </xdr:spPr>
    </xdr:sp>
    <xdr:clientData/>
  </xdr:oneCellAnchor>
  <xdr:oneCellAnchor>
    <xdr:from>
      <xdr:col>0</xdr:col>
      <xdr:colOff>0</xdr:colOff>
      <xdr:row>99</xdr:row>
      <xdr:rowOff>1015812</xdr:rowOff>
    </xdr:from>
    <xdr:ext cx="9525" cy="94615"/>
    <xdr:sp macro="" textlink="">
      <xdr:nvSpPr>
        <xdr:cNvPr id="3" name="Shape 3">
          <a:extLst>
            <a:ext uri="{FF2B5EF4-FFF2-40B4-BE49-F238E27FC236}">
              <a16:creationId xmlns:a16="http://schemas.microsoft.com/office/drawing/2014/main" id="{628462AE-84F6-486F-9B87-A1C46AD97A56}"/>
            </a:ext>
          </a:extLst>
        </xdr:cNvPr>
        <xdr:cNvSpPr/>
      </xdr:nvSpPr>
      <xdr:spPr>
        <a:xfrm>
          <a:off x="0" y="16189137"/>
          <a:ext cx="9525" cy="94615"/>
        </a:xfrm>
        <a:custGeom>
          <a:avLst/>
          <a:gdLst/>
          <a:ahLst/>
          <a:cxnLst/>
          <a:rect l="0" t="0" r="0" b="0"/>
          <a:pathLst>
            <a:path w="9525" h="94615">
              <a:moveTo>
                <a:pt x="0" y="0"/>
              </a:moveTo>
              <a:lnTo>
                <a:pt x="0" y="94233"/>
              </a:lnTo>
              <a:lnTo>
                <a:pt x="9525" y="94233"/>
              </a:lnTo>
              <a:lnTo>
                <a:pt x="9525" y="9524"/>
              </a:lnTo>
              <a:lnTo>
                <a:pt x="0" y="0"/>
              </a:lnTo>
              <a:close/>
            </a:path>
          </a:pathLst>
        </a:custGeom>
        <a:solidFill>
          <a:srgbClr val="000000"/>
        </a:solidFill>
      </xdr:spPr>
    </xdr:sp>
    <xdr:clientData/>
  </xdr:oneCellAnchor>
  <xdr:oneCellAnchor>
    <xdr:from>
      <xdr:col>1</xdr:col>
      <xdr:colOff>0</xdr:colOff>
      <xdr:row>99</xdr:row>
      <xdr:rowOff>1015812</xdr:rowOff>
    </xdr:from>
    <xdr:ext cx="9525" cy="94615"/>
    <xdr:sp macro="" textlink="">
      <xdr:nvSpPr>
        <xdr:cNvPr id="4" name="Shape 4">
          <a:extLst>
            <a:ext uri="{FF2B5EF4-FFF2-40B4-BE49-F238E27FC236}">
              <a16:creationId xmlns:a16="http://schemas.microsoft.com/office/drawing/2014/main" id="{81248C15-82BC-41FA-9D76-B82FD442724F}"/>
            </a:ext>
          </a:extLst>
        </xdr:cNvPr>
        <xdr:cNvSpPr/>
      </xdr:nvSpPr>
      <xdr:spPr>
        <a:xfrm>
          <a:off x="352425" y="16189137"/>
          <a:ext cx="9525" cy="94615"/>
        </a:xfrm>
        <a:custGeom>
          <a:avLst/>
          <a:gdLst/>
          <a:ahLst/>
          <a:cxnLst/>
          <a:rect l="0" t="0" r="0" b="0"/>
          <a:pathLst>
            <a:path w="9525" h="94615">
              <a:moveTo>
                <a:pt x="9525" y="0"/>
              </a:moveTo>
              <a:lnTo>
                <a:pt x="4762" y="4762"/>
              </a:lnTo>
              <a:lnTo>
                <a:pt x="0" y="0"/>
              </a:lnTo>
              <a:lnTo>
                <a:pt x="0" y="9525"/>
              </a:lnTo>
              <a:lnTo>
                <a:pt x="0" y="94246"/>
              </a:lnTo>
              <a:lnTo>
                <a:pt x="9525" y="94246"/>
              </a:lnTo>
              <a:lnTo>
                <a:pt x="9525" y="9525"/>
              </a:lnTo>
              <a:lnTo>
                <a:pt x="9525" y="0"/>
              </a:lnTo>
              <a:close/>
            </a:path>
          </a:pathLst>
        </a:custGeom>
        <a:solidFill>
          <a:srgbClr val="000000"/>
        </a:solidFill>
      </xdr:spPr>
    </xdr:sp>
    <xdr:clientData/>
  </xdr:oneCellAnchor>
  <xdr:oneCellAnchor>
    <xdr:from>
      <xdr:col>2</xdr:col>
      <xdr:colOff>0</xdr:colOff>
      <xdr:row>99</xdr:row>
      <xdr:rowOff>1015812</xdr:rowOff>
    </xdr:from>
    <xdr:ext cx="9525" cy="94615"/>
    <xdr:sp macro="" textlink="">
      <xdr:nvSpPr>
        <xdr:cNvPr id="5" name="Shape 5">
          <a:extLst>
            <a:ext uri="{FF2B5EF4-FFF2-40B4-BE49-F238E27FC236}">
              <a16:creationId xmlns:a16="http://schemas.microsoft.com/office/drawing/2014/main" id="{BFBBE9D7-764A-4BF0-973A-BA229FBD0653}"/>
            </a:ext>
          </a:extLst>
        </xdr:cNvPr>
        <xdr:cNvSpPr/>
      </xdr:nvSpPr>
      <xdr:spPr>
        <a:xfrm>
          <a:off x="3390900" y="16189137"/>
          <a:ext cx="9525" cy="94615"/>
        </a:xfrm>
        <a:custGeom>
          <a:avLst/>
          <a:gdLst/>
          <a:ahLst/>
          <a:cxnLst/>
          <a:rect l="0" t="0" r="0" b="0"/>
          <a:pathLst>
            <a:path w="9525" h="94615">
              <a:moveTo>
                <a:pt x="9525" y="0"/>
              </a:moveTo>
              <a:lnTo>
                <a:pt x="4762" y="4762"/>
              </a:lnTo>
              <a:lnTo>
                <a:pt x="0" y="0"/>
              </a:lnTo>
              <a:lnTo>
                <a:pt x="0" y="9525"/>
              </a:lnTo>
              <a:lnTo>
                <a:pt x="0" y="94246"/>
              </a:lnTo>
              <a:lnTo>
                <a:pt x="9525" y="94246"/>
              </a:lnTo>
              <a:lnTo>
                <a:pt x="9525" y="9525"/>
              </a:lnTo>
              <a:lnTo>
                <a:pt x="9525" y="0"/>
              </a:lnTo>
              <a:close/>
            </a:path>
          </a:pathLst>
        </a:custGeom>
        <a:solidFill>
          <a:srgbClr val="000000"/>
        </a:solidFill>
      </xdr:spPr>
    </xdr:sp>
    <xdr:clientData/>
  </xdr:oneCellAnchor>
  <xdr:oneCellAnchor>
    <xdr:from>
      <xdr:col>2</xdr:col>
      <xdr:colOff>607377</xdr:colOff>
      <xdr:row>99</xdr:row>
      <xdr:rowOff>1015812</xdr:rowOff>
    </xdr:from>
    <xdr:ext cx="9525" cy="94615"/>
    <xdr:sp macro="" textlink="">
      <xdr:nvSpPr>
        <xdr:cNvPr id="6" name="Shape 6">
          <a:extLst>
            <a:ext uri="{FF2B5EF4-FFF2-40B4-BE49-F238E27FC236}">
              <a16:creationId xmlns:a16="http://schemas.microsoft.com/office/drawing/2014/main" id="{0BD6B9EC-5E2D-43B5-823A-AEE611AA1F6A}"/>
            </a:ext>
          </a:extLst>
        </xdr:cNvPr>
        <xdr:cNvSpPr/>
      </xdr:nvSpPr>
      <xdr:spPr>
        <a:xfrm>
          <a:off x="3998277" y="16189137"/>
          <a:ext cx="9525" cy="94615"/>
        </a:xfrm>
        <a:custGeom>
          <a:avLst/>
          <a:gdLst/>
          <a:ahLst/>
          <a:cxnLst/>
          <a:rect l="0" t="0" r="0" b="0"/>
          <a:pathLst>
            <a:path w="9525" h="94615">
              <a:moveTo>
                <a:pt x="9525" y="0"/>
              </a:moveTo>
              <a:lnTo>
                <a:pt x="4762" y="4762"/>
              </a:lnTo>
              <a:lnTo>
                <a:pt x="0" y="0"/>
              </a:lnTo>
              <a:lnTo>
                <a:pt x="0" y="9525"/>
              </a:lnTo>
              <a:lnTo>
                <a:pt x="0" y="94246"/>
              </a:lnTo>
              <a:lnTo>
                <a:pt x="9525" y="94246"/>
              </a:lnTo>
              <a:lnTo>
                <a:pt x="9525" y="9525"/>
              </a:lnTo>
              <a:lnTo>
                <a:pt x="9525" y="0"/>
              </a:lnTo>
              <a:close/>
            </a:path>
          </a:pathLst>
        </a:custGeom>
        <a:solidFill>
          <a:srgbClr val="000000"/>
        </a:solidFill>
      </xdr:spPr>
    </xdr:sp>
    <xdr:clientData/>
  </xdr:oneCellAnchor>
  <xdr:oneCellAnchor>
    <xdr:from>
      <xdr:col>3</xdr:col>
      <xdr:colOff>437197</xdr:colOff>
      <xdr:row>99</xdr:row>
      <xdr:rowOff>1015812</xdr:rowOff>
    </xdr:from>
    <xdr:ext cx="9525" cy="94615"/>
    <xdr:sp macro="" textlink="">
      <xdr:nvSpPr>
        <xdr:cNvPr id="7" name="Shape 7">
          <a:extLst>
            <a:ext uri="{FF2B5EF4-FFF2-40B4-BE49-F238E27FC236}">
              <a16:creationId xmlns:a16="http://schemas.microsoft.com/office/drawing/2014/main" id="{A117EF71-DB4E-4217-829F-43188E833539}"/>
            </a:ext>
          </a:extLst>
        </xdr:cNvPr>
        <xdr:cNvSpPr/>
      </xdr:nvSpPr>
      <xdr:spPr>
        <a:xfrm>
          <a:off x="4437697" y="16189137"/>
          <a:ext cx="9525" cy="94615"/>
        </a:xfrm>
        <a:custGeom>
          <a:avLst/>
          <a:gdLst/>
          <a:ahLst/>
          <a:cxnLst/>
          <a:rect l="0" t="0" r="0" b="0"/>
          <a:pathLst>
            <a:path w="9525" h="94615">
              <a:moveTo>
                <a:pt x="9525" y="0"/>
              </a:moveTo>
              <a:lnTo>
                <a:pt x="4762" y="4762"/>
              </a:lnTo>
              <a:lnTo>
                <a:pt x="0" y="0"/>
              </a:lnTo>
              <a:lnTo>
                <a:pt x="0" y="9525"/>
              </a:lnTo>
              <a:lnTo>
                <a:pt x="0" y="94246"/>
              </a:lnTo>
              <a:lnTo>
                <a:pt x="9525" y="94246"/>
              </a:lnTo>
              <a:lnTo>
                <a:pt x="9525" y="9525"/>
              </a:lnTo>
              <a:lnTo>
                <a:pt x="9525" y="0"/>
              </a:lnTo>
              <a:close/>
            </a:path>
          </a:pathLst>
        </a:custGeom>
        <a:solidFill>
          <a:srgbClr val="000000"/>
        </a:solidFill>
      </xdr:spPr>
    </xdr:sp>
    <xdr:clientData/>
  </xdr:oneCellAnchor>
  <xdr:oneCellAnchor>
    <xdr:from>
      <xdr:col>4</xdr:col>
      <xdr:colOff>0</xdr:colOff>
      <xdr:row>99</xdr:row>
      <xdr:rowOff>1015812</xdr:rowOff>
    </xdr:from>
    <xdr:ext cx="9525" cy="94615"/>
    <xdr:sp macro="" textlink="">
      <xdr:nvSpPr>
        <xdr:cNvPr id="8" name="Shape 8">
          <a:extLst>
            <a:ext uri="{FF2B5EF4-FFF2-40B4-BE49-F238E27FC236}">
              <a16:creationId xmlns:a16="http://schemas.microsoft.com/office/drawing/2014/main" id="{772B0C94-DC65-48EA-B241-11EF95F64FDF}"/>
            </a:ext>
          </a:extLst>
        </xdr:cNvPr>
        <xdr:cNvSpPr/>
      </xdr:nvSpPr>
      <xdr:spPr>
        <a:xfrm>
          <a:off x="4438650" y="16189137"/>
          <a:ext cx="9525" cy="94615"/>
        </a:xfrm>
        <a:custGeom>
          <a:avLst/>
          <a:gdLst/>
          <a:ahLst/>
          <a:cxnLst/>
          <a:rect l="0" t="0" r="0" b="0"/>
          <a:pathLst>
            <a:path w="9525" h="94615">
              <a:moveTo>
                <a:pt x="9525" y="0"/>
              </a:moveTo>
              <a:lnTo>
                <a:pt x="4762" y="4762"/>
              </a:lnTo>
              <a:lnTo>
                <a:pt x="0" y="0"/>
              </a:lnTo>
              <a:lnTo>
                <a:pt x="0" y="9525"/>
              </a:lnTo>
              <a:lnTo>
                <a:pt x="0" y="94246"/>
              </a:lnTo>
              <a:lnTo>
                <a:pt x="9525" y="94246"/>
              </a:lnTo>
              <a:lnTo>
                <a:pt x="9525" y="9525"/>
              </a:lnTo>
              <a:lnTo>
                <a:pt x="9525" y="0"/>
              </a:lnTo>
              <a:close/>
            </a:path>
          </a:pathLst>
        </a:custGeom>
        <a:solidFill>
          <a:srgbClr val="000000"/>
        </a:solidFill>
      </xdr:spPr>
    </xdr:sp>
    <xdr:clientData/>
  </xdr:oneCellAnchor>
  <xdr:oneCellAnchor>
    <xdr:from>
      <xdr:col>4</xdr:col>
      <xdr:colOff>0</xdr:colOff>
      <xdr:row>99</xdr:row>
      <xdr:rowOff>1015812</xdr:rowOff>
    </xdr:from>
    <xdr:ext cx="9525" cy="94615"/>
    <xdr:sp macro="" textlink="">
      <xdr:nvSpPr>
        <xdr:cNvPr id="9" name="Shape 9">
          <a:extLst>
            <a:ext uri="{FF2B5EF4-FFF2-40B4-BE49-F238E27FC236}">
              <a16:creationId xmlns:a16="http://schemas.microsoft.com/office/drawing/2014/main" id="{0C759BAB-AE17-42B3-BC4C-56DD18A45824}"/>
            </a:ext>
          </a:extLst>
        </xdr:cNvPr>
        <xdr:cNvSpPr/>
      </xdr:nvSpPr>
      <xdr:spPr>
        <a:xfrm>
          <a:off x="4438650" y="16189137"/>
          <a:ext cx="9525" cy="94615"/>
        </a:xfrm>
        <a:custGeom>
          <a:avLst/>
          <a:gdLst/>
          <a:ahLst/>
          <a:cxnLst/>
          <a:rect l="0" t="0" r="0" b="0"/>
          <a:pathLst>
            <a:path w="9525" h="94615">
              <a:moveTo>
                <a:pt x="9525" y="0"/>
              </a:moveTo>
              <a:lnTo>
                <a:pt x="0" y="9524"/>
              </a:lnTo>
              <a:lnTo>
                <a:pt x="0" y="94233"/>
              </a:lnTo>
              <a:lnTo>
                <a:pt x="9525" y="94233"/>
              </a:lnTo>
              <a:lnTo>
                <a:pt x="9525" y="0"/>
              </a:lnTo>
              <a:close/>
            </a:path>
          </a:pathLst>
        </a:custGeom>
        <a:solidFill>
          <a:srgbClr val="000000"/>
        </a:solidFill>
      </xdr:spPr>
    </xdr:sp>
    <xdr:clientData/>
  </xdr:oneCellAnchor>
  <xdr:oneCellAnchor>
    <xdr:from>
      <xdr:col>0</xdr:col>
      <xdr:colOff>350202</xdr:colOff>
      <xdr:row>136</xdr:row>
      <xdr:rowOff>995803</xdr:rowOff>
    </xdr:from>
    <xdr:ext cx="9525" cy="90805"/>
    <xdr:sp macro="" textlink="">
      <xdr:nvSpPr>
        <xdr:cNvPr id="10" name="Shape 10">
          <a:extLst>
            <a:ext uri="{FF2B5EF4-FFF2-40B4-BE49-F238E27FC236}">
              <a16:creationId xmlns:a16="http://schemas.microsoft.com/office/drawing/2014/main" id="{29535886-172D-4013-B840-C41D9F787897}"/>
            </a:ext>
          </a:extLst>
        </xdr:cNvPr>
        <xdr:cNvSpPr/>
      </xdr:nvSpPr>
      <xdr:spPr>
        <a:xfrm>
          <a:off x="350202" y="22179403"/>
          <a:ext cx="9525" cy="90805"/>
        </a:xfrm>
        <a:custGeom>
          <a:avLst/>
          <a:gdLst/>
          <a:ahLst/>
          <a:cxnLst/>
          <a:rect l="0" t="0" r="0" b="0"/>
          <a:pathLst>
            <a:path w="9525" h="90805">
              <a:moveTo>
                <a:pt x="9525" y="0"/>
              </a:moveTo>
              <a:lnTo>
                <a:pt x="0" y="0"/>
              </a:lnTo>
              <a:lnTo>
                <a:pt x="0" y="80899"/>
              </a:lnTo>
              <a:lnTo>
                <a:pt x="0" y="90424"/>
              </a:lnTo>
              <a:lnTo>
                <a:pt x="4762" y="85661"/>
              </a:lnTo>
              <a:lnTo>
                <a:pt x="9525" y="90424"/>
              </a:lnTo>
              <a:lnTo>
                <a:pt x="9525" y="80899"/>
              </a:lnTo>
              <a:lnTo>
                <a:pt x="9525" y="0"/>
              </a:lnTo>
              <a:close/>
            </a:path>
          </a:pathLst>
        </a:custGeom>
        <a:solidFill>
          <a:srgbClr val="000000"/>
        </a:solidFill>
      </xdr:spPr>
    </xdr:sp>
    <xdr:clientData/>
  </xdr:oneCellAnchor>
  <xdr:oneCellAnchor>
    <xdr:from>
      <xdr:col>0</xdr:col>
      <xdr:colOff>0</xdr:colOff>
      <xdr:row>136</xdr:row>
      <xdr:rowOff>995803</xdr:rowOff>
    </xdr:from>
    <xdr:ext cx="9525" cy="90805"/>
    <xdr:sp macro="" textlink="">
      <xdr:nvSpPr>
        <xdr:cNvPr id="11" name="Shape 11">
          <a:extLst>
            <a:ext uri="{FF2B5EF4-FFF2-40B4-BE49-F238E27FC236}">
              <a16:creationId xmlns:a16="http://schemas.microsoft.com/office/drawing/2014/main" id="{E32CB97F-02F8-4997-AEEF-280A886C3E93}"/>
            </a:ext>
          </a:extLst>
        </xdr:cNvPr>
        <xdr:cNvSpPr/>
      </xdr:nvSpPr>
      <xdr:spPr>
        <a:xfrm>
          <a:off x="0" y="22179403"/>
          <a:ext cx="9525" cy="90805"/>
        </a:xfrm>
        <a:custGeom>
          <a:avLst/>
          <a:gdLst/>
          <a:ahLst/>
          <a:cxnLst/>
          <a:rect l="0" t="0" r="0" b="0"/>
          <a:pathLst>
            <a:path w="9525" h="90805">
              <a:moveTo>
                <a:pt x="9525" y="0"/>
              </a:moveTo>
              <a:lnTo>
                <a:pt x="0" y="0"/>
              </a:lnTo>
              <a:lnTo>
                <a:pt x="0" y="90424"/>
              </a:lnTo>
              <a:lnTo>
                <a:pt x="9525" y="80899"/>
              </a:lnTo>
              <a:lnTo>
                <a:pt x="9525" y="0"/>
              </a:lnTo>
              <a:close/>
            </a:path>
          </a:pathLst>
        </a:custGeom>
        <a:solidFill>
          <a:srgbClr val="000000"/>
        </a:solidFill>
      </xdr:spPr>
    </xdr:sp>
    <xdr:clientData/>
  </xdr:oneCellAnchor>
  <xdr:oneCellAnchor>
    <xdr:from>
      <xdr:col>1</xdr:col>
      <xdr:colOff>0</xdr:colOff>
      <xdr:row>136</xdr:row>
      <xdr:rowOff>995803</xdr:rowOff>
    </xdr:from>
    <xdr:ext cx="9525" cy="90805"/>
    <xdr:sp macro="" textlink="">
      <xdr:nvSpPr>
        <xdr:cNvPr id="12" name="Shape 12">
          <a:extLst>
            <a:ext uri="{FF2B5EF4-FFF2-40B4-BE49-F238E27FC236}">
              <a16:creationId xmlns:a16="http://schemas.microsoft.com/office/drawing/2014/main" id="{17907E72-9040-4540-8BE6-B34750A8702A}"/>
            </a:ext>
          </a:extLst>
        </xdr:cNvPr>
        <xdr:cNvSpPr/>
      </xdr:nvSpPr>
      <xdr:spPr>
        <a:xfrm>
          <a:off x="352425" y="22179403"/>
          <a:ext cx="9525" cy="90805"/>
        </a:xfrm>
        <a:custGeom>
          <a:avLst/>
          <a:gdLst/>
          <a:ahLst/>
          <a:cxnLst/>
          <a:rect l="0" t="0" r="0" b="0"/>
          <a:pathLst>
            <a:path w="9525" h="90805">
              <a:moveTo>
                <a:pt x="9525" y="0"/>
              </a:moveTo>
              <a:lnTo>
                <a:pt x="0" y="0"/>
              </a:lnTo>
              <a:lnTo>
                <a:pt x="0" y="80899"/>
              </a:lnTo>
              <a:lnTo>
                <a:pt x="0" y="90424"/>
              </a:lnTo>
              <a:lnTo>
                <a:pt x="4762" y="85661"/>
              </a:lnTo>
              <a:lnTo>
                <a:pt x="9525" y="90424"/>
              </a:lnTo>
              <a:lnTo>
                <a:pt x="9525" y="80899"/>
              </a:lnTo>
              <a:lnTo>
                <a:pt x="9525" y="0"/>
              </a:lnTo>
              <a:close/>
            </a:path>
          </a:pathLst>
        </a:custGeom>
        <a:solidFill>
          <a:srgbClr val="000000"/>
        </a:solidFill>
      </xdr:spPr>
    </xdr:sp>
    <xdr:clientData/>
  </xdr:oneCellAnchor>
  <xdr:oneCellAnchor>
    <xdr:from>
      <xdr:col>2</xdr:col>
      <xdr:colOff>0</xdr:colOff>
      <xdr:row>136</xdr:row>
      <xdr:rowOff>995803</xdr:rowOff>
    </xdr:from>
    <xdr:ext cx="9525" cy="90805"/>
    <xdr:sp macro="" textlink="">
      <xdr:nvSpPr>
        <xdr:cNvPr id="13" name="Shape 13">
          <a:extLst>
            <a:ext uri="{FF2B5EF4-FFF2-40B4-BE49-F238E27FC236}">
              <a16:creationId xmlns:a16="http://schemas.microsoft.com/office/drawing/2014/main" id="{F5632C82-93E2-4C0F-89B4-5F790F45CD65}"/>
            </a:ext>
          </a:extLst>
        </xdr:cNvPr>
        <xdr:cNvSpPr/>
      </xdr:nvSpPr>
      <xdr:spPr>
        <a:xfrm>
          <a:off x="3390900" y="22179403"/>
          <a:ext cx="9525" cy="90805"/>
        </a:xfrm>
        <a:custGeom>
          <a:avLst/>
          <a:gdLst/>
          <a:ahLst/>
          <a:cxnLst/>
          <a:rect l="0" t="0" r="0" b="0"/>
          <a:pathLst>
            <a:path w="9525" h="90805">
              <a:moveTo>
                <a:pt x="9525" y="0"/>
              </a:moveTo>
              <a:lnTo>
                <a:pt x="0" y="0"/>
              </a:lnTo>
              <a:lnTo>
                <a:pt x="0" y="80899"/>
              </a:lnTo>
              <a:lnTo>
                <a:pt x="0" y="90424"/>
              </a:lnTo>
              <a:lnTo>
                <a:pt x="4762" y="85661"/>
              </a:lnTo>
              <a:lnTo>
                <a:pt x="9525" y="90424"/>
              </a:lnTo>
              <a:lnTo>
                <a:pt x="9525" y="80899"/>
              </a:lnTo>
              <a:lnTo>
                <a:pt x="9525" y="0"/>
              </a:lnTo>
              <a:close/>
            </a:path>
          </a:pathLst>
        </a:custGeom>
        <a:solidFill>
          <a:srgbClr val="000000"/>
        </a:solidFill>
      </xdr:spPr>
    </xdr:sp>
    <xdr:clientData/>
  </xdr:oneCellAnchor>
  <xdr:oneCellAnchor>
    <xdr:from>
      <xdr:col>2</xdr:col>
      <xdr:colOff>607377</xdr:colOff>
      <xdr:row>136</xdr:row>
      <xdr:rowOff>995803</xdr:rowOff>
    </xdr:from>
    <xdr:ext cx="9525" cy="90805"/>
    <xdr:sp macro="" textlink="">
      <xdr:nvSpPr>
        <xdr:cNvPr id="14" name="Shape 14">
          <a:extLst>
            <a:ext uri="{FF2B5EF4-FFF2-40B4-BE49-F238E27FC236}">
              <a16:creationId xmlns:a16="http://schemas.microsoft.com/office/drawing/2014/main" id="{0506A99A-E0A2-4AED-AA60-97C67FA925EF}"/>
            </a:ext>
          </a:extLst>
        </xdr:cNvPr>
        <xdr:cNvSpPr/>
      </xdr:nvSpPr>
      <xdr:spPr>
        <a:xfrm>
          <a:off x="3998277" y="22179403"/>
          <a:ext cx="9525" cy="90805"/>
        </a:xfrm>
        <a:custGeom>
          <a:avLst/>
          <a:gdLst/>
          <a:ahLst/>
          <a:cxnLst/>
          <a:rect l="0" t="0" r="0" b="0"/>
          <a:pathLst>
            <a:path w="9525" h="90805">
              <a:moveTo>
                <a:pt x="9525" y="0"/>
              </a:moveTo>
              <a:lnTo>
                <a:pt x="0" y="0"/>
              </a:lnTo>
              <a:lnTo>
                <a:pt x="0" y="80899"/>
              </a:lnTo>
              <a:lnTo>
                <a:pt x="0" y="90424"/>
              </a:lnTo>
              <a:lnTo>
                <a:pt x="4762" y="85661"/>
              </a:lnTo>
              <a:lnTo>
                <a:pt x="9525" y="90424"/>
              </a:lnTo>
              <a:lnTo>
                <a:pt x="9525" y="80899"/>
              </a:lnTo>
              <a:lnTo>
                <a:pt x="9525" y="0"/>
              </a:lnTo>
              <a:close/>
            </a:path>
          </a:pathLst>
        </a:custGeom>
        <a:solidFill>
          <a:srgbClr val="000000"/>
        </a:solidFill>
      </xdr:spPr>
    </xdr:sp>
    <xdr:clientData/>
  </xdr:oneCellAnchor>
  <xdr:oneCellAnchor>
    <xdr:from>
      <xdr:col>3</xdr:col>
      <xdr:colOff>437197</xdr:colOff>
      <xdr:row>136</xdr:row>
      <xdr:rowOff>995803</xdr:rowOff>
    </xdr:from>
    <xdr:ext cx="9525" cy="90805"/>
    <xdr:sp macro="" textlink="">
      <xdr:nvSpPr>
        <xdr:cNvPr id="15" name="Shape 15">
          <a:extLst>
            <a:ext uri="{FF2B5EF4-FFF2-40B4-BE49-F238E27FC236}">
              <a16:creationId xmlns:a16="http://schemas.microsoft.com/office/drawing/2014/main" id="{CB35742B-5577-48C6-BB8C-8016E79B4F9C}"/>
            </a:ext>
          </a:extLst>
        </xdr:cNvPr>
        <xdr:cNvSpPr/>
      </xdr:nvSpPr>
      <xdr:spPr>
        <a:xfrm>
          <a:off x="4437697" y="22179403"/>
          <a:ext cx="9525" cy="90805"/>
        </a:xfrm>
        <a:custGeom>
          <a:avLst/>
          <a:gdLst/>
          <a:ahLst/>
          <a:cxnLst/>
          <a:rect l="0" t="0" r="0" b="0"/>
          <a:pathLst>
            <a:path w="9525" h="90805">
              <a:moveTo>
                <a:pt x="9525" y="0"/>
              </a:moveTo>
              <a:lnTo>
                <a:pt x="0" y="0"/>
              </a:lnTo>
              <a:lnTo>
                <a:pt x="0" y="80899"/>
              </a:lnTo>
              <a:lnTo>
                <a:pt x="0" y="90424"/>
              </a:lnTo>
              <a:lnTo>
                <a:pt x="4762" y="85661"/>
              </a:lnTo>
              <a:lnTo>
                <a:pt x="9525" y="90424"/>
              </a:lnTo>
              <a:lnTo>
                <a:pt x="9525" y="80899"/>
              </a:lnTo>
              <a:lnTo>
                <a:pt x="9525" y="0"/>
              </a:lnTo>
              <a:close/>
            </a:path>
          </a:pathLst>
        </a:custGeom>
        <a:solidFill>
          <a:srgbClr val="000000"/>
        </a:solidFill>
      </xdr:spPr>
    </xdr:sp>
    <xdr:clientData/>
  </xdr:oneCellAnchor>
  <xdr:oneCellAnchor>
    <xdr:from>
      <xdr:col>4</xdr:col>
      <xdr:colOff>0</xdr:colOff>
      <xdr:row>136</xdr:row>
      <xdr:rowOff>995803</xdr:rowOff>
    </xdr:from>
    <xdr:ext cx="9525" cy="90805"/>
    <xdr:sp macro="" textlink="">
      <xdr:nvSpPr>
        <xdr:cNvPr id="16" name="Shape 16">
          <a:extLst>
            <a:ext uri="{FF2B5EF4-FFF2-40B4-BE49-F238E27FC236}">
              <a16:creationId xmlns:a16="http://schemas.microsoft.com/office/drawing/2014/main" id="{DB23C5AE-6F8D-41A8-AD4F-33D6729EF9F0}"/>
            </a:ext>
          </a:extLst>
        </xdr:cNvPr>
        <xdr:cNvSpPr/>
      </xdr:nvSpPr>
      <xdr:spPr>
        <a:xfrm>
          <a:off x="4438650" y="22179403"/>
          <a:ext cx="9525" cy="90805"/>
        </a:xfrm>
        <a:custGeom>
          <a:avLst/>
          <a:gdLst/>
          <a:ahLst/>
          <a:cxnLst/>
          <a:rect l="0" t="0" r="0" b="0"/>
          <a:pathLst>
            <a:path w="9525" h="90805">
              <a:moveTo>
                <a:pt x="9525" y="0"/>
              </a:moveTo>
              <a:lnTo>
                <a:pt x="0" y="0"/>
              </a:lnTo>
              <a:lnTo>
                <a:pt x="0" y="80899"/>
              </a:lnTo>
              <a:lnTo>
                <a:pt x="0" y="90424"/>
              </a:lnTo>
              <a:lnTo>
                <a:pt x="4762" y="85661"/>
              </a:lnTo>
              <a:lnTo>
                <a:pt x="9525" y="90424"/>
              </a:lnTo>
              <a:lnTo>
                <a:pt x="9525" y="80899"/>
              </a:lnTo>
              <a:lnTo>
                <a:pt x="9525" y="0"/>
              </a:lnTo>
              <a:close/>
            </a:path>
          </a:pathLst>
        </a:custGeom>
        <a:solidFill>
          <a:srgbClr val="000000"/>
        </a:solidFill>
      </xdr:spPr>
    </xdr:sp>
    <xdr:clientData/>
  </xdr:oneCellAnchor>
  <xdr:oneCellAnchor>
    <xdr:from>
      <xdr:col>4</xdr:col>
      <xdr:colOff>0</xdr:colOff>
      <xdr:row>136</xdr:row>
      <xdr:rowOff>995803</xdr:rowOff>
    </xdr:from>
    <xdr:ext cx="9525" cy="90805"/>
    <xdr:sp macro="" textlink="">
      <xdr:nvSpPr>
        <xdr:cNvPr id="17" name="Shape 17">
          <a:extLst>
            <a:ext uri="{FF2B5EF4-FFF2-40B4-BE49-F238E27FC236}">
              <a16:creationId xmlns:a16="http://schemas.microsoft.com/office/drawing/2014/main" id="{5A13EE83-C3C1-4297-B798-DA60CE5CDCF7}"/>
            </a:ext>
          </a:extLst>
        </xdr:cNvPr>
        <xdr:cNvSpPr/>
      </xdr:nvSpPr>
      <xdr:spPr>
        <a:xfrm>
          <a:off x="4438650" y="22179403"/>
          <a:ext cx="9525" cy="90805"/>
        </a:xfrm>
        <a:custGeom>
          <a:avLst/>
          <a:gdLst/>
          <a:ahLst/>
          <a:cxnLst/>
          <a:rect l="0" t="0" r="0" b="0"/>
          <a:pathLst>
            <a:path w="9525" h="90805">
              <a:moveTo>
                <a:pt x="9525" y="0"/>
              </a:moveTo>
              <a:lnTo>
                <a:pt x="0" y="0"/>
              </a:lnTo>
              <a:lnTo>
                <a:pt x="0" y="80899"/>
              </a:lnTo>
              <a:lnTo>
                <a:pt x="9525" y="90424"/>
              </a:lnTo>
              <a:lnTo>
                <a:pt x="9525" y="0"/>
              </a:lnTo>
              <a:close/>
            </a:path>
          </a:pathLst>
        </a:custGeom>
        <a:solidFill>
          <a:srgbClr val="000000"/>
        </a:solidFill>
      </xdr:spPr>
    </xdr:sp>
    <xdr:clientData/>
  </xdr:oneCellAnchor>
  <xdr:oneCellAnchor>
    <xdr:from>
      <xdr:col>0</xdr:col>
      <xdr:colOff>350202</xdr:colOff>
      <xdr:row>223</xdr:row>
      <xdr:rowOff>1457396</xdr:rowOff>
    </xdr:from>
    <xdr:ext cx="9525" cy="75565"/>
    <xdr:sp macro="" textlink="">
      <xdr:nvSpPr>
        <xdr:cNvPr id="18" name="Shape 18">
          <a:extLst>
            <a:ext uri="{FF2B5EF4-FFF2-40B4-BE49-F238E27FC236}">
              <a16:creationId xmlns:a16="http://schemas.microsoft.com/office/drawing/2014/main" id="{7F575E46-B56A-4F69-ABB3-8A54B970C084}"/>
            </a:ext>
          </a:extLst>
        </xdr:cNvPr>
        <xdr:cNvSpPr/>
      </xdr:nvSpPr>
      <xdr:spPr>
        <a:xfrm>
          <a:off x="350202" y="36271271"/>
          <a:ext cx="9525" cy="75565"/>
        </a:xfrm>
        <a:custGeom>
          <a:avLst/>
          <a:gdLst/>
          <a:ahLst/>
          <a:cxnLst/>
          <a:rect l="0" t="0" r="0" b="0"/>
          <a:pathLst>
            <a:path w="9525" h="75565">
              <a:moveTo>
                <a:pt x="9525" y="0"/>
              </a:moveTo>
              <a:lnTo>
                <a:pt x="4762" y="4762"/>
              </a:lnTo>
              <a:lnTo>
                <a:pt x="0" y="0"/>
              </a:lnTo>
              <a:lnTo>
                <a:pt x="0" y="9525"/>
              </a:lnTo>
              <a:lnTo>
                <a:pt x="0" y="75184"/>
              </a:lnTo>
              <a:lnTo>
                <a:pt x="9525" y="75184"/>
              </a:lnTo>
              <a:lnTo>
                <a:pt x="9525" y="9525"/>
              </a:lnTo>
              <a:lnTo>
                <a:pt x="9525" y="0"/>
              </a:lnTo>
              <a:close/>
            </a:path>
          </a:pathLst>
        </a:custGeom>
        <a:solidFill>
          <a:srgbClr val="000000"/>
        </a:solidFill>
      </xdr:spPr>
    </xdr:sp>
    <xdr:clientData/>
  </xdr:oneCellAnchor>
  <xdr:oneCellAnchor>
    <xdr:from>
      <xdr:col>0</xdr:col>
      <xdr:colOff>0</xdr:colOff>
      <xdr:row>223</xdr:row>
      <xdr:rowOff>1457396</xdr:rowOff>
    </xdr:from>
    <xdr:ext cx="9525" cy="75565"/>
    <xdr:sp macro="" textlink="">
      <xdr:nvSpPr>
        <xdr:cNvPr id="19" name="Shape 19">
          <a:extLst>
            <a:ext uri="{FF2B5EF4-FFF2-40B4-BE49-F238E27FC236}">
              <a16:creationId xmlns:a16="http://schemas.microsoft.com/office/drawing/2014/main" id="{50117B2D-A898-4903-97D9-4D2262E6BB15}"/>
            </a:ext>
          </a:extLst>
        </xdr:cNvPr>
        <xdr:cNvSpPr/>
      </xdr:nvSpPr>
      <xdr:spPr>
        <a:xfrm>
          <a:off x="0" y="36271271"/>
          <a:ext cx="9525" cy="75565"/>
        </a:xfrm>
        <a:custGeom>
          <a:avLst/>
          <a:gdLst/>
          <a:ahLst/>
          <a:cxnLst/>
          <a:rect l="0" t="0" r="0" b="0"/>
          <a:pathLst>
            <a:path w="9525" h="75565">
              <a:moveTo>
                <a:pt x="0" y="0"/>
              </a:moveTo>
              <a:lnTo>
                <a:pt x="0" y="75183"/>
              </a:lnTo>
              <a:lnTo>
                <a:pt x="9525" y="75183"/>
              </a:lnTo>
              <a:lnTo>
                <a:pt x="9525" y="9524"/>
              </a:lnTo>
              <a:lnTo>
                <a:pt x="0" y="0"/>
              </a:lnTo>
              <a:close/>
            </a:path>
          </a:pathLst>
        </a:custGeom>
        <a:solidFill>
          <a:srgbClr val="000000"/>
        </a:solidFill>
      </xdr:spPr>
    </xdr:sp>
    <xdr:clientData/>
  </xdr:oneCellAnchor>
  <xdr:oneCellAnchor>
    <xdr:from>
      <xdr:col>1</xdr:col>
      <xdr:colOff>0</xdr:colOff>
      <xdr:row>223</xdr:row>
      <xdr:rowOff>1457396</xdr:rowOff>
    </xdr:from>
    <xdr:ext cx="9525" cy="75565"/>
    <xdr:sp macro="" textlink="">
      <xdr:nvSpPr>
        <xdr:cNvPr id="20" name="Shape 20">
          <a:extLst>
            <a:ext uri="{FF2B5EF4-FFF2-40B4-BE49-F238E27FC236}">
              <a16:creationId xmlns:a16="http://schemas.microsoft.com/office/drawing/2014/main" id="{427DBE33-8568-49DE-9D69-DD336DAD474B}"/>
            </a:ext>
          </a:extLst>
        </xdr:cNvPr>
        <xdr:cNvSpPr/>
      </xdr:nvSpPr>
      <xdr:spPr>
        <a:xfrm>
          <a:off x="352425" y="36271271"/>
          <a:ext cx="9525" cy="75565"/>
        </a:xfrm>
        <a:custGeom>
          <a:avLst/>
          <a:gdLst/>
          <a:ahLst/>
          <a:cxnLst/>
          <a:rect l="0" t="0" r="0" b="0"/>
          <a:pathLst>
            <a:path w="9525" h="75565">
              <a:moveTo>
                <a:pt x="9525" y="0"/>
              </a:moveTo>
              <a:lnTo>
                <a:pt x="4762" y="4762"/>
              </a:lnTo>
              <a:lnTo>
                <a:pt x="0" y="0"/>
              </a:lnTo>
              <a:lnTo>
                <a:pt x="0" y="9525"/>
              </a:lnTo>
              <a:lnTo>
                <a:pt x="0" y="75184"/>
              </a:lnTo>
              <a:lnTo>
                <a:pt x="9525" y="75184"/>
              </a:lnTo>
              <a:lnTo>
                <a:pt x="9525" y="9525"/>
              </a:lnTo>
              <a:lnTo>
                <a:pt x="9525" y="0"/>
              </a:lnTo>
              <a:close/>
            </a:path>
          </a:pathLst>
        </a:custGeom>
        <a:solidFill>
          <a:srgbClr val="000000"/>
        </a:solidFill>
      </xdr:spPr>
    </xdr:sp>
    <xdr:clientData/>
  </xdr:oneCellAnchor>
  <xdr:oneCellAnchor>
    <xdr:from>
      <xdr:col>2</xdr:col>
      <xdr:colOff>0</xdr:colOff>
      <xdr:row>223</xdr:row>
      <xdr:rowOff>1457396</xdr:rowOff>
    </xdr:from>
    <xdr:ext cx="9525" cy="75565"/>
    <xdr:sp macro="" textlink="">
      <xdr:nvSpPr>
        <xdr:cNvPr id="21" name="Shape 21">
          <a:extLst>
            <a:ext uri="{FF2B5EF4-FFF2-40B4-BE49-F238E27FC236}">
              <a16:creationId xmlns:a16="http://schemas.microsoft.com/office/drawing/2014/main" id="{4B609E17-BE3D-47CD-9D1F-52E017CBD887}"/>
            </a:ext>
          </a:extLst>
        </xdr:cNvPr>
        <xdr:cNvSpPr/>
      </xdr:nvSpPr>
      <xdr:spPr>
        <a:xfrm>
          <a:off x="3390900" y="36271271"/>
          <a:ext cx="9525" cy="75565"/>
        </a:xfrm>
        <a:custGeom>
          <a:avLst/>
          <a:gdLst/>
          <a:ahLst/>
          <a:cxnLst/>
          <a:rect l="0" t="0" r="0" b="0"/>
          <a:pathLst>
            <a:path w="9525" h="75565">
              <a:moveTo>
                <a:pt x="9525" y="0"/>
              </a:moveTo>
              <a:lnTo>
                <a:pt x="4762" y="4762"/>
              </a:lnTo>
              <a:lnTo>
                <a:pt x="0" y="0"/>
              </a:lnTo>
              <a:lnTo>
                <a:pt x="0" y="9525"/>
              </a:lnTo>
              <a:lnTo>
                <a:pt x="0" y="75184"/>
              </a:lnTo>
              <a:lnTo>
                <a:pt x="9525" y="75184"/>
              </a:lnTo>
              <a:lnTo>
                <a:pt x="9525" y="9525"/>
              </a:lnTo>
              <a:lnTo>
                <a:pt x="9525" y="0"/>
              </a:lnTo>
              <a:close/>
            </a:path>
          </a:pathLst>
        </a:custGeom>
        <a:solidFill>
          <a:srgbClr val="000000"/>
        </a:solidFill>
      </xdr:spPr>
    </xdr:sp>
    <xdr:clientData/>
  </xdr:oneCellAnchor>
  <xdr:oneCellAnchor>
    <xdr:from>
      <xdr:col>2</xdr:col>
      <xdr:colOff>607377</xdr:colOff>
      <xdr:row>223</xdr:row>
      <xdr:rowOff>1457396</xdr:rowOff>
    </xdr:from>
    <xdr:ext cx="9525" cy="75565"/>
    <xdr:sp macro="" textlink="">
      <xdr:nvSpPr>
        <xdr:cNvPr id="22" name="Shape 22">
          <a:extLst>
            <a:ext uri="{FF2B5EF4-FFF2-40B4-BE49-F238E27FC236}">
              <a16:creationId xmlns:a16="http://schemas.microsoft.com/office/drawing/2014/main" id="{24984F4D-2263-48C3-B3D8-160E9AEECEFF}"/>
            </a:ext>
          </a:extLst>
        </xdr:cNvPr>
        <xdr:cNvSpPr/>
      </xdr:nvSpPr>
      <xdr:spPr>
        <a:xfrm>
          <a:off x="3998277" y="36271271"/>
          <a:ext cx="9525" cy="75565"/>
        </a:xfrm>
        <a:custGeom>
          <a:avLst/>
          <a:gdLst/>
          <a:ahLst/>
          <a:cxnLst/>
          <a:rect l="0" t="0" r="0" b="0"/>
          <a:pathLst>
            <a:path w="9525" h="75565">
              <a:moveTo>
                <a:pt x="9525" y="0"/>
              </a:moveTo>
              <a:lnTo>
                <a:pt x="4762" y="4762"/>
              </a:lnTo>
              <a:lnTo>
                <a:pt x="0" y="0"/>
              </a:lnTo>
              <a:lnTo>
                <a:pt x="0" y="9525"/>
              </a:lnTo>
              <a:lnTo>
                <a:pt x="0" y="75184"/>
              </a:lnTo>
              <a:lnTo>
                <a:pt x="9525" y="75184"/>
              </a:lnTo>
              <a:lnTo>
                <a:pt x="9525" y="9525"/>
              </a:lnTo>
              <a:lnTo>
                <a:pt x="9525" y="0"/>
              </a:lnTo>
              <a:close/>
            </a:path>
          </a:pathLst>
        </a:custGeom>
        <a:solidFill>
          <a:srgbClr val="000000"/>
        </a:solidFill>
      </xdr:spPr>
    </xdr:sp>
    <xdr:clientData/>
  </xdr:oneCellAnchor>
  <xdr:oneCellAnchor>
    <xdr:from>
      <xdr:col>3</xdr:col>
      <xdr:colOff>437197</xdr:colOff>
      <xdr:row>223</xdr:row>
      <xdr:rowOff>1457396</xdr:rowOff>
    </xdr:from>
    <xdr:ext cx="9525" cy="75565"/>
    <xdr:sp macro="" textlink="">
      <xdr:nvSpPr>
        <xdr:cNvPr id="23" name="Shape 23">
          <a:extLst>
            <a:ext uri="{FF2B5EF4-FFF2-40B4-BE49-F238E27FC236}">
              <a16:creationId xmlns:a16="http://schemas.microsoft.com/office/drawing/2014/main" id="{049837DA-054C-4A05-96EF-6F032B0A76A2}"/>
            </a:ext>
          </a:extLst>
        </xdr:cNvPr>
        <xdr:cNvSpPr/>
      </xdr:nvSpPr>
      <xdr:spPr>
        <a:xfrm>
          <a:off x="4437697" y="36271271"/>
          <a:ext cx="9525" cy="75565"/>
        </a:xfrm>
        <a:custGeom>
          <a:avLst/>
          <a:gdLst/>
          <a:ahLst/>
          <a:cxnLst/>
          <a:rect l="0" t="0" r="0" b="0"/>
          <a:pathLst>
            <a:path w="9525" h="75565">
              <a:moveTo>
                <a:pt x="9525" y="0"/>
              </a:moveTo>
              <a:lnTo>
                <a:pt x="4762" y="4762"/>
              </a:lnTo>
              <a:lnTo>
                <a:pt x="0" y="0"/>
              </a:lnTo>
              <a:lnTo>
                <a:pt x="0" y="9525"/>
              </a:lnTo>
              <a:lnTo>
                <a:pt x="0" y="75184"/>
              </a:lnTo>
              <a:lnTo>
                <a:pt x="9525" y="75184"/>
              </a:lnTo>
              <a:lnTo>
                <a:pt x="9525" y="9525"/>
              </a:lnTo>
              <a:lnTo>
                <a:pt x="9525" y="0"/>
              </a:lnTo>
              <a:close/>
            </a:path>
          </a:pathLst>
        </a:custGeom>
        <a:solidFill>
          <a:srgbClr val="000000"/>
        </a:solidFill>
      </xdr:spPr>
    </xdr:sp>
    <xdr:clientData/>
  </xdr:oneCellAnchor>
  <xdr:oneCellAnchor>
    <xdr:from>
      <xdr:col>4</xdr:col>
      <xdr:colOff>0</xdr:colOff>
      <xdr:row>223</xdr:row>
      <xdr:rowOff>1457396</xdr:rowOff>
    </xdr:from>
    <xdr:ext cx="9525" cy="75565"/>
    <xdr:sp macro="" textlink="">
      <xdr:nvSpPr>
        <xdr:cNvPr id="24" name="Shape 24">
          <a:extLst>
            <a:ext uri="{FF2B5EF4-FFF2-40B4-BE49-F238E27FC236}">
              <a16:creationId xmlns:a16="http://schemas.microsoft.com/office/drawing/2014/main" id="{E13DBFE6-2784-4B2A-A8CF-179920C0587C}"/>
            </a:ext>
          </a:extLst>
        </xdr:cNvPr>
        <xdr:cNvSpPr/>
      </xdr:nvSpPr>
      <xdr:spPr>
        <a:xfrm>
          <a:off x="4438650" y="36271271"/>
          <a:ext cx="9525" cy="75565"/>
        </a:xfrm>
        <a:custGeom>
          <a:avLst/>
          <a:gdLst/>
          <a:ahLst/>
          <a:cxnLst/>
          <a:rect l="0" t="0" r="0" b="0"/>
          <a:pathLst>
            <a:path w="9525" h="75565">
              <a:moveTo>
                <a:pt x="9525" y="0"/>
              </a:moveTo>
              <a:lnTo>
                <a:pt x="4762" y="4762"/>
              </a:lnTo>
              <a:lnTo>
                <a:pt x="0" y="0"/>
              </a:lnTo>
              <a:lnTo>
                <a:pt x="0" y="9525"/>
              </a:lnTo>
              <a:lnTo>
                <a:pt x="0" y="75184"/>
              </a:lnTo>
              <a:lnTo>
                <a:pt x="9525" y="75184"/>
              </a:lnTo>
              <a:lnTo>
                <a:pt x="9525" y="9525"/>
              </a:lnTo>
              <a:lnTo>
                <a:pt x="9525" y="0"/>
              </a:lnTo>
              <a:close/>
            </a:path>
          </a:pathLst>
        </a:custGeom>
        <a:solidFill>
          <a:srgbClr val="000000"/>
        </a:solidFill>
      </xdr:spPr>
    </xdr:sp>
    <xdr:clientData/>
  </xdr:oneCellAnchor>
  <xdr:oneCellAnchor>
    <xdr:from>
      <xdr:col>4</xdr:col>
      <xdr:colOff>0</xdr:colOff>
      <xdr:row>223</xdr:row>
      <xdr:rowOff>1457396</xdr:rowOff>
    </xdr:from>
    <xdr:ext cx="9525" cy="75565"/>
    <xdr:sp macro="" textlink="">
      <xdr:nvSpPr>
        <xdr:cNvPr id="25" name="Shape 25">
          <a:extLst>
            <a:ext uri="{FF2B5EF4-FFF2-40B4-BE49-F238E27FC236}">
              <a16:creationId xmlns:a16="http://schemas.microsoft.com/office/drawing/2014/main" id="{8AE2FC40-C415-4D1E-8F1E-424FB6E49FF4}"/>
            </a:ext>
          </a:extLst>
        </xdr:cNvPr>
        <xdr:cNvSpPr/>
      </xdr:nvSpPr>
      <xdr:spPr>
        <a:xfrm>
          <a:off x="4438650" y="36271271"/>
          <a:ext cx="9525" cy="75565"/>
        </a:xfrm>
        <a:custGeom>
          <a:avLst/>
          <a:gdLst/>
          <a:ahLst/>
          <a:cxnLst/>
          <a:rect l="0" t="0" r="0" b="0"/>
          <a:pathLst>
            <a:path w="9525" h="75565">
              <a:moveTo>
                <a:pt x="9525" y="0"/>
              </a:moveTo>
              <a:lnTo>
                <a:pt x="0" y="9524"/>
              </a:lnTo>
              <a:lnTo>
                <a:pt x="0" y="75183"/>
              </a:lnTo>
              <a:lnTo>
                <a:pt x="9525" y="75183"/>
              </a:lnTo>
              <a:lnTo>
                <a:pt x="9525" y="0"/>
              </a:lnTo>
              <a:close/>
            </a:path>
          </a:pathLst>
        </a:custGeom>
        <a:solidFill>
          <a:srgbClr val="000000"/>
        </a:solidFill>
      </xdr:spPr>
    </xdr:sp>
    <xdr:clientData/>
  </xdr:oneCellAnchor>
  <xdr:oneCellAnchor>
    <xdr:from>
      <xdr:col>0</xdr:col>
      <xdr:colOff>350202</xdr:colOff>
      <xdr:row>257</xdr:row>
      <xdr:rowOff>445264</xdr:rowOff>
    </xdr:from>
    <xdr:ext cx="9525" cy="71755"/>
    <xdr:sp macro="" textlink="">
      <xdr:nvSpPr>
        <xdr:cNvPr id="26" name="Shape 26">
          <a:extLst>
            <a:ext uri="{FF2B5EF4-FFF2-40B4-BE49-F238E27FC236}">
              <a16:creationId xmlns:a16="http://schemas.microsoft.com/office/drawing/2014/main" id="{FD126A62-2C6D-48B6-856D-51863C14B0A9}"/>
            </a:ext>
          </a:extLst>
        </xdr:cNvPr>
        <xdr:cNvSpPr/>
      </xdr:nvSpPr>
      <xdr:spPr>
        <a:xfrm>
          <a:off x="350202" y="41774239"/>
          <a:ext cx="9525" cy="71755"/>
        </a:xfrm>
        <a:custGeom>
          <a:avLst/>
          <a:gdLst/>
          <a:ahLst/>
          <a:cxnLst/>
          <a:rect l="0" t="0" r="0" b="0"/>
          <a:pathLst>
            <a:path w="9525" h="71755">
              <a:moveTo>
                <a:pt x="9525" y="0"/>
              </a:moveTo>
              <a:lnTo>
                <a:pt x="0" y="0"/>
              </a:lnTo>
              <a:lnTo>
                <a:pt x="0" y="61849"/>
              </a:lnTo>
              <a:lnTo>
                <a:pt x="0" y="71374"/>
              </a:lnTo>
              <a:lnTo>
                <a:pt x="4762" y="66611"/>
              </a:lnTo>
              <a:lnTo>
                <a:pt x="9525" y="71374"/>
              </a:lnTo>
              <a:lnTo>
                <a:pt x="9525" y="61849"/>
              </a:lnTo>
              <a:lnTo>
                <a:pt x="9525" y="0"/>
              </a:lnTo>
              <a:close/>
            </a:path>
          </a:pathLst>
        </a:custGeom>
        <a:solidFill>
          <a:srgbClr val="000000"/>
        </a:solidFill>
      </xdr:spPr>
    </xdr:sp>
    <xdr:clientData/>
  </xdr:oneCellAnchor>
  <xdr:oneCellAnchor>
    <xdr:from>
      <xdr:col>1</xdr:col>
      <xdr:colOff>0</xdr:colOff>
      <xdr:row>257</xdr:row>
      <xdr:rowOff>445264</xdr:rowOff>
    </xdr:from>
    <xdr:ext cx="9525" cy="71755"/>
    <xdr:sp macro="" textlink="">
      <xdr:nvSpPr>
        <xdr:cNvPr id="27" name="Shape 27">
          <a:extLst>
            <a:ext uri="{FF2B5EF4-FFF2-40B4-BE49-F238E27FC236}">
              <a16:creationId xmlns:a16="http://schemas.microsoft.com/office/drawing/2014/main" id="{B4FF2DAF-1C00-4BD2-ABDC-87439FB24D0B}"/>
            </a:ext>
          </a:extLst>
        </xdr:cNvPr>
        <xdr:cNvSpPr/>
      </xdr:nvSpPr>
      <xdr:spPr>
        <a:xfrm>
          <a:off x="352425" y="41774239"/>
          <a:ext cx="9525" cy="71755"/>
        </a:xfrm>
        <a:custGeom>
          <a:avLst/>
          <a:gdLst/>
          <a:ahLst/>
          <a:cxnLst/>
          <a:rect l="0" t="0" r="0" b="0"/>
          <a:pathLst>
            <a:path w="9525" h="71755">
              <a:moveTo>
                <a:pt x="9525" y="0"/>
              </a:moveTo>
              <a:lnTo>
                <a:pt x="0" y="0"/>
              </a:lnTo>
              <a:lnTo>
                <a:pt x="0" y="61849"/>
              </a:lnTo>
              <a:lnTo>
                <a:pt x="0" y="71374"/>
              </a:lnTo>
              <a:lnTo>
                <a:pt x="4762" y="66611"/>
              </a:lnTo>
              <a:lnTo>
                <a:pt x="9525" y="71374"/>
              </a:lnTo>
              <a:lnTo>
                <a:pt x="9525" y="61849"/>
              </a:lnTo>
              <a:lnTo>
                <a:pt x="9525" y="0"/>
              </a:lnTo>
              <a:close/>
            </a:path>
          </a:pathLst>
        </a:custGeom>
        <a:solidFill>
          <a:srgbClr val="000000"/>
        </a:solidFill>
      </xdr:spPr>
    </xdr:sp>
    <xdr:clientData/>
  </xdr:oneCellAnchor>
  <xdr:oneCellAnchor>
    <xdr:from>
      <xdr:col>2</xdr:col>
      <xdr:colOff>0</xdr:colOff>
      <xdr:row>257</xdr:row>
      <xdr:rowOff>445264</xdr:rowOff>
    </xdr:from>
    <xdr:ext cx="9525" cy="71755"/>
    <xdr:sp macro="" textlink="">
      <xdr:nvSpPr>
        <xdr:cNvPr id="28" name="Shape 28">
          <a:extLst>
            <a:ext uri="{FF2B5EF4-FFF2-40B4-BE49-F238E27FC236}">
              <a16:creationId xmlns:a16="http://schemas.microsoft.com/office/drawing/2014/main" id="{0BFF7BFA-35BA-4156-BC01-18916FFE9F9F}"/>
            </a:ext>
          </a:extLst>
        </xdr:cNvPr>
        <xdr:cNvSpPr/>
      </xdr:nvSpPr>
      <xdr:spPr>
        <a:xfrm>
          <a:off x="3390900" y="41774239"/>
          <a:ext cx="9525" cy="71755"/>
        </a:xfrm>
        <a:custGeom>
          <a:avLst/>
          <a:gdLst/>
          <a:ahLst/>
          <a:cxnLst/>
          <a:rect l="0" t="0" r="0" b="0"/>
          <a:pathLst>
            <a:path w="9525" h="71755">
              <a:moveTo>
                <a:pt x="9525" y="0"/>
              </a:moveTo>
              <a:lnTo>
                <a:pt x="0" y="0"/>
              </a:lnTo>
              <a:lnTo>
                <a:pt x="0" y="61849"/>
              </a:lnTo>
              <a:lnTo>
                <a:pt x="0" y="71374"/>
              </a:lnTo>
              <a:lnTo>
                <a:pt x="4762" y="66611"/>
              </a:lnTo>
              <a:lnTo>
                <a:pt x="9525" y="71374"/>
              </a:lnTo>
              <a:lnTo>
                <a:pt x="9525" y="61849"/>
              </a:lnTo>
              <a:lnTo>
                <a:pt x="9525" y="0"/>
              </a:lnTo>
              <a:close/>
            </a:path>
          </a:pathLst>
        </a:custGeom>
        <a:solidFill>
          <a:srgbClr val="000000"/>
        </a:solidFill>
      </xdr:spPr>
    </xdr:sp>
    <xdr:clientData/>
  </xdr:oneCellAnchor>
  <xdr:oneCellAnchor>
    <xdr:from>
      <xdr:col>2</xdr:col>
      <xdr:colOff>607377</xdr:colOff>
      <xdr:row>257</xdr:row>
      <xdr:rowOff>445264</xdr:rowOff>
    </xdr:from>
    <xdr:ext cx="9525" cy="71755"/>
    <xdr:sp macro="" textlink="">
      <xdr:nvSpPr>
        <xdr:cNvPr id="29" name="Shape 29">
          <a:extLst>
            <a:ext uri="{FF2B5EF4-FFF2-40B4-BE49-F238E27FC236}">
              <a16:creationId xmlns:a16="http://schemas.microsoft.com/office/drawing/2014/main" id="{D48FF220-18C1-47A3-9078-EF2BDF71E6D4}"/>
            </a:ext>
          </a:extLst>
        </xdr:cNvPr>
        <xdr:cNvSpPr/>
      </xdr:nvSpPr>
      <xdr:spPr>
        <a:xfrm>
          <a:off x="3998277" y="41774239"/>
          <a:ext cx="9525" cy="71755"/>
        </a:xfrm>
        <a:custGeom>
          <a:avLst/>
          <a:gdLst/>
          <a:ahLst/>
          <a:cxnLst/>
          <a:rect l="0" t="0" r="0" b="0"/>
          <a:pathLst>
            <a:path w="9525" h="71755">
              <a:moveTo>
                <a:pt x="9525" y="0"/>
              </a:moveTo>
              <a:lnTo>
                <a:pt x="0" y="0"/>
              </a:lnTo>
              <a:lnTo>
                <a:pt x="0" y="61849"/>
              </a:lnTo>
              <a:lnTo>
                <a:pt x="0" y="71374"/>
              </a:lnTo>
              <a:lnTo>
                <a:pt x="4762" y="66611"/>
              </a:lnTo>
              <a:lnTo>
                <a:pt x="9525" y="71374"/>
              </a:lnTo>
              <a:lnTo>
                <a:pt x="9525" y="61849"/>
              </a:lnTo>
              <a:lnTo>
                <a:pt x="9525" y="0"/>
              </a:lnTo>
              <a:close/>
            </a:path>
          </a:pathLst>
        </a:custGeom>
        <a:solidFill>
          <a:srgbClr val="000000"/>
        </a:solidFill>
      </xdr:spPr>
    </xdr:sp>
    <xdr:clientData/>
  </xdr:oneCellAnchor>
  <xdr:oneCellAnchor>
    <xdr:from>
      <xdr:col>3</xdr:col>
      <xdr:colOff>437197</xdr:colOff>
      <xdr:row>257</xdr:row>
      <xdr:rowOff>445264</xdr:rowOff>
    </xdr:from>
    <xdr:ext cx="9525" cy="71755"/>
    <xdr:sp macro="" textlink="">
      <xdr:nvSpPr>
        <xdr:cNvPr id="30" name="Shape 30">
          <a:extLst>
            <a:ext uri="{FF2B5EF4-FFF2-40B4-BE49-F238E27FC236}">
              <a16:creationId xmlns:a16="http://schemas.microsoft.com/office/drawing/2014/main" id="{A2D8C2FA-ADA7-4E5A-81BC-51D88BF0AF84}"/>
            </a:ext>
          </a:extLst>
        </xdr:cNvPr>
        <xdr:cNvSpPr/>
      </xdr:nvSpPr>
      <xdr:spPr>
        <a:xfrm>
          <a:off x="4437697" y="41774239"/>
          <a:ext cx="9525" cy="71755"/>
        </a:xfrm>
        <a:custGeom>
          <a:avLst/>
          <a:gdLst/>
          <a:ahLst/>
          <a:cxnLst/>
          <a:rect l="0" t="0" r="0" b="0"/>
          <a:pathLst>
            <a:path w="9525" h="71755">
              <a:moveTo>
                <a:pt x="9525" y="0"/>
              </a:moveTo>
              <a:lnTo>
                <a:pt x="0" y="0"/>
              </a:lnTo>
              <a:lnTo>
                <a:pt x="0" y="61849"/>
              </a:lnTo>
              <a:lnTo>
                <a:pt x="0" y="71374"/>
              </a:lnTo>
              <a:lnTo>
                <a:pt x="4762" y="66611"/>
              </a:lnTo>
              <a:lnTo>
                <a:pt x="9525" y="71374"/>
              </a:lnTo>
              <a:lnTo>
                <a:pt x="9525" y="61849"/>
              </a:lnTo>
              <a:lnTo>
                <a:pt x="9525" y="0"/>
              </a:lnTo>
              <a:close/>
            </a:path>
          </a:pathLst>
        </a:custGeom>
        <a:solidFill>
          <a:srgbClr val="000000"/>
        </a:solidFill>
      </xdr:spPr>
    </xdr:sp>
    <xdr:clientData/>
  </xdr:oneCellAnchor>
  <xdr:oneCellAnchor>
    <xdr:from>
      <xdr:col>4</xdr:col>
      <xdr:colOff>0</xdr:colOff>
      <xdr:row>257</xdr:row>
      <xdr:rowOff>445264</xdr:rowOff>
    </xdr:from>
    <xdr:ext cx="9525" cy="71755"/>
    <xdr:sp macro="" textlink="">
      <xdr:nvSpPr>
        <xdr:cNvPr id="31" name="Shape 31">
          <a:extLst>
            <a:ext uri="{FF2B5EF4-FFF2-40B4-BE49-F238E27FC236}">
              <a16:creationId xmlns:a16="http://schemas.microsoft.com/office/drawing/2014/main" id="{9BA9C529-DB6C-4E60-82A2-18F06A3539CD}"/>
            </a:ext>
          </a:extLst>
        </xdr:cNvPr>
        <xdr:cNvSpPr/>
      </xdr:nvSpPr>
      <xdr:spPr>
        <a:xfrm>
          <a:off x="4438650" y="41774239"/>
          <a:ext cx="9525" cy="71755"/>
        </a:xfrm>
        <a:custGeom>
          <a:avLst/>
          <a:gdLst/>
          <a:ahLst/>
          <a:cxnLst/>
          <a:rect l="0" t="0" r="0" b="0"/>
          <a:pathLst>
            <a:path w="9525" h="71755">
              <a:moveTo>
                <a:pt x="9525" y="0"/>
              </a:moveTo>
              <a:lnTo>
                <a:pt x="0" y="0"/>
              </a:lnTo>
              <a:lnTo>
                <a:pt x="0" y="61849"/>
              </a:lnTo>
              <a:lnTo>
                <a:pt x="0" y="71374"/>
              </a:lnTo>
              <a:lnTo>
                <a:pt x="4762" y="66611"/>
              </a:lnTo>
              <a:lnTo>
                <a:pt x="9525" y="71374"/>
              </a:lnTo>
              <a:lnTo>
                <a:pt x="9525" y="61849"/>
              </a:lnTo>
              <a:lnTo>
                <a:pt x="9525" y="0"/>
              </a:lnTo>
              <a:close/>
            </a:path>
          </a:pathLst>
        </a:custGeom>
        <a:solidFill>
          <a:srgbClr val="000000"/>
        </a:solidFill>
      </xdr:spPr>
    </xdr:sp>
    <xdr:clientData/>
  </xdr:oneCellAnchor>
  <xdr:oneCellAnchor>
    <xdr:from>
      <xdr:col>4</xdr:col>
      <xdr:colOff>0</xdr:colOff>
      <xdr:row>257</xdr:row>
      <xdr:rowOff>445264</xdr:rowOff>
    </xdr:from>
    <xdr:ext cx="9525" cy="71755"/>
    <xdr:sp macro="" textlink="">
      <xdr:nvSpPr>
        <xdr:cNvPr id="32" name="Shape 32">
          <a:extLst>
            <a:ext uri="{FF2B5EF4-FFF2-40B4-BE49-F238E27FC236}">
              <a16:creationId xmlns:a16="http://schemas.microsoft.com/office/drawing/2014/main" id="{CDF9A192-9E0C-4E57-9E8A-DC5E29E74A90}"/>
            </a:ext>
          </a:extLst>
        </xdr:cNvPr>
        <xdr:cNvSpPr/>
      </xdr:nvSpPr>
      <xdr:spPr>
        <a:xfrm>
          <a:off x="4438650" y="41774239"/>
          <a:ext cx="9525" cy="71755"/>
        </a:xfrm>
        <a:custGeom>
          <a:avLst/>
          <a:gdLst/>
          <a:ahLst/>
          <a:cxnLst/>
          <a:rect l="0" t="0" r="0" b="0"/>
          <a:pathLst>
            <a:path w="9525" h="71755">
              <a:moveTo>
                <a:pt x="9525" y="0"/>
              </a:moveTo>
              <a:lnTo>
                <a:pt x="0" y="0"/>
              </a:lnTo>
              <a:lnTo>
                <a:pt x="0" y="61849"/>
              </a:lnTo>
              <a:lnTo>
                <a:pt x="9525" y="71374"/>
              </a:lnTo>
              <a:lnTo>
                <a:pt x="9525" y="0"/>
              </a:lnTo>
              <a:close/>
            </a:path>
          </a:pathLst>
        </a:custGeom>
        <a:solidFill>
          <a:srgbClr val="000000"/>
        </a:solidFill>
      </xdr:spPr>
    </xdr:sp>
    <xdr:clientData/>
  </xdr:oneCellAnchor>
  <xdr:oneCellAnchor>
    <xdr:from>
      <xdr:col>0</xdr:col>
      <xdr:colOff>350202</xdr:colOff>
      <xdr:row>273</xdr:row>
      <xdr:rowOff>416685</xdr:rowOff>
    </xdr:from>
    <xdr:ext cx="9525" cy="85725"/>
    <xdr:sp macro="" textlink="">
      <xdr:nvSpPr>
        <xdr:cNvPr id="33" name="Shape 33">
          <a:extLst>
            <a:ext uri="{FF2B5EF4-FFF2-40B4-BE49-F238E27FC236}">
              <a16:creationId xmlns:a16="http://schemas.microsoft.com/office/drawing/2014/main" id="{ABB69CEC-94F3-4156-9970-AEAC39763D54}"/>
            </a:ext>
          </a:extLst>
        </xdr:cNvPr>
        <xdr:cNvSpPr/>
      </xdr:nvSpPr>
      <xdr:spPr>
        <a:xfrm>
          <a:off x="350202" y="44365035"/>
          <a:ext cx="9525" cy="85725"/>
        </a:xfrm>
        <a:custGeom>
          <a:avLst/>
          <a:gdLst/>
          <a:ahLst/>
          <a:cxnLst/>
          <a:rect l="0" t="0" r="0" b="0"/>
          <a:pathLst>
            <a:path w="9525" h="85725">
              <a:moveTo>
                <a:pt x="9525" y="0"/>
              </a:moveTo>
              <a:lnTo>
                <a:pt x="0" y="0"/>
              </a:lnTo>
              <a:lnTo>
                <a:pt x="0" y="76200"/>
              </a:lnTo>
              <a:lnTo>
                <a:pt x="0" y="85725"/>
              </a:lnTo>
              <a:lnTo>
                <a:pt x="4762" y="80962"/>
              </a:lnTo>
              <a:lnTo>
                <a:pt x="9525" y="85725"/>
              </a:lnTo>
              <a:lnTo>
                <a:pt x="9525" y="76200"/>
              </a:lnTo>
              <a:lnTo>
                <a:pt x="9525" y="0"/>
              </a:lnTo>
              <a:close/>
            </a:path>
          </a:pathLst>
        </a:custGeom>
        <a:solidFill>
          <a:srgbClr val="000000"/>
        </a:solidFill>
      </xdr:spPr>
    </xdr:sp>
    <xdr:clientData/>
  </xdr:oneCellAnchor>
  <xdr:oneCellAnchor>
    <xdr:from>
      <xdr:col>1</xdr:col>
      <xdr:colOff>0</xdr:colOff>
      <xdr:row>273</xdr:row>
      <xdr:rowOff>416685</xdr:rowOff>
    </xdr:from>
    <xdr:ext cx="9525" cy="85725"/>
    <xdr:sp macro="" textlink="">
      <xdr:nvSpPr>
        <xdr:cNvPr id="34" name="Shape 34">
          <a:extLst>
            <a:ext uri="{FF2B5EF4-FFF2-40B4-BE49-F238E27FC236}">
              <a16:creationId xmlns:a16="http://schemas.microsoft.com/office/drawing/2014/main" id="{71DAD892-701F-47A5-B163-0DDF67DA1B67}"/>
            </a:ext>
          </a:extLst>
        </xdr:cNvPr>
        <xdr:cNvSpPr/>
      </xdr:nvSpPr>
      <xdr:spPr>
        <a:xfrm>
          <a:off x="352425" y="44365035"/>
          <a:ext cx="9525" cy="85725"/>
        </a:xfrm>
        <a:custGeom>
          <a:avLst/>
          <a:gdLst/>
          <a:ahLst/>
          <a:cxnLst/>
          <a:rect l="0" t="0" r="0" b="0"/>
          <a:pathLst>
            <a:path w="9525" h="85725">
              <a:moveTo>
                <a:pt x="9525" y="0"/>
              </a:moveTo>
              <a:lnTo>
                <a:pt x="0" y="0"/>
              </a:lnTo>
              <a:lnTo>
                <a:pt x="0" y="76200"/>
              </a:lnTo>
              <a:lnTo>
                <a:pt x="0" y="85725"/>
              </a:lnTo>
              <a:lnTo>
                <a:pt x="4762" y="80962"/>
              </a:lnTo>
              <a:lnTo>
                <a:pt x="9525" y="85725"/>
              </a:lnTo>
              <a:lnTo>
                <a:pt x="9525" y="76200"/>
              </a:lnTo>
              <a:lnTo>
                <a:pt x="9525" y="0"/>
              </a:lnTo>
              <a:close/>
            </a:path>
          </a:pathLst>
        </a:custGeom>
        <a:solidFill>
          <a:srgbClr val="000000"/>
        </a:solidFill>
      </xdr:spPr>
    </xdr:sp>
    <xdr:clientData/>
  </xdr:oneCellAnchor>
  <xdr:oneCellAnchor>
    <xdr:from>
      <xdr:col>2</xdr:col>
      <xdr:colOff>0</xdr:colOff>
      <xdr:row>273</xdr:row>
      <xdr:rowOff>416685</xdr:rowOff>
    </xdr:from>
    <xdr:ext cx="9525" cy="85725"/>
    <xdr:sp macro="" textlink="">
      <xdr:nvSpPr>
        <xdr:cNvPr id="35" name="Shape 35">
          <a:extLst>
            <a:ext uri="{FF2B5EF4-FFF2-40B4-BE49-F238E27FC236}">
              <a16:creationId xmlns:a16="http://schemas.microsoft.com/office/drawing/2014/main" id="{D290BFFD-8466-4B1D-809E-94A302DA35F2}"/>
            </a:ext>
          </a:extLst>
        </xdr:cNvPr>
        <xdr:cNvSpPr/>
      </xdr:nvSpPr>
      <xdr:spPr>
        <a:xfrm>
          <a:off x="3390900" y="44365035"/>
          <a:ext cx="9525" cy="85725"/>
        </a:xfrm>
        <a:custGeom>
          <a:avLst/>
          <a:gdLst/>
          <a:ahLst/>
          <a:cxnLst/>
          <a:rect l="0" t="0" r="0" b="0"/>
          <a:pathLst>
            <a:path w="9525" h="85725">
              <a:moveTo>
                <a:pt x="9525" y="0"/>
              </a:moveTo>
              <a:lnTo>
                <a:pt x="0" y="0"/>
              </a:lnTo>
              <a:lnTo>
                <a:pt x="0" y="76200"/>
              </a:lnTo>
              <a:lnTo>
                <a:pt x="0" y="85725"/>
              </a:lnTo>
              <a:lnTo>
                <a:pt x="4762" y="80962"/>
              </a:lnTo>
              <a:lnTo>
                <a:pt x="9525" y="85725"/>
              </a:lnTo>
              <a:lnTo>
                <a:pt x="9525" y="76200"/>
              </a:lnTo>
              <a:lnTo>
                <a:pt x="9525" y="0"/>
              </a:lnTo>
              <a:close/>
            </a:path>
          </a:pathLst>
        </a:custGeom>
        <a:solidFill>
          <a:srgbClr val="000000"/>
        </a:solidFill>
      </xdr:spPr>
    </xdr:sp>
    <xdr:clientData/>
  </xdr:oneCellAnchor>
  <xdr:oneCellAnchor>
    <xdr:from>
      <xdr:col>2</xdr:col>
      <xdr:colOff>607377</xdr:colOff>
      <xdr:row>273</xdr:row>
      <xdr:rowOff>416685</xdr:rowOff>
    </xdr:from>
    <xdr:ext cx="9525" cy="85725"/>
    <xdr:sp macro="" textlink="">
      <xdr:nvSpPr>
        <xdr:cNvPr id="36" name="Shape 36">
          <a:extLst>
            <a:ext uri="{FF2B5EF4-FFF2-40B4-BE49-F238E27FC236}">
              <a16:creationId xmlns:a16="http://schemas.microsoft.com/office/drawing/2014/main" id="{B9403A08-7E08-4C92-AAFE-30637B1EB281}"/>
            </a:ext>
          </a:extLst>
        </xdr:cNvPr>
        <xdr:cNvSpPr/>
      </xdr:nvSpPr>
      <xdr:spPr>
        <a:xfrm>
          <a:off x="3998277" y="44365035"/>
          <a:ext cx="9525" cy="85725"/>
        </a:xfrm>
        <a:custGeom>
          <a:avLst/>
          <a:gdLst/>
          <a:ahLst/>
          <a:cxnLst/>
          <a:rect l="0" t="0" r="0" b="0"/>
          <a:pathLst>
            <a:path w="9525" h="85725">
              <a:moveTo>
                <a:pt x="9525" y="0"/>
              </a:moveTo>
              <a:lnTo>
                <a:pt x="0" y="0"/>
              </a:lnTo>
              <a:lnTo>
                <a:pt x="0" y="76200"/>
              </a:lnTo>
              <a:lnTo>
                <a:pt x="0" y="85725"/>
              </a:lnTo>
              <a:lnTo>
                <a:pt x="4762" y="80962"/>
              </a:lnTo>
              <a:lnTo>
                <a:pt x="9525" y="85725"/>
              </a:lnTo>
              <a:lnTo>
                <a:pt x="9525" y="76200"/>
              </a:lnTo>
              <a:lnTo>
                <a:pt x="9525" y="0"/>
              </a:lnTo>
              <a:close/>
            </a:path>
          </a:pathLst>
        </a:custGeom>
        <a:solidFill>
          <a:srgbClr val="000000"/>
        </a:solidFill>
      </xdr:spPr>
    </xdr:sp>
    <xdr:clientData/>
  </xdr:oneCellAnchor>
  <xdr:oneCellAnchor>
    <xdr:from>
      <xdr:col>3</xdr:col>
      <xdr:colOff>437197</xdr:colOff>
      <xdr:row>273</xdr:row>
      <xdr:rowOff>416685</xdr:rowOff>
    </xdr:from>
    <xdr:ext cx="9525" cy="85725"/>
    <xdr:sp macro="" textlink="">
      <xdr:nvSpPr>
        <xdr:cNvPr id="37" name="Shape 37">
          <a:extLst>
            <a:ext uri="{FF2B5EF4-FFF2-40B4-BE49-F238E27FC236}">
              <a16:creationId xmlns:a16="http://schemas.microsoft.com/office/drawing/2014/main" id="{51D71D90-6403-4E19-8A90-5FE9CA11DE69}"/>
            </a:ext>
          </a:extLst>
        </xdr:cNvPr>
        <xdr:cNvSpPr/>
      </xdr:nvSpPr>
      <xdr:spPr>
        <a:xfrm>
          <a:off x="4437697" y="44365035"/>
          <a:ext cx="9525" cy="85725"/>
        </a:xfrm>
        <a:custGeom>
          <a:avLst/>
          <a:gdLst/>
          <a:ahLst/>
          <a:cxnLst/>
          <a:rect l="0" t="0" r="0" b="0"/>
          <a:pathLst>
            <a:path w="9525" h="85725">
              <a:moveTo>
                <a:pt x="9525" y="0"/>
              </a:moveTo>
              <a:lnTo>
                <a:pt x="0" y="0"/>
              </a:lnTo>
              <a:lnTo>
                <a:pt x="0" y="76200"/>
              </a:lnTo>
              <a:lnTo>
                <a:pt x="0" y="85725"/>
              </a:lnTo>
              <a:lnTo>
                <a:pt x="4762" y="80962"/>
              </a:lnTo>
              <a:lnTo>
                <a:pt x="9525" y="85725"/>
              </a:lnTo>
              <a:lnTo>
                <a:pt x="9525" y="76200"/>
              </a:lnTo>
              <a:lnTo>
                <a:pt x="9525" y="0"/>
              </a:lnTo>
              <a:close/>
            </a:path>
          </a:pathLst>
        </a:custGeom>
        <a:solidFill>
          <a:srgbClr val="000000"/>
        </a:solidFill>
      </xdr:spPr>
    </xdr:sp>
    <xdr:clientData/>
  </xdr:oneCellAnchor>
  <xdr:oneCellAnchor>
    <xdr:from>
      <xdr:col>4</xdr:col>
      <xdr:colOff>0</xdr:colOff>
      <xdr:row>273</xdr:row>
      <xdr:rowOff>416685</xdr:rowOff>
    </xdr:from>
    <xdr:ext cx="9525" cy="85725"/>
    <xdr:sp macro="" textlink="">
      <xdr:nvSpPr>
        <xdr:cNvPr id="38" name="Shape 38">
          <a:extLst>
            <a:ext uri="{FF2B5EF4-FFF2-40B4-BE49-F238E27FC236}">
              <a16:creationId xmlns:a16="http://schemas.microsoft.com/office/drawing/2014/main" id="{22CEA363-E3EA-4D37-89EF-6995CAD53FAB}"/>
            </a:ext>
          </a:extLst>
        </xdr:cNvPr>
        <xdr:cNvSpPr/>
      </xdr:nvSpPr>
      <xdr:spPr>
        <a:xfrm>
          <a:off x="4438650" y="44365035"/>
          <a:ext cx="9525" cy="85725"/>
        </a:xfrm>
        <a:custGeom>
          <a:avLst/>
          <a:gdLst/>
          <a:ahLst/>
          <a:cxnLst/>
          <a:rect l="0" t="0" r="0" b="0"/>
          <a:pathLst>
            <a:path w="9525" h="85725">
              <a:moveTo>
                <a:pt x="9525" y="0"/>
              </a:moveTo>
              <a:lnTo>
                <a:pt x="0" y="0"/>
              </a:lnTo>
              <a:lnTo>
                <a:pt x="0" y="76200"/>
              </a:lnTo>
              <a:lnTo>
                <a:pt x="0" y="85725"/>
              </a:lnTo>
              <a:lnTo>
                <a:pt x="4762" y="80962"/>
              </a:lnTo>
              <a:lnTo>
                <a:pt x="9525" y="85725"/>
              </a:lnTo>
              <a:lnTo>
                <a:pt x="9525" y="76200"/>
              </a:lnTo>
              <a:lnTo>
                <a:pt x="9525" y="0"/>
              </a:lnTo>
              <a:close/>
            </a:path>
          </a:pathLst>
        </a:custGeom>
        <a:solidFill>
          <a:srgbClr val="000000"/>
        </a:solidFill>
      </xdr:spPr>
    </xdr:sp>
    <xdr:clientData/>
  </xdr:oneCellAnchor>
  <xdr:oneCellAnchor>
    <xdr:from>
      <xdr:col>4</xdr:col>
      <xdr:colOff>0</xdr:colOff>
      <xdr:row>273</xdr:row>
      <xdr:rowOff>416685</xdr:rowOff>
    </xdr:from>
    <xdr:ext cx="9525" cy="85725"/>
    <xdr:sp macro="" textlink="">
      <xdr:nvSpPr>
        <xdr:cNvPr id="39" name="Shape 39">
          <a:extLst>
            <a:ext uri="{FF2B5EF4-FFF2-40B4-BE49-F238E27FC236}">
              <a16:creationId xmlns:a16="http://schemas.microsoft.com/office/drawing/2014/main" id="{B288CF49-FA6D-485C-BB1F-CE9C2A86E71C}"/>
            </a:ext>
          </a:extLst>
        </xdr:cNvPr>
        <xdr:cNvSpPr/>
      </xdr:nvSpPr>
      <xdr:spPr>
        <a:xfrm>
          <a:off x="4438650" y="44365035"/>
          <a:ext cx="9525" cy="85725"/>
        </a:xfrm>
        <a:custGeom>
          <a:avLst/>
          <a:gdLst/>
          <a:ahLst/>
          <a:cxnLst/>
          <a:rect l="0" t="0" r="0" b="0"/>
          <a:pathLst>
            <a:path w="9525" h="85725">
              <a:moveTo>
                <a:pt x="9525" y="0"/>
              </a:moveTo>
              <a:lnTo>
                <a:pt x="0" y="0"/>
              </a:lnTo>
              <a:lnTo>
                <a:pt x="0" y="76200"/>
              </a:lnTo>
              <a:lnTo>
                <a:pt x="9525" y="85725"/>
              </a:lnTo>
              <a:lnTo>
                <a:pt x="9525" y="0"/>
              </a:lnTo>
              <a:close/>
            </a:path>
          </a:pathLst>
        </a:custGeom>
        <a:solidFill>
          <a:srgbClr val="000000"/>
        </a:solidFill>
      </xdr:spPr>
    </xdr:sp>
    <xdr:clientData/>
  </xdr:oneCellAnchor>
  <xdr:oneCellAnchor>
    <xdr:from>
      <xdr:col>0</xdr:col>
      <xdr:colOff>350202</xdr:colOff>
      <xdr:row>354</xdr:row>
      <xdr:rowOff>573403</xdr:rowOff>
    </xdr:from>
    <xdr:ext cx="9525" cy="81280"/>
    <xdr:sp macro="" textlink="">
      <xdr:nvSpPr>
        <xdr:cNvPr id="40" name="Shape 40">
          <a:extLst>
            <a:ext uri="{FF2B5EF4-FFF2-40B4-BE49-F238E27FC236}">
              <a16:creationId xmlns:a16="http://schemas.microsoft.com/office/drawing/2014/main" id="{2480CDD7-AB42-452D-839A-591FCC8DCB8B}"/>
            </a:ext>
          </a:extLst>
        </xdr:cNvPr>
        <xdr:cNvSpPr/>
      </xdr:nvSpPr>
      <xdr:spPr>
        <a:xfrm>
          <a:off x="350202" y="57485278"/>
          <a:ext cx="9525" cy="81280"/>
        </a:xfrm>
        <a:custGeom>
          <a:avLst/>
          <a:gdLst/>
          <a:ahLst/>
          <a:cxnLst/>
          <a:rect l="0" t="0" r="0" b="0"/>
          <a:pathLst>
            <a:path w="9525" h="81280">
              <a:moveTo>
                <a:pt x="9525" y="0"/>
              </a:moveTo>
              <a:lnTo>
                <a:pt x="0" y="0"/>
              </a:lnTo>
              <a:lnTo>
                <a:pt x="0" y="71374"/>
              </a:lnTo>
              <a:lnTo>
                <a:pt x="0" y="80899"/>
              </a:lnTo>
              <a:lnTo>
                <a:pt x="4762" y="76136"/>
              </a:lnTo>
              <a:lnTo>
                <a:pt x="9525" y="80899"/>
              </a:lnTo>
              <a:lnTo>
                <a:pt x="9525" y="71374"/>
              </a:lnTo>
              <a:lnTo>
                <a:pt x="9525" y="0"/>
              </a:lnTo>
              <a:close/>
            </a:path>
          </a:pathLst>
        </a:custGeom>
        <a:solidFill>
          <a:srgbClr val="000000"/>
        </a:solidFill>
      </xdr:spPr>
    </xdr:sp>
    <xdr:clientData/>
  </xdr:oneCellAnchor>
  <xdr:oneCellAnchor>
    <xdr:from>
      <xdr:col>0</xdr:col>
      <xdr:colOff>0</xdr:colOff>
      <xdr:row>354</xdr:row>
      <xdr:rowOff>573403</xdr:rowOff>
    </xdr:from>
    <xdr:ext cx="9525" cy="81280"/>
    <xdr:sp macro="" textlink="">
      <xdr:nvSpPr>
        <xdr:cNvPr id="41" name="Shape 41">
          <a:extLst>
            <a:ext uri="{FF2B5EF4-FFF2-40B4-BE49-F238E27FC236}">
              <a16:creationId xmlns:a16="http://schemas.microsoft.com/office/drawing/2014/main" id="{58B82D94-BEC6-40E4-9BA5-3E4C5ECED90B}"/>
            </a:ext>
          </a:extLst>
        </xdr:cNvPr>
        <xdr:cNvSpPr/>
      </xdr:nvSpPr>
      <xdr:spPr>
        <a:xfrm>
          <a:off x="0" y="57485278"/>
          <a:ext cx="9525" cy="81280"/>
        </a:xfrm>
        <a:custGeom>
          <a:avLst/>
          <a:gdLst/>
          <a:ahLst/>
          <a:cxnLst/>
          <a:rect l="0" t="0" r="0" b="0"/>
          <a:pathLst>
            <a:path w="9525" h="81280">
              <a:moveTo>
                <a:pt x="9525" y="0"/>
              </a:moveTo>
              <a:lnTo>
                <a:pt x="0" y="0"/>
              </a:lnTo>
              <a:lnTo>
                <a:pt x="0" y="80899"/>
              </a:lnTo>
              <a:lnTo>
                <a:pt x="9525" y="71374"/>
              </a:lnTo>
              <a:lnTo>
                <a:pt x="9525" y="0"/>
              </a:lnTo>
              <a:close/>
            </a:path>
          </a:pathLst>
        </a:custGeom>
        <a:solidFill>
          <a:srgbClr val="000000"/>
        </a:solidFill>
      </xdr:spPr>
    </xdr:sp>
    <xdr:clientData/>
  </xdr:oneCellAnchor>
  <xdr:oneCellAnchor>
    <xdr:from>
      <xdr:col>1</xdr:col>
      <xdr:colOff>0</xdr:colOff>
      <xdr:row>354</xdr:row>
      <xdr:rowOff>573403</xdr:rowOff>
    </xdr:from>
    <xdr:ext cx="9525" cy="81280"/>
    <xdr:sp macro="" textlink="">
      <xdr:nvSpPr>
        <xdr:cNvPr id="42" name="Shape 42">
          <a:extLst>
            <a:ext uri="{FF2B5EF4-FFF2-40B4-BE49-F238E27FC236}">
              <a16:creationId xmlns:a16="http://schemas.microsoft.com/office/drawing/2014/main" id="{F48F4EF5-9EF8-40B3-9017-753CBBD012E3}"/>
            </a:ext>
          </a:extLst>
        </xdr:cNvPr>
        <xdr:cNvSpPr/>
      </xdr:nvSpPr>
      <xdr:spPr>
        <a:xfrm>
          <a:off x="352425" y="57485278"/>
          <a:ext cx="9525" cy="81280"/>
        </a:xfrm>
        <a:custGeom>
          <a:avLst/>
          <a:gdLst/>
          <a:ahLst/>
          <a:cxnLst/>
          <a:rect l="0" t="0" r="0" b="0"/>
          <a:pathLst>
            <a:path w="9525" h="81280">
              <a:moveTo>
                <a:pt x="9525" y="0"/>
              </a:moveTo>
              <a:lnTo>
                <a:pt x="0" y="0"/>
              </a:lnTo>
              <a:lnTo>
                <a:pt x="0" y="71374"/>
              </a:lnTo>
              <a:lnTo>
                <a:pt x="0" y="80899"/>
              </a:lnTo>
              <a:lnTo>
                <a:pt x="4762" y="76136"/>
              </a:lnTo>
              <a:lnTo>
                <a:pt x="9525" y="80899"/>
              </a:lnTo>
              <a:lnTo>
                <a:pt x="9525" y="71374"/>
              </a:lnTo>
              <a:lnTo>
                <a:pt x="9525" y="0"/>
              </a:lnTo>
              <a:close/>
            </a:path>
          </a:pathLst>
        </a:custGeom>
        <a:solidFill>
          <a:srgbClr val="000000"/>
        </a:solidFill>
      </xdr:spPr>
    </xdr:sp>
    <xdr:clientData/>
  </xdr:oneCellAnchor>
  <xdr:oneCellAnchor>
    <xdr:from>
      <xdr:col>2</xdr:col>
      <xdr:colOff>0</xdr:colOff>
      <xdr:row>354</xdr:row>
      <xdr:rowOff>573403</xdr:rowOff>
    </xdr:from>
    <xdr:ext cx="9525" cy="81280"/>
    <xdr:sp macro="" textlink="">
      <xdr:nvSpPr>
        <xdr:cNvPr id="43" name="Shape 43">
          <a:extLst>
            <a:ext uri="{FF2B5EF4-FFF2-40B4-BE49-F238E27FC236}">
              <a16:creationId xmlns:a16="http://schemas.microsoft.com/office/drawing/2014/main" id="{3E505243-555C-4DE6-B97B-053154BFCEE7}"/>
            </a:ext>
          </a:extLst>
        </xdr:cNvPr>
        <xdr:cNvSpPr/>
      </xdr:nvSpPr>
      <xdr:spPr>
        <a:xfrm>
          <a:off x="3390900" y="57485278"/>
          <a:ext cx="9525" cy="81280"/>
        </a:xfrm>
        <a:custGeom>
          <a:avLst/>
          <a:gdLst/>
          <a:ahLst/>
          <a:cxnLst/>
          <a:rect l="0" t="0" r="0" b="0"/>
          <a:pathLst>
            <a:path w="9525" h="81280">
              <a:moveTo>
                <a:pt x="9525" y="0"/>
              </a:moveTo>
              <a:lnTo>
                <a:pt x="0" y="0"/>
              </a:lnTo>
              <a:lnTo>
                <a:pt x="0" y="71374"/>
              </a:lnTo>
              <a:lnTo>
                <a:pt x="0" y="80899"/>
              </a:lnTo>
              <a:lnTo>
                <a:pt x="4762" y="76136"/>
              </a:lnTo>
              <a:lnTo>
                <a:pt x="9525" y="80899"/>
              </a:lnTo>
              <a:lnTo>
                <a:pt x="9525" y="71374"/>
              </a:lnTo>
              <a:lnTo>
                <a:pt x="9525" y="0"/>
              </a:lnTo>
              <a:close/>
            </a:path>
          </a:pathLst>
        </a:custGeom>
        <a:solidFill>
          <a:srgbClr val="000000"/>
        </a:solidFill>
      </xdr:spPr>
    </xdr:sp>
    <xdr:clientData/>
  </xdr:oneCellAnchor>
  <xdr:oneCellAnchor>
    <xdr:from>
      <xdr:col>2</xdr:col>
      <xdr:colOff>607377</xdr:colOff>
      <xdr:row>354</xdr:row>
      <xdr:rowOff>573403</xdr:rowOff>
    </xdr:from>
    <xdr:ext cx="9525" cy="81280"/>
    <xdr:sp macro="" textlink="">
      <xdr:nvSpPr>
        <xdr:cNvPr id="44" name="Shape 44">
          <a:extLst>
            <a:ext uri="{FF2B5EF4-FFF2-40B4-BE49-F238E27FC236}">
              <a16:creationId xmlns:a16="http://schemas.microsoft.com/office/drawing/2014/main" id="{E539D2C9-7138-4454-8304-25F823FD4DC2}"/>
            </a:ext>
          </a:extLst>
        </xdr:cNvPr>
        <xdr:cNvSpPr/>
      </xdr:nvSpPr>
      <xdr:spPr>
        <a:xfrm>
          <a:off x="3998277" y="57485278"/>
          <a:ext cx="9525" cy="81280"/>
        </a:xfrm>
        <a:custGeom>
          <a:avLst/>
          <a:gdLst/>
          <a:ahLst/>
          <a:cxnLst/>
          <a:rect l="0" t="0" r="0" b="0"/>
          <a:pathLst>
            <a:path w="9525" h="81280">
              <a:moveTo>
                <a:pt x="9525" y="0"/>
              </a:moveTo>
              <a:lnTo>
                <a:pt x="0" y="0"/>
              </a:lnTo>
              <a:lnTo>
                <a:pt x="0" y="71374"/>
              </a:lnTo>
              <a:lnTo>
                <a:pt x="0" y="80899"/>
              </a:lnTo>
              <a:lnTo>
                <a:pt x="4762" y="76136"/>
              </a:lnTo>
              <a:lnTo>
                <a:pt x="9525" y="80899"/>
              </a:lnTo>
              <a:lnTo>
                <a:pt x="9525" y="71374"/>
              </a:lnTo>
              <a:lnTo>
                <a:pt x="9525" y="0"/>
              </a:lnTo>
              <a:close/>
            </a:path>
          </a:pathLst>
        </a:custGeom>
        <a:solidFill>
          <a:srgbClr val="000000"/>
        </a:solidFill>
      </xdr:spPr>
    </xdr:sp>
    <xdr:clientData/>
  </xdr:oneCellAnchor>
  <xdr:oneCellAnchor>
    <xdr:from>
      <xdr:col>3</xdr:col>
      <xdr:colOff>437197</xdr:colOff>
      <xdr:row>354</xdr:row>
      <xdr:rowOff>573403</xdr:rowOff>
    </xdr:from>
    <xdr:ext cx="9525" cy="81280"/>
    <xdr:sp macro="" textlink="">
      <xdr:nvSpPr>
        <xdr:cNvPr id="45" name="Shape 45">
          <a:extLst>
            <a:ext uri="{FF2B5EF4-FFF2-40B4-BE49-F238E27FC236}">
              <a16:creationId xmlns:a16="http://schemas.microsoft.com/office/drawing/2014/main" id="{ED728D00-9B48-40EA-AD60-DEC25CD51D20}"/>
            </a:ext>
          </a:extLst>
        </xdr:cNvPr>
        <xdr:cNvSpPr/>
      </xdr:nvSpPr>
      <xdr:spPr>
        <a:xfrm>
          <a:off x="4437697" y="57485278"/>
          <a:ext cx="9525" cy="81280"/>
        </a:xfrm>
        <a:custGeom>
          <a:avLst/>
          <a:gdLst/>
          <a:ahLst/>
          <a:cxnLst/>
          <a:rect l="0" t="0" r="0" b="0"/>
          <a:pathLst>
            <a:path w="9525" h="81280">
              <a:moveTo>
                <a:pt x="9525" y="0"/>
              </a:moveTo>
              <a:lnTo>
                <a:pt x="0" y="0"/>
              </a:lnTo>
              <a:lnTo>
                <a:pt x="0" y="71374"/>
              </a:lnTo>
              <a:lnTo>
                <a:pt x="0" y="80899"/>
              </a:lnTo>
              <a:lnTo>
                <a:pt x="4762" y="76136"/>
              </a:lnTo>
              <a:lnTo>
                <a:pt x="9525" y="80899"/>
              </a:lnTo>
              <a:lnTo>
                <a:pt x="9525" y="71374"/>
              </a:lnTo>
              <a:lnTo>
                <a:pt x="9525" y="0"/>
              </a:lnTo>
              <a:close/>
            </a:path>
          </a:pathLst>
        </a:custGeom>
        <a:solidFill>
          <a:srgbClr val="000000"/>
        </a:solidFill>
      </xdr:spPr>
    </xdr:sp>
    <xdr:clientData/>
  </xdr:oneCellAnchor>
  <xdr:oneCellAnchor>
    <xdr:from>
      <xdr:col>4</xdr:col>
      <xdr:colOff>0</xdr:colOff>
      <xdr:row>354</xdr:row>
      <xdr:rowOff>573403</xdr:rowOff>
    </xdr:from>
    <xdr:ext cx="9525" cy="81280"/>
    <xdr:sp macro="" textlink="">
      <xdr:nvSpPr>
        <xdr:cNvPr id="46" name="Shape 46">
          <a:extLst>
            <a:ext uri="{FF2B5EF4-FFF2-40B4-BE49-F238E27FC236}">
              <a16:creationId xmlns:a16="http://schemas.microsoft.com/office/drawing/2014/main" id="{2F031D74-8D84-47A7-8B63-1C834EA24C0E}"/>
            </a:ext>
          </a:extLst>
        </xdr:cNvPr>
        <xdr:cNvSpPr/>
      </xdr:nvSpPr>
      <xdr:spPr>
        <a:xfrm>
          <a:off x="4438650" y="57485278"/>
          <a:ext cx="9525" cy="81280"/>
        </a:xfrm>
        <a:custGeom>
          <a:avLst/>
          <a:gdLst/>
          <a:ahLst/>
          <a:cxnLst/>
          <a:rect l="0" t="0" r="0" b="0"/>
          <a:pathLst>
            <a:path w="9525" h="81280">
              <a:moveTo>
                <a:pt x="9525" y="0"/>
              </a:moveTo>
              <a:lnTo>
                <a:pt x="0" y="0"/>
              </a:lnTo>
              <a:lnTo>
                <a:pt x="0" y="71374"/>
              </a:lnTo>
              <a:lnTo>
                <a:pt x="0" y="80899"/>
              </a:lnTo>
              <a:lnTo>
                <a:pt x="4762" y="76136"/>
              </a:lnTo>
              <a:lnTo>
                <a:pt x="9525" y="80899"/>
              </a:lnTo>
              <a:lnTo>
                <a:pt x="9525" y="71374"/>
              </a:lnTo>
              <a:lnTo>
                <a:pt x="9525" y="0"/>
              </a:lnTo>
              <a:close/>
            </a:path>
          </a:pathLst>
        </a:custGeom>
        <a:solidFill>
          <a:srgbClr val="000000"/>
        </a:solidFill>
      </xdr:spPr>
    </xdr:sp>
    <xdr:clientData/>
  </xdr:oneCellAnchor>
  <xdr:oneCellAnchor>
    <xdr:from>
      <xdr:col>4</xdr:col>
      <xdr:colOff>0</xdr:colOff>
      <xdr:row>354</xdr:row>
      <xdr:rowOff>573403</xdr:rowOff>
    </xdr:from>
    <xdr:ext cx="9525" cy="81280"/>
    <xdr:sp macro="" textlink="">
      <xdr:nvSpPr>
        <xdr:cNvPr id="47" name="Shape 47">
          <a:extLst>
            <a:ext uri="{FF2B5EF4-FFF2-40B4-BE49-F238E27FC236}">
              <a16:creationId xmlns:a16="http://schemas.microsoft.com/office/drawing/2014/main" id="{655164BF-EB9A-4843-8B01-6BDA99508F6F}"/>
            </a:ext>
          </a:extLst>
        </xdr:cNvPr>
        <xdr:cNvSpPr/>
      </xdr:nvSpPr>
      <xdr:spPr>
        <a:xfrm>
          <a:off x="4438650" y="57485278"/>
          <a:ext cx="9525" cy="81280"/>
        </a:xfrm>
        <a:custGeom>
          <a:avLst/>
          <a:gdLst/>
          <a:ahLst/>
          <a:cxnLst/>
          <a:rect l="0" t="0" r="0" b="0"/>
          <a:pathLst>
            <a:path w="9525" h="81280">
              <a:moveTo>
                <a:pt x="9525" y="0"/>
              </a:moveTo>
              <a:lnTo>
                <a:pt x="0" y="0"/>
              </a:lnTo>
              <a:lnTo>
                <a:pt x="0" y="71374"/>
              </a:lnTo>
              <a:lnTo>
                <a:pt x="9525" y="80899"/>
              </a:lnTo>
              <a:lnTo>
                <a:pt x="9525" y="0"/>
              </a:lnTo>
              <a:close/>
            </a:path>
          </a:pathLst>
        </a:custGeom>
        <a:solidFill>
          <a:srgbClr val="000000"/>
        </a:solidFill>
      </xdr:spPr>
    </xdr:sp>
    <xdr:clientData/>
  </xdr:one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1" xr16:uid="{2CA507B6-E005-4A42-8A58-1C3BF7D7E585}" autoFormatId="16" applyNumberFormats="0" applyBorderFormats="0" applyFontFormats="0" applyPatternFormats="0" applyAlignmentFormats="0" applyWidthHeightFormats="0">
  <queryTableRefresh nextId="6" unboundColumnsRight="4">
    <queryTableFields count="5">
      <queryTableField id="1" name="Column1" tableColumnId="1"/>
      <queryTableField id="2" dataBound="0" tableColumnId="2"/>
      <queryTableField id="3" dataBound="0" tableColumnId="3"/>
      <queryTableField id="4" dataBound="0" tableColumnId="4"/>
      <queryTableField id="5" dataBound="0"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2" connectionId="4" xr16:uid="{0FA7FA34-61DC-4E53-A5A5-49297D305317}" autoFormatId="16" applyNumberFormats="0" applyBorderFormats="0" applyFontFormats="0" applyPatternFormats="0" applyAlignmentFormats="0" applyWidthHeightFormats="0">
  <queryTableRefresh nextId="2">
    <queryTableFields count="1">
      <queryTableField id="1" name="Column1"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1C68C0-8F04-4F32-8E6D-C50711AF0188}" name="TabelaPrincipal" displayName="TabelaPrincipal" ref="A1:O258" headerRowDxfId="67" dataDxfId="65" headerRowBorderDxfId="66" tableBorderDxfId="64" totalsRowBorderDxfId="63">
  <autoFilter ref="A1:O258" xr:uid="{0F1C68C0-8F04-4F32-8E6D-C50711AF0188}"/>
  <tableColumns count="15">
    <tableColumn id="1" xr3:uid="{51CFE57C-AFCD-46C7-A72C-4E116E9357EE}" name="ITEM" totalsRowLabel="Total" dataDxfId="62"/>
    <tableColumn id="2" xr3:uid="{E7B80085-C079-4ECA-B98E-E82F5E46696A}" name="DESCRIÇÃO" dataDxfId="61">
      <calculatedColumnFormula>VLOOKUP(TabelaPrincipal[[#This Row],[ITEM]],TabelaModelo,2,FALSE)</calculatedColumnFormula>
    </tableColumn>
    <tableColumn id="3" xr3:uid="{74DD09F8-5DE7-492D-ABF9-CC0D01F7D44D}" name="UND" dataDxfId="60">
      <calculatedColumnFormula>VLOOKUP(TabelaPrincipal[[#This Row],[ITEM]],TabelaModelo,3,FALSE)</calculatedColumnFormula>
    </tableColumn>
    <tableColumn id="4" xr3:uid="{2D7CF20C-95AF-448A-964A-706613067BC5}" name="QTD" dataDxfId="59">
      <calculatedColumnFormula>VLOOKUP(TabelaPrincipal[[#This Row],[ITEM]],TabelaModelo,4,FALSE)</calculatedColumnFormula>
    </tableColumn>
    <tableColumn id="5" xr3:uid="{888FDB53-36CC-46AE-AFEA-75AF1F77389D}" name="MARCA" dataDxfId="58"/>
    <tableColumn id="6" xr3:uid="{E7330FE1-ADA8-42A4-B3C8-35EEACF8E856}" name="VALOR DE CUSTO" dataDxfId="57" dataCellStyle="Moeda"/>
    <tableColumn id="14" xr3:uid="{A34B0AAF-F1D2-4671-A532-9BD185994D6B}" name="PERCENTUAL DE ENTRADA" dataDxfId="56" dataCellStyle="Moeda">
      <calculatedColumnFormula>IF(_xlfn.ISFORMULA(TabelaPrincipal[[#This Row],[CUSTO + PERCENTUAL DE ENTRADA]]),0.4,(TabelaPrincipal[[#This Row],[CUSTO + PERCENTUAL DE ENTRADA]]-TabelaPrincipal[[#This Row],[VALOR DE CUSTO]])/TabelaPrincipal[[#This Row],[VALOR DE CUSTO]])</calculatedColumnFormula>
    </tableColumn>
    <tableColumn id="7" xr3:uid="{03389115-425F-4153-AA8F-FD518F675069}" name="CUSTO + PERCENTUAL DE ENTRADA" dataDxfId="55" totalsRowDxfId="54" dataCellStyle="Moeda">
      <calculatedColumnFormula>ROUND(F2+(F2*TabelaPrincipal[[#This Row],[PERCENTUAL DE ENTRADA]]), 2)</calculatedColumnFormula>
    </tableColumn>
    <tableColumn id="8" xr3:uid="{532B9320-507F-43A8-833D-2CFD5BDC3030}" name="VALOR TOTAL" dataDxfId="53" totalsRowDxfId="52" dataCellStyle="Moeda">
      <calculatedColumnFormula>D2*H2</calculatedColumnFormula>
    </tableColumn>
    <tableColumn id="12" xr3:uid="{47060763-EEF9-4198-9C8A-B2079FE74328}" name="PERCENTUAL MÍNIMO" dataDxfId="51" totalsRowDxfId="50">
      <calculatedColumnFormula>IF(TabelaPrincipal[[#This Row],[PERCENTUAL DE ENTRADA]]&gt;0,0.15,0)</calculatedColumnFormula>
    </tableColumn>
    <tableColumn id="13" xr3:uid="{8FA6F66F-B93C-4DF5-A099-D33323ED11B8}" name="VALOR MÍNIMO" totalsRowFunction="sum" dataDxfId="49" totalsRowDxfId="48">
      <calculatedColumnFormula>ROUND(F2+(F2*TabelaPrincipal[[#This Row],[PERCENTUAL MÍNIMO]]), 2)</calculatedColumnFormula>
    </tableColumn>
    <tableColumn id="9" xr3:uid="{9D0B07B5-0269-49DC-A3EC-C170D6496473}" name="LANCE ATUAL" dataDxfId="47" dataCellStyle="Moeda"/>
    <tableColumn id="10" xr3:uid="{2B3A16CA-ACFA-4765-8367-A064C061C94F}" name="POSIÇÃO" dataDxfId="46" dataCellStyle="Moeda"/>
    <tableColumn id="11" xr3:uid="{059F3929-D102-4D03-9013-A9DF3FD97FD7}" name="VALOR TOTAL DO LANCE" dataDxfId="45" dataCellStyle="Moeda">
      <calculatedColumnFormula>TabelaPrincipal[[#This Row],[LANCE ATUAL]]*TabelaPrincipal[[#This Row],[QTD]]</calculatedColumnFormula>
    </tableColumn>
    <tableColumn id="15" xr3:uid="{2A3C97FE-0D69-44B2-99C9-896475019557}" name="Coluna1" dataDxfId="44">
      <calculatedColumnFormula>IF(TabelaPrincipal[[#This Row],[LANCE ATUAL]]&lt;=(VLOOKUP(TabelaPrincipal[[#This Row],[ITEM]],TabelaModelo,5,FALSE)*0.5),"Inexequível","")</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CF17EE-D955-47E4-8AD5-75F36DAB55BF}" name="Tabela4" displayName="Tabela4" ref="A1:L20" totalsRowShown="0" headerRowDxfId="116" dataDxfId="114" headerRowBorderDxfId="115" tableBorderDxfId="113" totalsRowBorderDxfId="112">
  <autoFilter ref="A1:L20" xr:uid="{F4CF17EE-D955-47E4-8AD5-75F36DAB55B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0EF08F99-19DE-45BC-B8C9-AF1928673859}" name="ITEM" dataDxfId="111"/>
    <tableColumn id="2" xr3:uid="{16B0746C-C443-4208-ADED-C32E73A0E771}" name="DESCRIÇÃO" dataDxfId="110"/>
    <tableColumn id="3" xr3:uid="{8BD411B5-2C69-4585-A325-45E9E7678E24}" name="UND" dataDxfId="109"/>
    <tableColumn id="4" xr3:uid="{F6225E83-65E8-48B2-B219-D858EE7B369D}" name="QTD" dataDxfId="108"/>
    <tableColumn id="5" xr3:uid="{881077D8-F74D-4A75-B866-29DD5887A7C3}" name="MARCA" dataDxfId="107"/>
    <tableColumn id="6" xr3:uid="{2D6493CF-DEB5-4EC0-A3A3-76876F623951}" name="PREÇO DE COMPRA" dataDxfId="106" dataCellStyle="Moeda"/>
    <tableColumn id="7" xr3:uid="{5BC6D75E-84ED-4B12-9D79-7BEB197BF4FF}" name="FRETE (SUGESTÃO)" dataDxfId="105" dataCellStyle="Moeda"/>
    <tableColumn id="8" xr3:uid="{EB11D887-F069-4BBB-9079-08648025F5A3}" name="IMPOSTOS (SUGESTÃO)" dataDxfId="104" dataCellStyle="Moeda"/>
    <tableColumn id="9" xr3:uid="{0C8DC740-E109-473B-8C71-FCECB385B445}" name="OUTRA TAXA (SUGESTÃO)" dataDxfId="103" dataCellStyle="Moeda"/>
    <tableColumn id="10" xr3:uid="{8C161A34-221E-472B-9DC4-A87783EF593C}" name="PREÇO UNIT FINAL" dataDxfId="102">
      <calculatedColumnFormula>SUBTOTAL(9,Tabela4[[#This Row],[PREÇO DE COMPRA]:[OUTRA TAXA (SUGESTÃO)]])</calculatedColumnFormula>
    </tableColumn>
    <tableColumn id="11" xr3:uid="{9666D07B-E8BE-49B2-A371-FA386F0F43DC}" name="PREÇO GANHO" dataDxfId="101" dataCellStyle="Moeda"/>
    <tableColumn id="12" xr3:uid="{E77E0087-57FB-488F-B8B9-B6307B7551B3}" name="LUCRO (%)" dataDxfId="100">
      <calculatedColumnFormula>IF(ISERR(((Tabela4[[#This Row],[PREÇO GANHO]]-Tabela4[[#This Row],[PREÇO UNIT FINAL]])/Tabela4[[#This Row],[PREÇO UNIT FINAL]])),"",((Tabela4[[#This Row],[PREÇO GANHO]]-Tabela4[[#This Row],[PREÇO UNIT FINAL]])/Tabela4[[#This Row],[PREÇO UNIT FINAL]]))</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F591EDD-9A4A-4A1B-8813-14C2AE6EC93A}" name="itens_neg" displayName="itens_neg" ref="A1:E52" tableType="queryTable" totalsRowShown="0">
  <autoFilter ref="A1:E52" xr:uid="{EF591EDD-9A4A-4A1B-8813-14C2AE6EC93A}"/>
  <tableColumns count="5">
    <tableColumn id="1" xr3:uid="{AA8B2B1F-1DCB-48BE-8D4A-A0DC05A69CC5}" uniqueName="1" name="Itens Ganhos Abaixo da REF" queryTableFieldId="1"/>
    <tableColumn id="2" xr3:uid="{22DB407D-F0E4-4725-8DC8-F1D2D771D9B6}" uniqueName="2" name="Referenc" queryTableFieldId="2" dataCellStyle="Moeda">
      <calculatedColumnFormula>VLOOKUP(itens_neg[[#This Row],[Itens Ganhos Abaixo da REF]],TabelaModelo,5,FALSE)</calculatedColumnFormula>
    </tableColumn>
    <tableColumn id="3" xr3:uid="{C374E1D4-FEF9-4F7C-A0D4-C440115D075B}" uniqueName="3" name="Min" queryTableFieldId="3" dataCellStyle="Moeda">
      <calculatedColumnFormula>VLOOKUP(itens_neg[[#This Row],[Itens Ganhos Abaixo da REF]],TabelaPrincipal[],11,FALSE)</calculatedColumnFormula>
    </tableColumn>
    <tableColumn id="4" xr3:uid="{DC73A3ED-1AD7-4B79-BB02-404FD5436B91}" uniqueName="4" name="Ganho" queryTableFieldId="4" dataCellStyle="Moeda">
      <calculatedColumnFormula>VLOOKUP(itens_neg[[#This Row],[Itens Ganhos Abaixo da REF]],TabelaPrincipal[],12,FALSE)</calculatedColumnFormula>
    </tableColumn>
    <tableColumn id="5" xr3:uid="{7A7AEA47-3A2F-4255-A73D-77C0D73F19D9}" uniqueName="5" name="Obs" queryTableFieldId="5" dataDxfId="99" dataCellStyle="Moeda">
      <calculatedColumnFormula>IF(itens_neg[[#This Row],[Ganho]]&gt;itens_neg[[#This Row],[Referenc]],"Acima da Referência","Abaixo da Referência")</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01FFD81-7C00-4F2A-9F54-C78B369C4C9A}" name="Tabela7" displayName="Tabela7" ref="G1:P11" totalsRowCount="1" headerRowDxfId="98" headerRowBorderDxfId="97" tableBorderDxfId="96" totalsRowBorderDxfId="95">
  <autoFilter ref="G1:P10" xr:uid="{601FFD81-7C00-4F2A-9F54-C78B369C4C9A}"/>
  <tableColumns count="10">
    <tableColumn id="1" xr3:uid="{C89AFE4C-50B8-4E6D-BC34-E01F32921132}" name="Itens Ganhos Acima da REF" dataDxfId="94" totalsRowDxfId="93"/>
    <tableColumn id="7" xr3:uid="{E8BB5E30-6019-4075-B88E-52DEFE6F45EB}" name="Descrição" dataDxfId="92" totalsRowDxfId="91">
      <calculatedColumnFormula>VLOOKUP(Tabela7[[#This Row],[Itens Ganhos Acima da REF]],TabelaModelo,2,FALSE)</calculatedColumnFormula>
    </tableColumn>
    <tableColumn id="8" xr3:uid="{75AB02CF-980F-4962-8118-31D6D475E606}" name="Qtd" dataDxfId="90" totalsRowDxfId="89">
      <calculatedColumnFormula>VLOOKUP(Tabela7[[#This Row],[Itens Ganhos Acima da REF]],TabelaModelo,4,FALSE)</calculatedColumnFormula>
    </tableColumn>
    <tableColumn id="2" xr3:uid="{A3379902-4EBF-4B44-BBE3-51DC8945E7A6}" name="Preço Estimado" dataDxfId="88" totalsRowDxfId="87">
      <calculatedColumnFormula>VLOOKUP(Tabela7[[#This Row],[Itens Ganhos Acima da REF]],TabelaModelo,5,FALSE)</calculatedColumnFormula>
    </tableColumn>
    <tableColumn id="6" xr3:uid="{CCBC5ABA-4A99-4412-92FF-6E51B456E2DC}" name="Preço de Custo" dataDxfId="86" totalsRowDxfId="85">
      <calculatedColumnFormula>VLOOKUP(Tabela7[[#This Row],[Itens Ganhos Acima da REF]],TabelaPrincipal[],6,FALSE)</calculatedColumnFormula>
    </tableColumn>
    <tableColumn id="3" xr3:uid="{1C05A701-3CB3-4133-ACDA-0093174696CA}" name="Min" dataDxfId="84" totalsRowDxfId="83">
      <calculatedColumnFormula>VLOOKUP(Tabela7[[#This Row],[Itens Ganhos Acima da REF]],TabelaPrincipal[],11,FALSE)</calculatedColumnFormula>
    </tableColumn>
    <tableColumn id="4" xr3:uid="{6218114F-9875-4C5B-A73A-9F9BA2B3576D}" name="Preço que Ganhamos" dataDxfId="82" totalsRowDxfId="81">
      <calculatedColumnFormula>VLOOKUP(Tabela7[[#This Row],[Itens Ganhos Acima da REF]],TabelaPrincipal[],12,FALSE)</calculatedColumnFormula>
    </tableColumn>
    <tableColumn id="9" xr3:uid="{4CAD4012-2D14-4499-AD88-90DCB1E553E0}" name="Total" totalsRowFunction="sum" dataDxfId="80" totalsRowDxfId="79">
      <calculatedColumnFormula>Tabela7[[#This Row],[Qtd]]*Tabela7[[#This Row],[Preço Estimado]]</calculatedColumnFormula>
    </tableColumn>
    <tableColumn id="5" xr3:uid="{23A28B26-822B-4987-BA6C-DFE44A2C7068}" name="Obs" dataDxfId="78" totalsRowDxfId="77">
      <calculatedColumnFormula>IF(Tabela7[[#This Row],[Preço que Ganhamos]]&gt;Tabela7[[#This Row],[Preço Estimado]],"Acima da Referência","Abaixo da Referência")</calculatedColumnFormula>
    </tableColumn>
    <tableColumn id="10" xr3:uid="{A699D861-C825-41E2-B213-E1B5FF95DBA5}" name="Coluna1" dataDxfId="76" totalsRowDxfId="75"/>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151A7C9-1E0C-459E-B3BF-B4028D7E76B7}" name="itens_neg__4" displayName="itens_neg__4" ref="R1:R79" tableType="queryTable" totalsRowShown="0" headerRowDxfId="74" dataDxfId="73">
  <autoFilter ref="R1:R79" xr:uid="{0151A7C9-1E0C-459E-B3BF-B4028D7E76B7}"/>
  <sortState xmlns:xlrd2="http://schemas.microsoft.com/office/spreadsheetml/2017/richdata2" ref="R2:R79">
    <sortCondition ref="R1:R79"/>
  </sortState>
  <tableColumns count="1">
    <tableColumn id="1" xr3:uid="{3D158901-8CBA-4C8B-A67F-F347DEE3C674}" uniqueName="1" name="Itens ganhos de acordo c/ Pregoeiro" queryTableFieldId="1" dataDxfId="7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1AA350-1F3D-4D04-942C-746C302C1C23}" name="TabelaProposta4" displayName="TabelaProposta4" ref="A1:H259" totalsRowCount="1" headerRowDxfId="43" dataDxfId="41" totalsRowDxfId="39" headerRowBorderDxfId="42" tableBorderDxfId="40" totalsRowBorderDxfId="38">
  <autoFilter ref="A1:H258" xr:uid="{241AA350-1F3D-4D04-942C-746C302C1C23}">
    <filterColumn colId="0">
      <filters>
        <filter val="1"/>
        <filter val="110"/>
        <filter val="111"/>
        <filter val="165"/>
        <filter val="166"/>
        <filter val="170"/>
        <filter val="173"/>
        <filter val="177"/>
        <filter val="181"/>
        <filter val="183"/>
        <filter val="185"/>
        <filter val="186"/>
        <filter val="187"/>
        <filter val="189"/>
        <filter val="191"/>
        <filter val="192"/>
        <filter val="193"/>
        <filter val="197"/>
        <filter val="199"/>
        <filter val="20"/>
        <filter val="201"/>
        <filter val="207"/>
        <filter val="21"/>
        <filter val="215"/>
        <filter val="216"/>
        <filter val="217"/>
        <filter val="227"/>
        <filter val="228"/>
        <filter val="229"/>
        <filter val="230"/>
        <filter val="231"/>
        <filter val="232"/>
        <filter val="233"/>
        <filter val="234"/>
        <filter val="235"/>
        <filter val="236"/>
        <filter val="237"/>
        <filter val="238"/>
        <filter val="240"/>
        <filter val="241"/>
        <filter val="242"/>
        <filter val="245"/>
        <filter val="25"/>
        <filter val="33"/>
        <filter val="36"/>
        <filter val="4"/>
        <filter val="416"/>
        <filter val="417"/>
        <filter val="443"/>
        <filter val="447"/>
        <filter val="466"/>
        <filter val="47"/>
        <filter val="470"/>
        <filter val="5"/>
        <filter val="522"/>
        <filter val="523"/>
        <filter val="524"/>
        <filter val="526"/>
        <filter val="528"/>
        <filter val="530"/>
        <filter val="537"/>
        <filter val="538"/>
        <filter val="548"/>
        <filter val="549"/>
        <filter val="550"/>
        <filter val="551"/>
        <filter val="552"/>
        <filter val="553"/>
        <filter val="554"/>
        <filter val="555"/>
        <filter val="556"/>
        <filter val="557"/>
        <filter val="558"/>
        <filter val="559"/>
        <filter val="562"/>
        <filter val="563"/>
        <filter val="566"/>
        <filter val="61"/>
        <filter val="7"/>
        <filter val="73"/>
      </filters>
    </filterColumn>
  </autoFilter>
  <tableColumns count="8">
    <tableColumn id="1" xr3:uid="{9CB0F7B8-5CB3-4EE7-AA83-2E1D974910E6}" name="ITEM" totalsRowLabel="Total" dataDxfId="37" totalsRowDxfId="36">
      <calculatedColumnFormula>IF(TabelaPrincipal[[#This Row],[POSIÇÃO]]=1, TabelaPrincipal[[#This Row],[ITEM]],)</calculatedColumnFormula>
    </tableColumn>
    <tableColumn id="2" xr3:uid="{1E0503E4-B5EB-4557-B06D-9416EB18A8CA}" name="DESCRIÇÃO" dataDxfId="35" totalsRowDxfId="34">
      <calculatedColumnFormula>IF(TabelaPrincipal[[#This Row],[POSIÇÃO]]=1, TabelaPrincipal[[#This Row],[DESCRIÇÃO]],)</calculatedColumnFormula>
    </tableColumn>
    <tableColumn id="3" xr3:uid="{AD5B0998-901D-4704-BBA6-A025ECA4AB24}" name="UND" dataDxfId="33" totalsRowDxfId="32">
      <calculatedColumnFormula>IF(TabelaPrincipal[[#This Row],[POSIÇÃO]]=1,TabelaPrincipal[[#This Row],[UND]],)</calculatedColumnFormula>
    </tableColumn>
    <tableColumn id="4" xr3:uid="{F07A4521-1FF8-41AA-9346-BC77EBCEE476}" name="QTD" dataDxfId="31" totalsRowDxfId="30">
      <calculatedColumnFormula>IF(TabelaPrincipal[[#This Row],[POSIÇÃO]]=1,TabelaPrincipal[[#This Row],[QTD]],)</calculatedColumnFormula>
    </tableColumn>
    <tableColumn id="5" xr3:uid="{AEC66B89-EBAB-45C1-94BD-8DE9BCDD2031}" name="MARCA" dataDxfId="29" totalsRowDxfId="28">
      <calculatedColumnFormula>IF(TabelaPrincipal[[#This Row],[POSIÇÃO]]=1,TabelaPrincipal[[#This Row],[MARCA]],)</calculatedColumnFormula>
    </tableColumn>
    <tableColumn id="6" xr3:uid="{4DD2DFEC-53FB-41D1-8018-180667C33B49}" name="VALOR UNITÁRIO" dataDxfId="27" totalsRowDxfId="26">
      <calculatedColumnFormula>IF(TabelaPrincipal[[#This Row],[POSIÇÃO]]=1,TabelaPrincipal[[#This Row],[LANCE ATUAL]],)</calculatedColumnFormula>
    </tableColumn>
    <tableColumn id="7" xr3:uid="{56E11393-2157-4AE6-96B4-A55A662767B8}" name="VALOR TOTAL" totalsRowFunction="sum" dataDxfId="25" totalsRowDxfId="24">
      <calculatedColumnFormula>IF(TabelaPrincipal[[#This Row],[POSIÇÃO]]=1,TabelaPrincipal[[#This Row],[VALOR TOTAL DO LANCE]],)</calculatedColumnFormula>
    </tableColumn>
    <tableColumn id="8" xr3:uid="{C67B12DF-824C-4987-9EFD-60A04526EB63}" name="TOTAL POR EXTENSO" totalsRowFunction="custom" dataDxfId="23" totalsRowDxfId="22">
      <totalsRowFormula>Extenso_Valor(TabelaProposta4[[#Totals],[VALOR TOTAL]])</totalsRowFormula>
    </tableColumn>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CFAA1B4-814E-4223-B7E6-683C9654D63D}" name="TabelaProposta" displayName="TabelaProposta" ref="A1:H259" totalsRowCount="1" headerRowDxfId="21" dataDxfId="19" totalsRowDxfId="17" headerRowBorderDxfId="20" tableBorderDxfId="18" totalsRowBorderDxfId="16">
  <autoFilter ref="A1:H258" xr:uid="{2CFAA1B4-814E-4223-B7E6-683C9654D63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C2A8540-55DA-471A-8023-1DC82AFF521D}" name="ITEM" totalsRowLabel="Total" dataDxfId="15" totalsRowDxfId="14">
      <calculatedColumnFormula>TabelaPrincipal[[#This Row],[ITEM]]</calculatedColumnFormula>
    </tableColumn>
    <tableColumn id="2" xr3:uid="{F915D416-2888-4C08-B603-DD427B80EC39}" name="DESCRIÇÃO" dataDxfId="13" totalsRowDxfId="12">
      <calculatedColumnFormula>TabelaPrincipal[[#This Row],[DESCRIÇÃO]]</calculatedColumnFormula>
    </tableColumn>
    <tableColumn id="3" xr3:uid="{49DB4880-9F6A-4C83-B06A-2BE3AF89B478}" name="UND" dataDxfId="11" totalsRowDxfId="10">
      <calculatedColumnFormula>TabelaPrincipal[[#This Row],[UND]]</calculatedColumnFormula>
    </tableColumn>
    <tableColumn id="4" xr3:uid="{88402F2B-2E49-4C7B-B78B-F865BFB0E1DD}" name="QTD" dataDxfId="9" totalsRowDxfId="8">
      <calculatedColumnFormula>TabelaPrincipal[[#This Row],[QTD]]</calculatedColumnFormula>
    </tableColumn>
    <tableColumn id="5" xr3:uid="{3DB67E5A-8A24-45E8-8217-4846CFFF15A4}" name="MARCA" dataDxfId="7" totalsRowDxfId="6">
      <calculatedColumnFormula>TabelaPrincipal[[#This Row],[MARCA]]</calculatedColumnFormula>
    </tableColumn>
    <tableColumn id="6" xr3:uid="{B69EC1DE-FD02-4E24-9A4E-2413AAC85E68}" name="VALOR UNITÁRIO" dataDxfId="5" totalsRowDxfId="4">
      <calculatedColumnFormula>TabelaPrincipal[[#This Row],[CUSTO + PERCENTUAL DE ENTRADA]]</calculatedColumnFormula>
    </tableColumn>
    <tableColumn id="7" xr3:uid="{AB54B16F-01C8-42F8-BA21-D18026C5F589}" name="VALOR TOTAL" totalsRowFunction="sum" dataDxfId="3" totalsRowDxfId="2">
      <calculatedColumnFormula>TabelaPrincipal[[#This Row],[VALOR TOTAL]]</calculatedColumnFormula>
    </tableColumn>
    <tableColumn id="8" xr3:uid="{937D679C-928B-4903-8AF2-2ECD36984D55}" name="TOTAL POR EXTENSO" totalsRowFunction="custom" dataDxfId="1" totalsRowDxfId="0">
      <totalsRowFormula>Extenso_Valor(TabelaProposta[[#Totals],[VALOR TOTAL]])</totalsRow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3.bin"/><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O258"/>
  <sheetViews>
    <sheetView tabSelected="1" zoomScale="80" zoomScaleNormal="80" workbookViewId="0">
      <pane ySplit="1" topLeftCell="A2" activePane="bottomLeft" state="frozen"/>
      <selection pane="bottomLeft" activeCell="B3" sqref="B3"/>
    </sheetView>
  </sheetViews>
  <sheetFormatPr defaultRowHeight="15" customHeight="1" x14ac:dyDescent="0.25"/>
  <cols>
    <col min="1" max="1" width="7" customWidth="1"/>
    <col min="2" max="2" width="60.7109375" customWidth="1"/>
    <col min="3" max="3" width="10.85546875" customWidth="1"/>
    <col min="4" max="4" width="11.28515625" customWidth="1"/>
    <col min="5" max="5" width="13.5703125" customWidth="1"/>
    <col min="6" max="6" width="16" customWidth="1"/>
    <col min="7" max="7" width="12.7109375" customWidth="1"/>
    <col min="8" max="8" width="16.5703125" customWidth="1"/>
    <col min="9" max="9" width="17.28515625" customWidth="1"/>
    <col min="10" max="10" width="13" customWidth="1"/>
    <col min="11" max="11" width="12.85546875" customWidth="1"/>
    <col min="12" max="12" width="13.42578125" customWidth="1"/>
    <col min="13" max="13" width="12" customWidth="1"/>
    <col min="14" max="14" width="17.28515625" customWidth="1"/>
    <col min="15" max="15" width="13.85546875" bestFit="1" customWidth="1"/>
  </cols>
  <sheetData>
    <row r="1" spans="1:15" ht="45" x14ac:dyDescent="0.25">
      <c r="A1" s="6" t="s">
        <v>0</v>
      </c>
      <c r="B1" s="7" t="s">
        <v>5</v>
      </c>
      <c r="C1" s="7" t="s">
        <v>2</v>
      </c>
      <c r="D1" s="7" t="s">
        <v>1</v>
      </c>
      <c r="E1" s="7" t="s">
        <v>6</v>
      </c>
      <c r="F1" s="21" t="s">
        <v>4</v>
      </c>
      <c r="G1" s="21" t="s">
        <v>16</v>
      </c>
      <c r="H1" s="21" t="s">
        <v>15</v>
      </c>
      <c r="I1" s="22" t="s">
        <v>3</v>
      </c>
      <c r="J1" s="21" t="s">
        <v>10</v>
      </c>
      <c r="K1" s="21" t="s">
        <v>11</v>
      </c>
      <c r="L1" s="21" t="s">
        <v>12</v>
      </c>
      <c r="M1" s="7" t="s">
        <v>13</v>
      </c>
      <c r="N1" s="21" t="s">
        <v>14</v>
      </c>
      <c r="O1" s="7" t="s">
        <v>866</v>
      </c>
    </row>
    <row r="2" spans="1:15" x14ac:dyDescent="0.25">
      <c r="A2" s="4">
        <v>1</v>
      </c>
      <c r="B2" s="3" t="str">
        <f>VLOOKUP(TabelaPrincipal[[#This Row],[ITEM]],TabelaModelo,2,FALSE)</f>
        <v>Suxametônio cloreto, dosagem: 100 mg, indicação: injetável</v>
      </c>
      <c r="C2" s="1" t="str">
        <f>VLOOKUP(TabelaPrincipal[[#This Row],[ITEM]],TabelaModelo,3,FALSE)</f>
        <v>Frasco- ampola</v>
      </c>
      <c r="D2" s="1">
        <f>VLOOKUP(TabelaPrincipal[[#This Row],[ITEM]],TabelaModelo,4,FALSE)</f>
        <v>100</v>
      </c>
      <c r="E2" s="1" t="s">
        <v>795</v>
      </c>
      <c r="F2" s="23">
        <v>26.85</v>
      </c>
      <c r="G2" s="8">
        <v>0</v>
      </c>
      <c r="H2" s="2">
        <v>26.85</v>
      </c>
      <c r="I2" s="5">
        <f t="shared" ref="I2:I65" si="0">D2*H2</f>
        <v>2685</v>
      </c>
      <c r="J2" s="8">
        <f>IF(TabelaPrincipal[[#This Row],[PERCENTUAL DE ENTRADA]]&gt;0,0.15,0)</f>
        <v>0</v>
      </c>
      <c r="K2" s="2">
        <f>ROUND(F2+(F2*TabelaPrincipal[[#This Row],[PERCENTUAL MÍNIMO]]), 2)</f>
        <v>26.85</v>
      </c>
      <c r="L2" s="24">
        <f>IF(TabelaPrincipal[[#This Row],[PERCENTUAL DE ENTRADA]]=0,TabelaPrincipal[[#This Row],[VALOR MÍNIMO]],0)</f>
        <v>26.85</v>
      </c>
      <c r="M2" s="25">
        <v>1</v>
      </c>
      <c r="N2" s="23">
        <f>TabelaPrincipal[[#This Row],[LANCE ATUAL]]*TabelaPrincipal[[#This Row],[QTD]]</f>
        <v>2685</v>
      </c>
      <c r="O2" s="41" t="str">
        <f>IF(TabelaPrincipal[[#This Row],[LANCE ATUAL]]&lt;=(VLOOKUP(TabelaPrincipal[[#This Row],[ITEM]],TabelaModelo,5,FALSE)*0.5),"Inexequível","")</f>
        <v/>
      </c>
    </row>
    <row r="3" spans="1:15" ht="15" customHeight="1" x14ac:dyDescent="0.25">
      <c r="A3" s="36">
        <v>2</v>
      </c>
      <c r="B3" s="37" t="str">
        <f>VLOOKUP(TabelaPrincipal[[#This Row],[ITEM]],TabelaModelo,2,FALSE)</f>
        <v>Salbutamol, dosagem: 100 mcg/dose, forma farmacêutica: aerossol oral</v>
      </c>
      <c r="C3" s="38" t="str">
        <f>VLOOKUP(TabelaPrincipal[[#This Row],[ITEM]],TabelaModelo,3,FALSE)</f>
        <v>Frasco 200 doses</v>
      </c>
      <c r="D3" s="38">
        <f>VLOOKUP(TabelaPrincipal[[#This Row],[ITEM]],TabelaModelo,4,FALSE)</f>
        <v>300</v>
      </c>
      <c r="E3" s="38" t="s">
        <v>796</v>
      </c>
      <c r="F3" s="39">
        <v>20.149999999999999</v>
      </c>
      <c r="G3" s="29">
        <f>(TabelaPrincipal[[#This Row],[CUSTO + PERCENTUAL DE ENTRADA]]-TabelaPrincipal[[#This Row],[VALOR DE CUSTO]])/TabelaPrincipal[[#This Row],[VALOR DE CUSTO]]</f>
        <v>1.1846153846153848</v>
      </c>
      <c r="H3" s="2">
        <v>44.02</v>
      </c>
      <c r="I3" s="5">
        <f t="shared" si="0"/>
        <v>13206.000000000002</v>
      </c>
      <c r="J3" s="8">
        <v>0</v>
      </c>
      <c r="K3" s="2">
        <f>ROUND(F3+(F3*TabelaPrincipal[[#This Row],[PERCENTUAL MÍNIMO]]), 2)</f>
        <v>20.149999999999999</v>
      </c>
      <c r="L3" s="24">
        <v>20.149999999999999</v>
      </c>
      <c r="M3" s="25"/>
      <c r="N3" s="23">
        <f>TabelaPrincipal[[#This Row],[LANCE ATUAL]]*TabelaPrincipal[[#This Row],[QTD]]</f>
        <v>6045</v>
      </c>
      <c r="O3" s="41" t="str">
        <f>IF(TabelaPrincipal[[#This Row],[LANCE ATUAL]]&lt;=(VLOOKUP(TabelaPrincipal[[#This Row],[ITEM]],TabelaModelo,5,FALSE)*0.5),"Inexequível","")</f>
        <v>Inexequível</v>
      </c>
    </row>
    <row r="4" spans="1:15" ht="15" customHeight="1" x14ac:dyDescent="0.25">
      <c r="A4" s="4">
        <v>3</v>
      </c>
      <c r="B4" s="3" t="str">
        <f>VLOOKUP(TabelaPrincipal[[#This Row],[ITEM]],TabelaModelo,2,FALSE)</f>
        <v>Propofol, dosagem: 10 mg/ml, forma farmacêutica: emulsão injetável. Frasco 20 mL</v>
      </c>
      <c r="C4" s="1" t="str">
        <f>VLOOKUP(TabelaPrincipal[[#This Row],[ITEM]],TabelaModelo,3,FALSE)</f>
        <v>Frasco 20 ml</v>
      </c>
      <c r="D4" s="1">
        <f>VLOOKUP(TabelaPrincipal[[#This Row],[ITEM]],TabelaModelo,4,FALSE)</f>
        <v>100</v>
      </c>
      <c r="E4" s="1" t="s">
        <v>797</v>
      </c>
      <c r="F4" s="23">
        <v>13.9</v>
      </c>
      <c r="G4" s="8">
        <f>IF(_xlfn.ISFORMULA(TabelaPrincipal[[#This Row],[CUSTO + PERCENTUAL DE ENTRADA]]),0.4,(TabelaPrincipal[[#This Row],[CUSTO + PERCENTUAL DE ENTRADA]]-TabelaPrincipal[[#This Row],[VALOR DE CUSTO]])/TabelaPrincipal[[#This Row],[VALOR DE CUSTO]])</f>
        <v>0.71438848920863296</v>
      </c>
      <c r="H4" s="2">
        <v>23.83</v>
      </c>
      <c r="I4" s="5">
        <f t="shared" si="0"/>
        <v>2383</v>
      </c>
      <c r="J4" s="8">
        <v>0</v>
      </c>
      <c r="K4" s="2">
        <f>ROUND(F4+(F4*TabelaPrincipal[[#This Row],[PERCENTUAL MÍNIMO]]), 2)</f>
        <v>13.9</v>
      </c>
      <c r="L4" s="24">
        <v>13.9</v>
      </c>
      <c r="M4" s="25"/>
      <c r="N4" s="23">
        <f>TabelaPrincipal[[#This Row],[LANCE ATUAL]]*TabelaPrincipal[[#This Row],[QTD]]</f>
        <v>1390</v>
      </c>
      <c r="O4" s="41" t="str">
        <f>IF(TabelaPrincipal[[#This Row],[LANCE ATUAL]]&lt;=(VLOOKUP(TabelaPrincipal[[#This Row],[ITEM]],TabelaModelo,5,FALSE)*0.5),"Inexequível","")</f>
        <v/>
      </c>
    </row>
    <row r="5" spans="1:15" ht="15" customHeight="1" x14ac:dyDescent="0.25">
      <c r="A5" s="4">
        <v>4</v>
      </c>
      <c r="B5" s="3" t="str">
        <f>VLOOKUP(TabelaPrincipal[[#This Row],[ITEM]],TabelaModelo,2,FALSE)</f>
        <v>Enoxaparina, concentração: 100 mg/ml, forma farmacêutica: solução injetável, características adicionais 1: seringa preenchida 0,40 mL</v>
      </c>
      <c r="C5" s="1" t="str">
        <f>VLOOKUP(TabelaPrincipal[[#This Row],[ITEM]],TabelaModelo,3,FALSE)</f>
        <v>Seringa 0,40 ml</v>
      </c>
      <c r="D5" s="1">
        <f>VLOOKUP(TabelaPrincipal[[#This Row],[ITEM]],TabelaModelo,4,FALSE)</f>
        <v>1000</v>
      </c>
      <c r="E5" s="1" t="s">
        <v>800</v>
      </c>
      <c r="F5" s="23">
        <v>15.9</v>
      </c>
      <c r="G5" s="8">
        <f>IF(_xlfn.ISFORMULA(TabelaPrincipal[[#This Row],[CUSTO + PERCENTUAL DE ENTRADA]]),0.4,(TabelaPrincipal[[#This Row],[CUSTO + PERCENTUAL DE ENTRADA]]-TabelaPrincipal[[#This Row],[VALOR DE CUSTO]])/TabelaPrincipal[[#This Row],[VALOR DE CUSTO]])</f>
        <v>2.8251572327044028</v>
      </c>
      <c r="H5" s="2">
        <v>60.82</v>
      </c>
      <c r="I5" s="5">
        <f t="shared" si="0"/>
        <v>60820</v>
      </c>
      <c r="J5" s="8">
        <v>0</v>
      </c>
      <c r="K5" s="2">
        <f>ROUND(F5+(F5*TabelaPrincipal[[#This Row],[PERCENTUAL MÍNIMO]]), 2)</f>
        <v>15.9</v>
      </c>
      <c r="L5" s="24">
        <v>18.79</v>
      </c>
      <c r="M5" s="25">
        <v>1</v>
      </c>
      <c r="N5" s="23">
        <f>TabelaPrincipal[[#This Row],[LANCE ATUAL]]*TabelaPrincipal[[#This Row],[QTD]]</f>
        <v>18790</v>
      </c>
      <c r="O5" s="41" t="str">
        <f>IF(TabelaPrincipal[[#This Row],[LANCE ATUAL]]&lt;=(VLOOKUP(TabelaPrincipal[[#This Row],[ITEM]],TabelaModelo,5,FALSE)*0.5),"Inexequível","")</f>
        <v>Inexequível</v>
      </c>
    </row>
    <row r="6" spans="1:15" ht="15" customHeight="1" x14ac:dyDescent="0.25">
      <c r="A6" s="4">
        <v>5</v>
      </c>
      <c r="B6" s="3" t="str">
        <f>VLOOKUP(TabelaPrincipal[[#This Row],[ITEM]],TabelaModelo,2,FALSE)</f>
        <v>Enoxaparina, concentração: 100 mg/ml, forma farmacêutica: solução injetável, características adicionais 1: seringa preenchida 0,20 mL</v>
      </c>
      <c r="C6" s="1" t="str">
        <f>VLOOKUP(TabelaPrincipal[[#This Row],[ITEM]],TabelaModelo,3,FALSE)</f>
        <v>Seringa 0,20 ml</v>
      </c>
      <c r="D6" s="1">
        <f>VLOOKUP(TabelaPrincipal[[#This Row],[ITEM]],TabelaModelo,4,FALSE)</f>
        <v>1000</v>
      </c>
      <c r="E6" s="1" t="s">
        <v>797</v>
      </c>
      <c r="F6" s="23">
        <v>14.5</v>
      </c>
      <c r="G6" s="8">
        <f>IF(_xlfn.ISFORMULA(TabelaPrincipal[[#This Row],[CUSTO + PERCENTUAL DE ENTRADA]]),0.4,(TabelaPrincipal[[#This Row],[CUSTO + PERCENTUAL DE ENTRADA]]-TabelaPrincipal[[#This Row],[VALOR DE CUSTO]])/TabelaPrincipal[[#This Row],[VALOR DE CUSTO]])</f>
        <v>1.9331034482758622</v>
      </c>
      <c r="H6" s="2">
        <v>42.53</v>
      </c>
      <c r="I6" s="5">
        <f t="shared" si="0"/>
        <v>42530</v>
      </c>
      <c r="J6" s="8">
        <v>0</v>
      </c>
      <c r="K6" s="2">
        <f>ROUND(F6+(F6*TabelaPrincipal[[#This Row],[PERCENTUAL MÍNIMO]]), 2)</f>
        <v>14.5</v>
      </c>
      <c r="L6" s="24">
        <v>14.87</v>
      </c>
      <c r="M6" s="25">
        <v>1</v>
      </c>
      <c r="N6" s="23">
        <f>TabelaPrincipal[[#This Row],[LANCE ATUAL]]*TabelaPrincipal[[#This Row],[QTD]]</f>
        <v>14870</v>
      </c>
      <c r="O6" s="41" t="str">
        <f>IF(TabelaPrincipal[[#This Row],[LANCE ATUAL]]&lt;=(VLOOKUP(TabelaPrincipal[[#This Row],[ITEM]],TabelaModelo,5,FALSE)*0.5),"Inexequível","")</f>
        <v>Inexequível</v>
      </c>
    </row>
    <row r="7" spans="1:15" ht="15" customHeight="1" x14ac:dyDescent="0.25">
      <c r="A7" s="4">
        <v>6</v>
      </c>
      <c r="B7" s="3" t="str">
        <f>VLOOKUP(TabelaPrincipal[[#This Row],[ITEM]],TabelaModelo,2,FALSE)</f>
        <v>Espironolactona, dosagem: 100 mg</v>
      </c>
      <c r="C7" s="1" t="str">
        <f>VLOOKUP(TabelaPrincipal[[#This Row],[ITEM]],TabelaModelo,3,FALSE)</f>
        <v>Comprimido</v>
      </c>
      <c r="D7" s="1">
        <f>VLOOKUP(TabelaPrincipal[[#This Row],[ITEM]],TabelaModelo,4,FALSE)</f>
        <v>1000</v>
      </c>
      <c r="E7" s="1" t="s">
        <v>801</v>
      </c>
      <c r="F7" s="23">
        <v>1.17</v>
      </c>
      <c r="G7" s="8">
        <f>IF(_xlfn.ISFORMULA(TabelaPrincipal[[#This Row],[CUSTO + PERCENTUAL DE ENTRADA]]),0.4,(TabelaPrincipal[[#This Row],[CUSTO + PERCENTUAL DE ENTRADA]]-TabelaPrincipal[[#This Row],[VALOR DE CUSTO]])/TabelaPrincipal[[#This Row],[VALOR DE CUSTO]])</f>
        <v>0.4</v>
      </c>
      <c r="H7" s="2">
        <f>ROUND(F7+(F7*TabelaPrincipal[[#This Row],[PERCENTUAL DE ENTRADA]]), 2)</f>
        <v>1.64</v>
      </c>
      <c r="I7" s="5">
        <f t="shared" si="0"/>
        <v>1640</v>
      </c>
      <c r="J7" s="8">
        <v>0</v>
      </c>
      <c r="K7" s="2">
        <f>ROUND(F7+(F7*TabelaPrincipal[[#This Row],[PERCENTUAL MÍNIMO]]), 2)</f>
        <v>1.17</v>
      </c>
      <c r="L7" s="24">
        <v>1.17</v>
      </c>
      <c r="M7" s="25"/>
      <c r="N7" s="23">
        <f>TabelaPrincipal[[#This Row],[LANCE ATUAL]]*TabelaPrincipal[[#This Row],[QTD]]</f>
        <v>1170</v>
      </c>
      <c r="O7" s="41" t="str">
        <f>IF(TabelaPrincipal[[#This Row],[LANCE ATUAL]]&lt;=(VLOOKUP(TabelaPrincipal[[#This Row],[ITEM]],TabelaModelo,5,FALSE)*0.5),"Inexequível","")</f>
        <v/>
      </c>
    </row>
    <row r="8" spans="1:15" ht="15" customHeight="1" x14ac:dyDescent="0.25">
      <c r="A8" s="4">
        <v>7</v>
      </c>
      <c r="B8" s="3" t="str">
        <f>VLOOKUP(TabelaPrincipal[[#This Row],[ITEM]],TabelaModelo,2,FALSE)</f>
        <v>Colecalciferol, concentração: 50.000 UI</v>
      </c>
      <c r="C8" s="1" t="str">
        <f>VLOOKUP(TabelaPrincipal[[#This Row],[ITEM]],TabelaModelo,3,FALSE)</f>
        <v>Cápsula</v>
      </c>
      <c r="D8" s="1">
        <f>VLOOKUP(TabelaPrincipal[[#This Row],[ITEM]],TabelaModelo,4,FALSE)</f>
        <v>1600</v>
      </c>
      <c r="E8" s="1" t="s">
        <v>802</v>
      </c>
      <c r="F8" s="23">
        <v>2.71</v>
      </c>
      <c r="G8" s="8">
        <f>IF(_xlfn.ISFORMULA(TabelaPrincipal[[#This Row],[CUSTO + PERCENTUAL DE ENTRADA]]),0.4,(TabelaPrincipal[[#This Row],[CUSTO + PERCENTUAL DE ENTRADA]]-TabelaPrincipal[[#This Row],[VALOR DE CUSTO]])/TabelaPrincipal[[#This Row],[VALOR DE CUSTO]])</f>
        <v>5.8376383763837643</v>
      </c>
      <c r="H8" s="2">
        <v>18.53</v>
      </c>
      <c r="I8" s="5">
        <f t="shared" si="0"/>
        <v>29648</v>
      </c>
      <c r="J8" s="8">
        <v>0</v>
      </c>
      <c r="K8" s="2">
        <f>ROUND(F8+(F8*TabelaPrincipal[[#This Row],[PERCENTUAL MÍNIMO]]), 2)</f>
        <v>2.71</v>
      </c>
      <c r="L8" s="24">
        <v>3</v>
      </c>
      <c r="M8" s="25">
        <v>1</v>
      </c>
      <c r="N8" s="23">
        <f>TabelaPrincipal[[#This Row],[LANCE ATUAL]]*TabelaPrincipal[[#This Row],[QTD]]</f>
        <v>4800</v>
      </c>
      <c r="O8" s="41" t="str">
        <f>IF(TabelaPrincipal[[#This Row],[LANCE ATUAL]]&lt;=(VLOOKUP(TabelaPrincipal[[#This Row],[ITEM]],TabelaModelo,5,FALSE)*0.5),"Inexequível","")</f>
        <v>Inexequível</v>
      </c>
    </row>
    <row r="9" spans="1:15" ht="15" customHeight="1" x14ac:dyDescent="0.25">
      <c r="A9" s="4">
        <v>8</v>
      </c>
      <c r="B9" s="3" t="str">
        <f>VLOOKUP(TabelaPrincipal[[#This Row],[ITEM]],TabelaModelo,2,FALSE)</f>
        <v>Acetilcisteína, dosagem: 600 mg, indicação: pó para solução oral</v>
      </c>
      <c r="C9" s="1" t="str">
        <f>VLOOKUP(TabelaPrincipal[[#This Row],[ITEM]],TabelaModelo,3,FALSE)</f>
        <v>Envelope</v>
      </c>
      <c r="D9" s="1">
        <f>VLOOKUP(TabelaPrincipal[[#This Row],[ITEM]],TabelaModelo,4,FALSE)</f>
        <v>1280</v>
      </c>
      <c r="E9" s="1" t="s">
        <v>803</v>
      </c>
      <c r="F9" s="23">
        <v>1.1499999999999999</v>
      </c>
      <c r="G9" s="8">
        <f>IF(_xlfn.ISFORMULA(TabelaPrincipal[[#This Row],[CUSTO + PERCENTUAL DE ENTRADA]]),0.4,(TabelaPrincipal[[#This Row],[CUSTO + PERCENTUAL DE ENTRADA]]-TabelaPrincipal[[#This Row],[VALOR DE CUSTO]])/TabelaPrincipal[[#This Row],[VALOR DE CUSTO]])</f>
        <v>0.4</v>
      </c>
      <c r="H9" s="2">
        <f>ROUND(F9+(F9*TabelaPrincipal[[#This Row],[PERCENTUAL DE ENTRADA]]), 2)</f>
        <v>1.61</v>
      </c>
      <c r="I9" s="5">
        <f t="shared" si="0"/>
        <v>2060.8000000000002</v>
      </c>
      <c r="J9" s="8">
        <v>0</v>
      </c>
      <c r="K9" s="2">
        <f>ROUND(F9+(F9*TabelaPrincipal[[#This Row],[PERCENTUAL MÍNIMO]]), 2)</f>
        <v>1.1499999999999999</v>
      </c>
      <c r="L9" s="24">
        <v>1.1499999999999999</v>
      </c>
      <c r="M9" s="25"/>
      <c r="N9" s="23">
        <f>TabelaPrincipal[[#This Row],[LANCE ATUAL]]*TabelaPrincipal[[#This Row],[QTD]]</f>
        <v>1472</v>
      </c>
      <c r="O9" s="41" t="str">
        <f>IF(TabelaPrincipal[[#This Row],[LANCE ATUAL]]&lt;=(VLOOKUP(TabelaPrincipal[[#This Row],[ITEM]],TabelaModelo,5,FALSE)*0.5),"Inexequível","")</f>
        <v/>
      </c>
    </row>
    <row r="10" spans="1:15" ht="15" customHeight="1" x14ac:dyDescent="0.25">
      <c r="A10" s="4">
        <v>9</v>
      </c>
      <c r="B10" s="3" t="str">
        <f>VLOOKUP(TabelaPrincipal[[#This Row],[ITEM]],TabelaModelo,2,FALSE)</f>
        <v>Ácido acetilsalicílico (AAS) 100 mg comprimido</v>
      </c>
      <c r="C10" s="1" t="str">
        <f>VLOOKUP(TabelaPrincipal[[#This Row],[ITEM]],TabelaModelo,3,FALSE)</f>
        <v>Comprimido</v>
      </c>
      <c r="D10" s="1">
        <f>VLOOKUP(TabelaPrincipal[[#This Row],[ITEM]],TabelaModelo,4,FALSE)</f>
        <v>500</v>
      </c>
      <c r="E10" s="1" t="s">
        <v>804</v>
      </c>
      <c r="F10" s="23">
        <v>0.06</v>
      </c>
      <c r="G10" s="8">
        <f>IF(_xlfn.ISFORMULA(TabelaPrincipal[[#This Row],[CUSTO + PERCENTUAL DE ENTRADA]]),0.4,(TabelaPrincipal[[#This Row],[CUSTO + PERCENTUAL DE ENTRADA]]-TabelaPrincipal[[#This Row],[VALOR DE CUSTO]])/TabelaPrincipal[[#This Row],[VALOR DE CUSTO]])</f>
        <v>14.500000000000002</v>
      </c>
      <c r="H10" s="2">
        <v>0.93</v>
      </c>
      <c r="I10" s="5">
        <f t="shared" si="0"/>
        <v>465</v>
      </c>
      <c r="J10" s="8">
        <v>0</v>
      </c>
      <c r="K10" s="2">
        <f>ROUND(F10+(F10*TabelaPrincipal[[#This Row],[PERCENTUAL MÍNIMO]]), 2)</f>
        <v>0.06</v>
      </c>
      <c r="L10" s="24">
        <v>7.0000000000000007E-2</v>
      </c>
      <c r="M10" s="25"/>
      <c r="N10" s="23">
        <f>TabelaPrincipal[[#This Row],[LANCE ATUAL]]*TabelaPrincipal[[#This Row],[QTD]]</f>
        <v>35</v>
      </c>
      <c r="O10" s="41" t="str">
        <f>IF(TabelaPrincipal[[#This Row],[LANCE ATUAL]]&lt;=(VLOOKUP(TabelaPrincipal[[#This Row],[ITEM]],TabelaModelo,5,FALSE)*0.5),"Inexequível","")</f>
        <v>Inexequível</v>
      </c>
    </row>
    <row r="11" spans="1:15" ht="15" customHeight="1" x14ac:dyDescent="0.25">
      <c r="A11" s="4">
        <v>10</v>
      </c>
      <c r="B11" s="3" t="str">
        <f>VLOOKUP(TabelaPrincipal[[#This Row],[ITEM]],TabelaModelo,2,FALSE)</f>
        <v>Ácido ascórbico (vitamina C) 100 mg/mL solução injetável</v>
      </c>
      <c r="C11" s="1" t="str">
        <f>VLOOKUP(TabelaPrincipal[[#This Row],[ITEM]],TabelaModelo,3,FALSE)</f>
        <v>Ampola 5 ml</v>
      </c>
      <c r="D11" s="1">
        <f>VLOOKUP(TabelaPrincipal[[#This Row],[ITEM]],TabelaModelo,4,FALSE)</f>
        <v>300</v>
      </c>
      <c r="E11" s="1" t="s">
        <v>805</v>
      </c>
      <c r="F11" s="23">
        <v>1.9</v>
      </c>
      <c r="G11" s="8">
        <f>IF(_xlfn.ISFORMULA(TabelaPrincipal[[#This Row],[CUSTO + PERCENTUAL DE ENTRADA]]),0.4,(TabelaPrincipal[[#This Row],[CUSTO + PERCENTUAL DE ENTRADA]]-TabelaPrincipal[[#This Row],[VALOR DE CUSTO]])/TabelaPrincipal[[#This Row],[VALOR DE CUSTO]])</f>
        <v>0.97894736842105257</v>
      </c>
      <c r="H11" s="2">
        <v>3.76</v>
      </c>
      <c r="I11" s="5">
        <f t="shared" si="0"/>
        <v>1128</v>
      </c>
      <c r="J11" s="8">
        <v>0</v>
      </c>
      <c r="K11" s="2">
        <f>ROUND(F11+(F11*TabelaPrincipal[[#This Row],[PERCENTUAL MÍNIMO]]), 2)</f>
        <v>1.9</v>
      </c>
      <c r="L11" s="24">
        <v>1.9</v>
      </c>
      <c r="M11" s="25"/>
      <c r="N11" s="23">
        <f>TabelaPrincipal[[#This Row],[LANCE ATUAL]]*TabelaPrincipal[[#This Row],[QTD]]</f>
        <v>570</v>
      </c>
      <c r="O11" s="41" t="str">
        <f>IF(TabelaPrincipal[[#This Row],[LANCE ATUAL]]&lt;=(VLOOKUP(TabelaPrincipal[[#This Row],[ITEM]],TabelaModelo,5,FALSE)*0.5),"Inexequível","")</f>
        <v/>
      </c>
    </row>
    <row r="12" spans="1:15" ht="15" customHeight="1" x14ac:dyDescent="0.25">
      <c r="A12" s="4">
        <v>11</v>
      </c>
      <c r="B12" s="3" t="str">
        <f>VLOOKUP(TabelaPrincipal[[#This Row],[ITEM]],TabelaModelo,2,FALSE)</f>
        <v>Ácido ascórbico, concentração: 500 mg, forma farmacêutica: comprimido efervescente</v>
      </c>
      <c r="C12" s="1" t="str">
        <f>VLOOKUP(TabelaPrincipal[[#This Row],[ITEM]],TabelaModelo,3,FALSE)</f>
        <v>Comprimido</v>
      </c>
      <c r="D12" s="1">
        <f>VLOOKUP(TabelaPrincipal[[#This Row],[ITEM]],TabelaModelo,4,FALSE)</f>
        <v>2000</v>
      </c>
      <c r="E12" s="1" t="s">
        <v>806</v>
      </c>
      <c r="F12" s="23">
        <v>1.1100000000000001</v>
      </c>
      <c r="G12" s="8">
        <v>0</v>
      </c>
      <c r="H12" s="2">
        <f>ROUND(F12+(F12*TabelaPrincipal[[#This Row],[PERCENTUAL DE ENTRADA]]), 2)</f>
        <v>1.1100000000000001</v>
      </c>
      <c r="I12" s="5">
        <f t="shared" si="0"/>
        <v>2220</v>
      </c>
      <c r="J12" s="8">
        <f>IF(TabelaPrincipal[[#This Row],[PERCENTUAL DE ENTRADA]]&gt;0,0.15,0)</f>
        <v>0</v>
      </c>
      <c r="K12" s="2">
        <f>ROUND(F12+(F12*TabelaPrincipal[[#This Row],[PERCENTUAL MÍNIMO]]), 2)</f>
        <v>1.1100000000000001</v>
      </c>
      <c r="L12" s="24">
        <f>IF(TabelaPrincipal[[#This Row],[PERCENTUAL DE ENTRADA]]=0,TabelaPrincipal[[#This Row],[VALOR MÍNIMO]],0)</f>
        <v>1.1100000000000001</v>
      </c>
      <c r="M12" s="25"/>
      <c r="N12" s="23">
        <f>TabelaPrincipal[[#This Row],[LANCE ATUAL]]*TabelaPrincipal[[#This Row],[QTD]]</f>
        <v>2220</v>
      </c>
      <c r="O12" s="41" t="str">
        <f>IF(TabelaPrincipal[[#This Row],[LANCE ATUAL]]&lt;=(VLOOKUP(TabelaPrincipal[[#This Row],[ITEM]],TabelaModelo,5,FALSE)*0.5),"Inexequível","")</f>
        <v/>
      </c>
    </row>
    <row r="13" spans="1:15" ht="15" customHeight="1" x14ac:dyDescent="0.25">
      <c r="A13" s="4">
        <v>12</v>
      </c>
      <c r="B13" s="3" t="str">
        <f>VLOOKUP(TabelaPrincipal[[#This Row],[ITEM]],TabelaModelo,2,FALSE)</f>
        <v>Ácido tranexâmico 50 mg/mL solução injetável</v>
      </c>
      <c r="C13" s="1" t="str">
        <f>VLOOKUP(TabelaPrincipal[[#This Row],[ITEM]],TabelaModelo,3,FALSE)</f>
        <v>Ampola</v>
      </c>
      <c r="D13" s="1">
        <f>VLOOKUP(TabelaPrincipal[[#This Row],[ITEM]],TabelaModelo,4,FALSE)</f>
        <v>150</v>
      </c>
      <c r="E13" s="1" t="s">
        <v>807</v>
      </c>
      <c r="F13" s="23">
        <v>5.9</v>
      </c>
      <c r="G13" s="8">
        <f>IF(_xlfn.ISFORMULA(TabelaPrincipal[[#This Row],[CUSTO + PERCENTUAL DE ENTRADA]]),0.4,(TabelaPrincipal[[#This Row],[CUSTO + PERCENTUAL DE ENTRADA]]-TabelaPrincipal[[#This Row],[VALOR DE CUSTO]])/TabelaPrincipal[[#This Row],[VALOR DE CUSTO]])</f>
        <v>0.4</v>
      </c>
      <c r="H13" s="2">
        <f>ROUND(F13+(F13*TabelaPrincipal[[#This Row],[PERCENTUAL DE ENTRADA]]), 2)</f>
        <v>8.26</v>
      </c>
      <c r="I13" s="5">
        <f t="shared" si="0"/>
        <v>1239</v>
      </c>
      <c r="J13" s="8">
        <v>0</v>
      </c>
      <c r="K13" s="2">
        <f>ROUND(F13+(F13*TabelaPrincipal[[#This Row],[PERCENTUAL MÍNIMO]]), 2)</f>
        <v>5.9</v>
      </c>
      <c r="L13" s="24">
        <v>5.9</v>
      </c>
      <c r="M13" s="25"/>
      <c r="N13" s="23">
        <f>TabelaPrincipal[[#This Row],[LANCE ATUAL]]*TabelaPrincipal[[#This Row],[QTD]]</f>
        <v>885</v>
      </c>
      <c r="O13" s="41" t="str">
        <f>IF(TabelaPrincipal[[#This Row],[LANCE ATUAL]]&lt;=(VLOOKUP(TabelaPrincipal[[#This Row],[ITEM]],TabelaModelo,5,FALSE)*0.5),"Inexequível","")</f>
        <v/>
      </c>
    </row>
    <row r="14" spans="1:15" ht="15" customHeight="1" x14ac:dyDescent="0.25">
      <c r="A14" s="4">
        <v>13</v>
      </c>
      <c r="B14" s="3" t="str">
        <f>VLOOKUP(TabelaPrincipal[[#This Row],[ITEM]],TabelaModelo,2,FALSE)</f>
        <v>Adenosina 3 mg/mL solução injetável</v>
      </c>
      <c r="C14" s="1" t="str">
        <f>VLOOKUP(TabelaPrincipal[[#This Row],[ITEM]],TabelaModelo,3,FALSE)</f>
        <v>Ampola</v>
      </c>
      <c r="D14" s="1">
        <f>VLOOKUP(TabelaPrincipal[[#This Row],[ITEM]],TabelaModelo,4,FALSE)</f>
        <v>200</v>
      </c>
      <c r="E14" s="1" t="s">
        <v>807</v>
      </c>
      <c r="F14" s="23">
        <v>13.9</v>
      </c>
      <c r="G14" s="8">
        <f>IF(_xlfn.ISFORMULA(TabelaPrincipal[[#This Row],[CUSTO + PERCENTUAL DE ENTRADA]]),0.4,(TabelaPrincipal[[#This Row],[CUSTO + PERCENTUAL DE ENTRADA]]-TabelaPrincipal[[#This Row],[VALOR DE CUSTO]])/TabelaPrincipal[[#This Row],[VALOR DE CUSTO]])</f>
        <v>0.4</v>
      </c>
      <c r="H14" s="2">
        <f>ROUND(F14+(F14*TabelaPrincipal[[#This Row],[PERCENTUAL DE ENTRADA]]), 2)</f>
        <v>19.46</v>
      </c>
      <c r="I14" s="5">
        <f t="shared" si="0"/>
        <v>3892</v>
      </c>
      <c r="J14" s="8">
        <v>0</v>
      </c>
      <c r="K14" s="2">
        <f>ROUND(F14+(F14*TabelaPrincipal[[#This Row],[PERCENTUAL MÍNIMO]]), 2)</f>
        <v>13.9</v>
      </c>
      <c r="L14" s="24">
        <v>13.9</v>
      </c>
      <c r="M14" s="25"/>
      <c r="N14" s="23">
        <f>TabelaPrincipal[[#This Row],[LANCE ATUAL]]*TabelaPrincipal[[#This Row],[QTD]]</f>
        <v>2780</v>
      </c>
      <c r="O14" s="41" t="str">
        <f>IF(TabelaPrincipal[[#This Row],[LANCE ATUAL]]&lt;=(VLOOKUP(TabelaPrincipal[[#This Row],[ITEM]],TabelaModelo,5,FALSE)*0.5),"Inexequível","")</f>
        <v/>
      </c>
    </row>
    <row r="15" spans="1:15" ht="15" customHeight="1" x14ac:dyDescent="0.25">
      <c r="A15" s="4">
        <v>14</v>
      </c>
      <c r="B15" s="3" t="str">
        <f>VLOOKUP(TabelaPrincipal[[#This Row],[ITEM]],TabelaModelo,2,FALSE)</f>
        <v>Amiodarona 50 mg/mL solução injetável</v>
      </c>
      <c r="C15" s="1" t="str">
        <f>VLOOKUP(TabelaPrincipal[[#This Row],[ITEM]],TabelaModelo,3,FALSE)</f>
        <v>Ampola</v>
      </c>
      <c r="D15" s="1">
        <f>VLOOKUP(TabelaPrincipal[[#This Row],[ITEM]],TabelaModelo,4,FALSE)</f>
        <v>250</v>
      </c>
      <c r="E15" s="1" t="s">
        <v>807</v>
      </c>
      <c r="F15" s="23">
        <v>3.1</v>
      </c>
      <c r="G15" s="8">
        <f>IF(_xlfn.ISFORMULA(TabelaPrincipal[[#This Row],[CUSTO + PERCENTUAL DE ENTRADA]]),0.4,(TabelaPrincipal[[#This Row],[CUSTO + PERCENTUAL DE ENTRADA]]-TabelaPrincipal[[#This Row],[VALOR DE CUSTO]])/TabelaPrincipal[[#This Row],[VALOR DE CUSTO]])</f>
        <v>0.4</v>
      </c>
      <c r="H15" s="2">
        <f>ROUND(F15+(F15*TabelaPrincipal[[#This Row],[PERCENTUAL DE ENTRADA]]), 2)</f>
        <v>4.34</v>
      </c>
      <c r="I15" s="5">
        <f t="shared" si="0"/>
        <v>1085</v>
      </c>
      <c r="J15" s="8">
        <v>0</v>
      </c>
      <c r="K15" s="2">
        <f>ROUND(F15+(F15*TabelaPrincipal[[#This Row],[PERCENTUAL MÍNIMO]]), 2)</f>
        <v>3.1</v>
      </c>
      <c r="L15" s="24">
        <v>3.1</v>
      </c>
      <c r="M15" s="25"/>
      <c r="N15" s="23">
        <f>TabelaPrincipal[[#This Row],[LANCE ATUAL]]*TabelaPrincipal[[#This Row],[QTD]]</f>
        <v>775</v>
      </c>
      <c r="O15" s="41" t="str">
        <f>IF(TabelaPrincipal[[#This Row],[LANCE ATUAL]]&lt;=(VLOOKUP(TabelaPrincipal[[#This Row],[ITEM]],TabelaModelo,5,FALSE)*0.5),"Inexequível","")</f>
        <v/>
      </c>
    </row>
    <row r="16" spans="1:15" ht="15" customHeight="1" x14ac:dyDescent="0.25">
      <c r="A16" s="4">
        <v>15</v>
      </c>
      <c r="B16" s="3" t="str">
        <f>VLOOKUP(TabelaPrincipal[[#This Row],[ITEM]],TabelaModelo,2,FALSE)</f>
        <v>Azitromicina 500 mg comprimido</v>
      </c>
      <c r="C16" s="1" t="str">
        <f>VLOOKUP(TabelaPrincipal[[#This Row],[ITEM]],TabelaModelo,3,FALSE)</f>
        <v>Comprimido</v>
      </c>
      <c r="D16" s="1">
        <f>VLOOKUP(TabelaPrincipal[[#This Row],[ITEM]],TabelaModelo,4,FALSE)</f>
        <v>1500</v>
      </c>
      <c r="E16" s="1" t="s">
        <v>808</v>
      </c>
      <c r="F16" s="23">
        <v>1.3</v>
      </c>
      <c r="G16" s="8">
        <f>IF(_xlfn.ISFORMULA(TabelaPrincipal[[#This Row],[CUSTO + PERCENTUAL DE ENTRADA]]),0.4,(TabelaPrincipal[[#This Row],[CUSTO + PERCENTUAL DE ENTRADA]]-TabelaPrincipal[[#This Row],[VALOR DE CUSTO]])/TabelaPrincipal[[#This Row],[VALOR DE CUSTO]])</f>
        <v>1.4230769230769229</v>
      </c>
      <c r="H16" s="2">
        <v>3.15</v>
      </c>
      <c r="I16" s="5">
        <f t="shared" si="0"/>
        <v>4725</v>
      </c>
      <c r="J16" s="8">
        <v>0</v>
      </c>
      <c r="K16" s="2">
        <f>ROUND(F16+(F16*TabelaPrincipal[[#This Row],[PERCENTUAL MÍNIMO]]), 2)</f>
        <v>1.3</v>
      </c>
      <c r="L16" s="24">
        <v>1.3</v>
      </c>
      <c r="M16" s="25"/>
      <c r="N16" s="23">
        <f>TabelaPrincipal[[#This Row],[LANCE ATUAL]]*TabelaPrincipal[[#This Row],[QTD]]</f>
        <v>1950</v>
      </c>
      <c r="O16" s="41" t="str">
        <f>IF(TabelaPrincipal[[#This Row],[LANCE ATUAL]]&lt;=(VLOOKUP(TabelaPrincipal[[#This Row],[ITEM]],TabelaModelo,5,FALSE)*0.5),"Inexequível","")</f>
        <v>Inexequível</v>
      </c>
    </row>
    <row r="17" spans="1:15" ht="15" customHeight="1" x14ac:dyDescent="0.25">
      <c r="A17" s="4">
        <v>16</v>
      </c>
      <c r="B17" s="3" t="str">
        <f>VLOOKUP(TabelaPrincipal[[#This Row],[ITEM]],TabelaModelo,2,FALSE)</f>
        <v>Bicarbonato de sódio 1mEq/mL (8,4%) solução injetável</v>
      </c>
      <c r="C17" s="1" t="str">
        <f>VLOOKUP(TabelaPrincipal[[#This Row],[ITEM]],TabelaModelo,3,FALSE)</f>
        <v>Ampola 10 ml</v>
      </c>
      <c r="D17" s="1">
        <f>VLOOKUP(TabelaPrincipal[[#This Row],[ITEM]],TabelaModelo,4,FALSE)</f>
        <v>600</v>
      </c>
      <c r="E17" s="1" t="s">
        <v>809</v>
      </c>
      <c r="F17" s="23">
        <v>1</v>
      </c>
      <c r="G17" s="8">
        <f>IF(_xlfn.ISFORMULA(TabelaPrincipal[[#This Row],[CUSTO + PERCENTUAL DE ENTRADA]]),0.4,(TabelaPrincipal[[#This Row],[CUSTO + PERCENTUAL DE ENTRADA]]-TabelaPrincipal[[#This Row],[VALOR DE CUSTO]])/TabelaPrincipal[[#This Row],[VALOR DE CUSTO]])</f>
        <v>0.4</v>
      </c>
      <c r="H17" s="2">
        <f>ROUND(F17+(F17*TabelaPrincipal[[#This Row],[PERCENTUAL DE ENTRADA]]), 2)</f>
        <v>1.4</v>
      </c>
      <c r="I17" s="5">
        <f t="shared" si="0"/>
        <v>840</v>
      </c>
      <c r="J17" s="8">
        <v>0</v>
      </c>
      <c r="K17" s="2">
        <f>ROUND(F17+(F17*TabelaPrincipal[[#This Row],[PERCENTUAL MÍNIMO]]), 2)</f>
        <v>1</v>
      </c>
      <c r="L17" s="24">
        <v>1</v>
      </c>
      <c r="M17" s="25"/>
      <c r="N17" s="23">
        <f>TabelaPrincipal[[#This Row],[LANCE ATUAL]]*TabelaPrincipal[[#This Row],[QTD]]</f>
        <v>600</v>
      </c>
      <c r="O17" s="41" t="str">
        <f>IF(TabelaPrincipal[[#This Row],[LANCE ATUAL]]&lt;=(VLOOKUP(TabelaPrincipal[[#This Row],[ITEM]],TabelaModelo,5,FALSE)*0.5),"Inexequível","")</f>
        <v/>
      </c>
    </row>
    <row r="18" spans="1:15" ht="15" customHeight="1" x14ac:dyDescent="0.25">
      <c r="A18" s="4">
        <v>17</v>
      </c>
      <c r="B18" s="3" t="str">
        <f>VLOOKUP(TabelaPrincipal[[#This Row],[ITEM]],TabelaModelo,2,FALSE)</f>
        <v>Cefalotina sódica, concentração: 1 g, forma farmacêutica: pó liófilo p, injetável</v>
      </c>
      <c r="C18" s="1" t="str">
        <f>VLOOKUP(TabelaPrincipal[[#This Row],[ITEM]],TabelaModelo,3,FALSE)</f>
        <v>Frasco- ampola</v>
      </c>
      <c r="D18" s="1">
        <f>VLOOKUP(TabelaPrincipal[[#This Row],[ITEM]],TabelaModelo,4,FALSE)</f>
        <v>200</v>
      </c>
      <c r="E18" s="1" t="s">
        <v>795</v>
      </c>
      <c r="F18" s="23">
        <v>5.99</v>
      </c>
      <c r="G18" s="8">
        <f>IF(_xlfn.ISFORMULA(TabelaPrincipal[[#This Row],[CUSTO + PERCENTUAL DE ENTRADA]]),0.4,(TabelaPrincipal[[#This Row],[CUSTO + PERCENTUAL DE ENTRADA]]-TabelaPrincipal[[#This Row],[VALOR DE CUSTO]])/TabelaPrincipal[[#This Row],[VALOR DE CUSTO]])</f>
        <v>0.4</v>
      </c>
      <c r="H18" s="2">
        <f>ROUND(F18+(F18*TabelaPrincipal[[#This Row],[PERCENTUAL DE ENTRADA]]), 2)</f>
        <v>8.39</v>
      </c>
      <c r="I18" s="5">
        <f t="shared" si="0"/>
        <v>1678</v>
      </c>
      <c r="J18" s="8">
        <v>0</v>
      </c>
      <c r="K18" s="2">
        <f>ROUND(F18+(F18*TabelaPrincipal[[#This Row],[PERCENTUAL MÍNIMO]]), 2)</f>
        <v>5.99</v>
      </c>
      <c r="L18" s="24">
        <v>5.99</v>
      </c>
      <c r="M18" s="25"/>
      <c r="N18" s="23">
        <f>TabelaPrincipal[[#This Row],[LANCE ATUAL]]*TabelaPrincipal[[#This Row],[QTD]]</f>
        <v>1198</v>
      </c>
      <c r="O18" s="41" t="str">
        <f>IF(TabelaPrincipal[[#This Row],[LANCE ATUAL]]&lt;=(VLOOKUP(TabelaPrincipal[[#This Row],[ITEM]],TabelaModelo,5,FALSE)*0.5),"Inexequível","")</f>
        <v/>
      </c>
    </row>
    <row r="19" spans="1:15" ht="15" customHeight="1" x14ac:dyDescent="0.25">
      <c r="A19" s="4">
        <v>18</v>
      </c>
      <c r="B19" s="3" t="str">
        <f>VLOOKUP(TabelaPrincipal[[#This Row],[ITEM]],TabelaModelo,2,FALSE)</f>
        <v>Ceftriaxona sódica, concentração: 500 mg, forma farmacêutica: pó p, solução injetável + diluente</v>
      </c>
      <c r="C19" s="1" t="str">
        <f>VLOOKUP(TabelaPrincipal[[#This Row],[ITEM]],TabelaModelo,3,FALSE)</f>
        <v>Frasco- ampola</v>
      </c>
      <c r="D19" s="1">
        <f>VLOOKUP(TabelaPrincipal[[#This Row],[ITEM]],TabelaModelo,4,FALSE)</f>
        <v>250</v>
      </c>
      <c r="E19" s="1" t="s">
        <v>810</v>
      </c>
      <c r="F19" s="23">
        <v>13.9</v>
      </c>
      <c r="G19" s="8">
        <f>IF(_xlfn.ISFORMULA(TabelaPrincipal[[#This Row],[CUSTO + PERCENTUAL DE ENTRADA]]),0.4,(TabelaPrincipal[[#This Row],[CUSTO + PERCENTUAL DE ENTRADA]]-TabelaPrincipal[[#This Row],[VALOR DE CUSTO]])/TabelaPrincipal[[#This Row],[VALOR DE CUSTO]])</f>
        <v>0.4</v>
      </c>
      <c r="H19" s="2">
        <f>ROUND(F19+(F19*TabelaPrincipal[[#This Row],[PERCENTUAL DE ENTRADA]]), 2)</f>
        <v>19.46</v>
      </c>
      <c r="I19" s="5">
        <f t="shared" si="0"/>
        <v>4865</v>
      </c>
      <c r="J19" s="8">
        <v>0</v>
      </c>
      <c r="K19" s="2">
        <f>ROUND(F19+(F19*TabelaPrincipal[[#This Row],[PERCENTUAL MÍNIMO]]), 2)</f>
        <v>13.9</v>
      </c>
      <c r="L19" s="24">
        <v>13.9</v>
      </c>
      <c r="M19" s="25"/>
      <c r="N19" s="23">
        <f>TabelaPrincipal[[#This Row],[LANCE ATUAL]]*TabelaPrincipal[[#This Row],[QTD]]</f>
        <v>3475</v>
      </c>
      <c r="O19" s="41" t="str">
        <f>IF(TabelaPrincipal[[#This Row],[LANCE ATUAL]]&lt;=(VLOOKUP(TabelaPrincipal[[#This Row],[ITEM]],TabelaModelo,5,FALSE)*0.5),"Inexequível","")</f>
        <v/>
      </c>
    </row>
    <row r="20" spans="1:15" ht="15" customHeight="1" x14ac:dyDescent="0.25">
      <c r="A20" s="4">
        <v>19</v>
      </c>
      <c r="B20" s="3" t="str">
        <f>VLOOKUP(TabelaPrincipal[[#This Row],[ITEM]],TabelaModelo,2,FALSE)</f>
        <v>Clopidogrel 75 mg comprimido</v>
      </c>
      <c r="C20" s="1" t="str">
        <f>VLOOKUP(TabelaPrincipal[[#This Row],[ITEM]],TabelaModelo,3,FALSE)</f>
        <v>Comprimido</v>
      </c>
      <c r="D20" s="1">
        <f>VLOOKUP(TabelaPrincipal[[#This Row],[ITEM]],TabelaModelo,4,FALSE)</f>
        <v>1120</v>
      </c>
      <c r="E20" s="1" t="s">
        <v>802</v>
      </c>
      <c r="F20" s="23">
        <v>0.5</v>
      </c>
      <c r="G20" s="8">
        <f>IF(_xlfn.ISFORMULA(TabelaPrincipal[[#This Row],[CUSTO + PERCENTUAL DE ENTRADA]]),0.4,(TabelaPrincipal[[#This Row],[CUSTO + PERCENTUAL DE ENTRADA]]-TabelaPrincipal[[#This Row],[VALOR DE CUSTO]])/TabelaPrincipal[[#This Row],[VALOR DE CUSTO]])</f>
        <v>0.8600000000000001</v>
      </c>
      <c r="H20" s="2">
        <v>0.93</v>
      </c>
      <c r="I20" s="5">
        <f t="shared" si="0"/>
        <v>1041.6000000000001</v>
      </c>
      <c r="J20" s="8">
        <v>0</v>
      </c>
      <c r="K20" s="2">
        <f>ROUND(F20+(F20*TabelaPrincipal[[#This Row],[PERCENTUAL MÍNIMO]]), 2)</f>
        <v>0.5</v>
      </c>
      <c r="L20" s="24">
        <v>0.5</v>
      </c>
      <c r="M20" s="25"/>
      <c r="N20" s="23">
        <f>TabelaPrincipal[[#This Row],[LANCE ATUAL]]*TabelaPrincipal[[#This Row],[QTD]]</f>
        <v>560</v>
      </c>
      <c r="O20" s="41" t="str">
        <f>IF(TabelaPrincipal[[#This Row],[LANCE ATUAL]]&lt;=(VLOOKUP(TabelaPrincipal[[#This Row],[ITEM]],TabelaModelo,5,FALSE)*0.5),"Inexequível","")</f>
        <v/>
      </c>
    </row>
    <row r="21" spans="1:15" ht="15" customHeight="1" x14ac:dyDescent="0.25">
      <c r="A21" s="4">
        <v>20</v>
      </c>
      <c r="B21" s="3" t="str">
        <f>VLOOKUP(TabelaPrincipal[[#This Row],[ITEM]],TabelaModelo,2,FALSE)</f>
        <v>Cloreto de potássio 2,56 mEq/mL (19,1%) solução injetável</v>
      </c>
      <c r="C21" s="1" t="str">
        <f>VLOOKUP(TabelaPrincipal[[#This Row],[ITEM]],TabelaModelo,3,FALSE)</f>
        <v>Ampola 10 ml</v>
      </c>
      <c r="D21" s="1">
        <f>VLOOKUP(TabelaPrincipal[[#This Row],[ITEM]],TabelaModelo,4,FALSE)</f>
        <v>400</v>
      </c>
      <c r="E21" s="1" t="s">
        <v>809</v>
      </c>
      <c r="F21" s="23">
        <v>0.9</v>
      </c>
      <c r="G21" s="8">
        <f>IF(_xlfn.ISFORMULA(TabelaPrincipal[[#This Row],[CUSTO + PERCENTUAL DE ENTRADA]]),0.4,(TabelaPrincipal[[#This Row],[CUSTO + PERCENTUAL DE ENTRADA]]-TabelaPrincipal[[#This Row],[VALOR DE CUSTO]])/TabelaPrincipal[[#This Row],[VALOR DE CUSTO]])</f>
        <v>0.4</v>
      </c>
      <c r="H21" s="2">
        <f>ROUND(F21+(F21*TabelaPrincipal[[#This Row],[PERCENTUAL DE ENTRADA]]), 2)</f>
        <v>1.26</v>
      </c>
      <c r="I21" s="5">
        <f t="shared" si="0"/>
        <v>504</v>
      </c>
      <c r="J21" s="8">
        <v>0</v>
      </c>
      <c r="K21" s="2">
        <f>ROUND(F21+(F21*TabelaPrincipal[[#This Row],[PERCENTUAL MÍNIMO]]), 2)</f>
        <v>0.9</v>
      </c>
      <c r="L21" s="24">
        <v>1.26</v>
      </c>
      <c r="M21" s="25">
        <v>1</v>
      </c>
      <c r="N21" s="23">
        <f>TabelaPrincipal[[#This Row],[LANCE ATUAL]]*TabelaPrincipal[[#This Row],[QTD]]</f>
        <v>504</v>
      </c>
      <c r="O21" s="41" t="str">
        <f>IF(TabelaPrincipal[[#This Row],[LANCE ATUAL]]&lt;=(VLOOKUP(TabelaPrincipal[[#This Row],[ITEM]],TabelaModelo,5,FALSE)*0.5),"Inexequível","")</f>
        <v/>
      </c>
    </row>
    <row r="22" spans="1:15" ht="15" customHeight="1" x14ac:dyDescent="0.25">
      <c r="A22" s="4">
        <v>21</v>
      </c>
      <c r="B22" s="3" t="str">
        <f>VLOOKUP(TabelaPrincipal[[#This Row],[ITEM]],TabelaModelo,2,FALSE)</f>
        <v>Cloreto de sódio 3,4 mEq/mL (20%) solução injetável</v>
      </c>
      <c r="C22" s="1" t="str">
        <f>VLOOKUP(TabelaPrincipal[[#This Row],[ITEM]],TabelaModelo,3,FALSE)</f>
        <v>Ampola 10 ml</v>
      </c>
      <c r="D22" s="1">
        <f>VLOOKUP(TabelaPrincipal[[#This Row],[ITEM]],TabelaModelo,4,FALSE)</f>
        <v>400</v>
      </c>
      <c r="E22" s="1" t="s">
        <v>809</v>
      </c>
      <c r="F22" s="23">
        <v>1</v>
      </c>
      <c r="G22" s="8">
        <f>IF(_xlfn.ISFORMULA(TabelaPrincipal[[#This Row],[CUSTO + PERCENTUAL DE ENTRADA]]),0.4,(TabelaPrincipal[[#This Row],[CUSTO + PERCENTUAL DE ENTRADA]]-TabelaPrincipal[[#This Row],[VALOR DE CUSTO]])/TabelaPrincipal[[#This Row],[VALOR DE CUSTO]])</f>
        <v>0.4</v>
      </c>
      <c r="H22" s="2">
        <f>ROUND(F22+(F22*TabelaPrincipal[[#This Row],[PERCENTUAL DE ENTRADA]]), 2)</f>
        <v>1.4</v>
      </c>
      <c r="I22" s="5">
        <f t="shared" si="0"/>
        <v>560</v>
      </c>
      <c r="J22" s="8">
        <v>0</v>
      </c>
      <c r="K22" s="2">
        <f>ROUND(F22+(F22*TabelaPrincipal[[#This Row],[PERCENTUAL MÍNIMO]]), 2)</f>
        <v>1</v>
      </c>
      <c r="L22" s="24">
        <v>1.3</v>
      </c>
      <c r="M22" s="25">
        <v>1</v>
      </c>
      <c r="N22" s="23">
        <f>TabelaPrincipal[[#This Row],[LANCE ATUAL]]*TabelaPrincipal[[#This Row],[QTD]]</f>
        <v>520</v>
      </c>
      <c r="O22" s="41" t="str">
        <f>IF(TabelaPrincipal[[#This Row],[LANCE ATUAL]]&lt;=(VLOOKUP(TabelaPrincipal[[#This Row],[ITEM]],TabelaModelo,5,FALSE)*0.5),"Inexequível","")</f>
        <v/>
      </c>
    </row>
    <row r="23" spans="1:15" ht="15" customHeight="1" x14ac:dyDescent="0.25">
      <c r="A23" s="4">
        <v>22</v>
      </c>
      <c r="B23" s="3" t="str">
        <f>VLOOKUP(TabelaPrincipal[[#This Row],[ITEM]],TabelaModelo,2,FALSE)</f>
        <v>Dexametasona 4 mg/mL solução injetável</v>
      </c>
      <c r="C23" s="1" t="str">
        <f>VLOOKUP(TabelaPrincipal[[#This Row],[ITEM]],TabelaModelo,3,FALSE)</f>
        <v>Ampola 2,5 ml</v>
      </c>
      <c r="D23" s="1">
        <f>VLOOKUP(TabelaPrincipal[[#This Row],[ITEM]],TabelaModelo,4,FALSE)</f>
        <v>500</v>
      </c>
      <c r="E23" s="1" t="s">
        <v>807</v>
      </c>
      <c r="F23" s="23">
        <v>1.7</v>
      </c>
      <c r="G23" s="8">
        <f>IF(_xlfn.ISFORMULA(TabelaPrincipal[[#This Row],[CUSTO + PERCENTUAL DE ENTRADA]]),0.4,(TabelaPrincipal[[#This Row],[CUSTO + PERCENTUAL DE ENTRADA]]-TabelaPrincipal[[#This Row],[VALOR DE CUSTO]])/TabelaPrincipal[[#This Row],[VALOR DE CUSTO]])</f>
        <v>0.4</v>
      </c>
      <c r="H23" s="2">
        <f>ROUND(F23+(F23*TabelaPrincipal[[#This Row],[PERCENTUAL DE ENTRADA]]), 2)</f>
        <v>2.38</v>
      </c>
      <c r="I23" s="5">
        <f t="shared" si="0"/>
        <v>1190</v>
      </c>
      <c r="J23" s="8">
        <v>0</v>
      </c>
      <c r="K23" s="2">
        <f>ROUND(F23+(F23*TabelaPrincipal[[#This Row],[PERCENTUAL MÍNIMO]]), 2)</f>
        <v>1.7</v>
      </c>
      <c r="L23" s="24">
        <v>1.7</v>
      </c>
      <c r="M23" s="25"/>
      <c r="N23" s="23">
        <f>TabelaPrincipal[[#This Row],[LANCE ATUAL]]*TabelaPrincipal[[#This Row],[QTD]]</f>
        <v>850</v>
      </c>
      <c r="O23" s="41" t="str">
        <f>IF(TabelaPrincipal[[#This Row],[LANCE ATUAL]]&lt;=(VLOOKUP(TabelaPrincipal[[#This Row],[ITEM]],TabelaModelo,5,FALSE)*0.5),"Inexequível","")</f>
        <v/>
      </c>
    </row>
    <row r="24" spans="1:15" ht="15" customHeight="1" x14ac:dyDescent="0.25">
      <c r="A24" s="4">
        <v>23</v>
      </c>
      <c r="B24" s="3" t="str">
        <f>VLOOKUP(TabelaPrincipal[[#This Row],[ITEM]],TabelaModelo,2,FALSE)</f>
        <v>Dipirona 500 mg comprimido</v>
      </c>
      <c r="C24" s="1" t="str">
        <f>VLOOKUP(TabelaPrincipal[[#This Row],[ITEM]],TabelaModelo,3,FALSE)</f>
        <v>Comprimido</v>
      </c>
      <c r="D24" s="1">
        <f>VLOOKUP(TabelaPrincipal[[#This Row],[ITEM]],TabelaModelo,4,FALSE)</f>
        <v>15000</v>
      </c>
      <c r="E24" s="1" t="s">
        <v>811</v>
      </c>
      <c r="F24" s="23">
        <v>0.24</v>
      </c>
      <c r="G24" s="8">
        <f>IF(_xlfn.ISFORMULA(TabelaPrincipal[[#This Row],[CUSTO + PERCENTUAL DE ENTRADA]]),0.4,(TabelaPrincipal[[#This Row],[CUSTO + PERCENTUAL DE ENTRADA]]-TabelaPrincipal[[#This Row],[VALOR DE CUSTO]])/TabelaPrincipal[[#This Row],[VALOR DE CUSTO]])</f>
        <v>0.4</v>
      </c>
      <c r="H24" s="2">
        <f>ROUND(F24+(F24*TabelaPrincipal[[#This Row],[PERCENTUAL DE ENTRADA]]), 2)</f>
        <v>0.34</v>
      </c>
      <c r="I24" s="5">
        <f t="shared" si="0"/>
        <v>5100</v>
      </c>
      <c r="J24" s="8">
        <v>0</v>
      </c>
      <c r="K24" s="2">
        <f>ROUND(F24+(F24*TabelaPrincipal[[#This Row],[PERCENTUAL MÍNIMO]]), 2)</f>
        <v>0.24</v>
      </c>
      <c r="L24" s="24">
        <v>0.24</v>
      </c>
      <c r="M24" s="25"/>
      <c r="N24" s="23">
        <f>TabelaPrincipal[[#This Row],[LANCE ATUAL]]*TabelaPrincipal[[#This Row],[QTD]]</f>
        <v>3600</v>
      </c>
      <c r="O24" s="41" t="str">
        <f>IF(TabelaPrincipal[[#This Row],[LANCE ATUAL]]&lt;=(VLOOKUP(TabelaPrincipal[[#This Row],[ITEM]],TabelaModelo,5,FALSE)*0.5),"Inexequível","")</f>
        <v/>
      </c>
    </row>
    <row r="25" spans="1:15" ht="15" customHeight="1" x14ac:dyDescent="0.25">
      <c r="A25" s="4">
        <v>24</v>
      </c>
      <c r="B25" s="3" t="str">
        <f>VLOOKUP(TabelaPrincipal[[#This Row],[ITEM]],TabelaModelo,2,FALSE)</f>
        <v>Dipirona 500 mg/mL solução injetável</v>
      </c>
      <c r="C25" s="1" t="str">
        <f>VLOOKUP(TabelaPrincipal[[#This Row],[ITEM]],TabelaModelo,3,FALSE)</f>
        <v>Ampola 2 ml</v>
      </c>
      <c r="D25" s="1">
        <f>VLOOKUP(TabelaPrincipal[[#This Row],[ITEM]],TabelaModelo,4,FALSE)</f>
        <v>400</v>
      </c>
      <c r="E25" s="1" t="s">
        <v>805</v>
      </c>
      <c r="F25" s="23">
        <v>0.92</v>
      </c>
      <c r="G25" s="8">
        <v>0</v>
      </c>
      <c r="H25" s="2">
        <f>ROUND(F25+(F25*TabelaPrincipal[[#This Row],[PERCENTUAL DE ENTRADA]]), 2)</f>
        <v>0.92</v>
      </c>
      <c r="I25" s="5">
        <f t="shared" si="0"/>
        <v>368</v>
      </c>
      <c r="J25" s="8">
        <f>IF(TabelaPrincipal[[#This Row],[PERCENTUAL DE ENTRADA]]&gt;0,0.15,0)</f>
        <v>0</v>
      </c>
      <c r="K25" s="2">
        <f>ROUND(F25+(F25*TabelaPrincipal[[#This Row],[PERCENTUAL MÍNIMO]]), 2)</f>
        <v>0.92</v>
      </c>
      <c r="L25" s="24">
        <f>IF(TabelaPrincipal[[#This Row],[PERCENTUAL DE ENTRADA]]=0,TabelaPrincipal[[#This Row],[VALOR MÍNIMO]],0)</f>
        <v>0.92</v>
      </c>
      <c r="M25" s="25"/>
      <c r="N25" s="23">
        <f>TabelaPrincipal[[#This Row],[LANCE ATUAL]]*TabelaPrincipal[[#This Row],[QTD]]</f>
        <v>368</v>
      </c>
      <c r="O25" s="41" t="str">
        <f>IF(TabelaPrincipal[[#This Row],[LANCE ATUAL]]&lt;=(VLOOKUP(TabelaPrincipal[[#This Row],[ITEM]],TabelaModelo,5,FALSE)*0.5),"Inexequível","")</f>
        <v/>
      </c>
    </row>
    <row r="26" spans="1:15" ht="15" customHeight="1" x14ac:dyDescent="0.25">
      <c r="A26" s="4">
        <v>25</v>
      </c>
      <c r="B26" s="3" t="str">
        <f>VLOOKUP(TabelaPrincipal[[#This Row],[ITEM]],TabelaModelo,2,FALSE)</f>
        <v>Orfenadrinacitrato, composição: associada com dipirona e cafeína, dosagem: 35mg + 300mg + 50mg</v>
      </c>
      <c r="C26" s="1" t="str">
        <f>VLOOKUP(TabelaPrincipal[[#This Row],[ITEM]],TabelaModelo,3,FALSE)</f>
        <v>Comprimido</v>
      </c>
      <c r="D26" s="1">
        <f>VLOOKUP(TabelaPrincipal[[#This Row],[ITEM]],TabelaModelo,4,FALSE)</f>
        <v>10000</v>
      </c>
      <c r="E26" s="1" t="s">
        <v>812</v>
      </c>
      <c r="F26" s="23">
        <v>0.24</v>
      </c>
      <c r="G26" s="8">
        <f>IF(_xlfn.ISFORMULA(TabelaPrincipal[[#This Row],[CUSTO + PERCENTUAL DE ENTRADA]]),0.4,(TabelaPrincipal[[#This Row],[CUSTO + PERCENTUAL DE ENTRADA]]-TabelaPrincipal[[#This Row],[VALOR DE CUSTO]])/TabelaPrincipal[[#This Row],[VALOR DE CUSTO]])</f>
        <v>2.791666666666667</v>
      </c>
      <c r="H26" s="2">
        <v>0.91</v>
      </c>
      <c r="I26" s="5">
        <f t="shared" si="0"/>
        <v>9100</v>
      </c>
      <c r="J26" s="8">
        <v>0</v>
      </c>
      <c r="K26" s="2">
        <f>ROUND(F26+(F26*TabelaPrincipal[[#This Row],[PERCENTUAL MÍNIMO]]), 2)</f>
        <v>0.24</v>
      </c>
      <c r="L26" s="24">
        <v>0.28999999999999998</v>
      </c>
      <c r="M26" s="25">
        <v>1</v>
      </c>
      <c r="N26" s="23">
        <f>TabelaPrincipal[[#This Row],[LANCE ATUAL]]*TabelaPrincipal[[#This Row],[QTD]]</f>
        <v>2900</v>
      </c>
      <c r="O26" s="41" t="str">
        <f>IF(TabelaPrincipal[[#This Row],[LANCE ATUAL]]&lt;=(VLOOKUP(TabelaPrincipal[[#This Row],[ITEM]],TabelaModelo,5,FALSE)*0.5),"Inexequível","")</f>
        <v>Inexequível</v>
      </c>
    </row>
    <row r="27" spans="1:15" ht="15" customHeight="1" x14ac:dyDescent="0.25">
      <c r="A27" s="4">
        <v>26</v>
      </c>
      <c r="B27" s="3" t="str">
        <f>VLOOKUP(TabelaPrincipal[[#This Row],[ITEM]],TabelaModelo,2,FALSE)</f>
        <v>Dimenidrinato, apresentação: associado com piridoxina + glicose + frutose, dosagem: 3mg + 5mg + 100mg + 100mg/ml, tipo medicamento: solução injetável</v>
      </c>
      <c r="C27" s="1" t="str">
        <f>VLOOKUP(TabelaPrincipal[[#This Row],[ITEM]],TabelaModelo,3,FALSE)</f>
        <v>Ampola 10 ml</v>
      </c>
      <c r="D27" s="1">
        <f>VLOOKUP(TabelaPrincipal[[#This Row],[ITEM]],TabelaModelo,4,FALSE)</f>
        <v>500</v>
      </c>
      <c r="E27" s="1" t="s">
        <v>813</v>
      </c>
      <c r="F27" s="23">
        <v>12</v>
      </c>
      <c r="G27" s="8">
        <f>IF(_xlfn.ISFORMULA(TabelaPrincipal[[#This Row],[CUSTO + PERCENTUAL DE ENTRADA]]),0.4,(TabelaPrincipal[[#This Row],[CUSTO + PERCENTUAL DE ENTRADA]]-TabelaPrincipal[[#This Row],[VALOR DE CUSTO]])/TabelaPrincipal[[#This Row],[VALOR DE CUSTO]])</f>
        <v>0.4</v>
      </c>
      <c r="H27" s="2">
        <f>ROUND(F27+(F27*TabelaPrincipal[[#This Row],[PERCENTUAL DE ENTRADA]]), 2)</f>
        <v>16.8</v>
      </c>
      <c r="I27" s="5">
        <f t="shared" si="0"/>
        <v>8400</v>
      </c>
      <c r="J27" s="8">
        <v>0</v>
      </c>
      <c r="K27" s="2">
        <f>ROUND(F27+(F27*TabelaPrincipal[[#This Row],[PERCENTUAL MÍNIMO]]), 2)</f>
        <v>12</v>
      </c>
      <c r="L27" s="24">
        <v>16.8</v>
      </c>
      <c r="M27" s="25"/>
      <c r="N27" s="23">
        <f>TabelaPrincipal[[#This Row],[LANCE ATUAL]]*TabelaPrincipal[[#This Row],[QTD]]</f>
        <v>8400</v>
      </c>
      <c r="O27" s="41" t="str">
        <f>IF(TabelaPrincipal[[#This Row],[LANCE ATUAL]]&lt;=(VLOOKUP(TabelaPrincipal[[#This Row],[ITEM]],TabelaModelo,5,FALSE)*0.5),"Inexequível","")</f>
        <v/>
      </c>
    </row>
    <row r="28" spans="1:15" ht="15" customHeight="1" x14ac:dyDescent="0.25">
      <c r="A28" s="4">
        <v>28</v>
      </c>
      <c r="B28" s="3" t="str">
        <f>VLOOKUP(TabelaPrincipal[[#This Row],[ITEM]],TabelaModelo,2,FALSE)</f>
        <v>Dobutamina cloridrato, dosagem: 12,5 mg/ml, indicação: injetável</v>
      </c>
      <c r="C28" s="1" t="str">
        <f>VLOOKUP(TabelaPrincipal[[#This Row],[ITEM]],TabelaModelo,3,FALSE)</f>
        <v>Ampola 10ml</v>
      </c>
      <c r="D28" s="1">
        <f>VLOOKUP(TabelaPrincipal[[#This Row],[ITEM]],TabelaModelo,4,FALSE)</f>
        <v>40</v>
      </c>
      <c r="E28" s="1" t="s">
        <v>796</v>
      </c>
      <c r="F28" s="23">
        <v>8.9</v>
      </c>
      <c r="G28" s="8">
        <f>IF(_xlfn.ISFORMULA(TabelaPrincipal[[#This Row],[CUSTO + PERCENTUAL DE ENTRADA]]),0.4,(TabelaPrincipal[[#This Row],[CUSTO + PERCENTUAL DE ENTRADA]]-TabelaPrincipal[[#This Row],[VALOR DE CUSTO]])/TabelaPrincipal[[#This Row],[VALOR DE CUSTO]])</f>
        <v>0.99438202247190999</v>
      </c>
      <c r="H28" s="2">
        <v>17.75</v>
      </c>
      <c r="I28" s="5">
        <f t="shared" si="0"/>
        <v>710</v>
      </c>
      <c r="J28" s="8">
        <v>0</v>
      </c>
      <c r="K28" s="2">
        <f>ROUND(F28+(F28*TabelaPrincipal[[#This Row],[PERCENTUAL MÍNIMO]]), 2)</f>
        <v>8.9</v>
      </c>
      <c r="L28" s="24">
        <v>8.9</v>
      </c>
      <c r="M28" s="25"/>
      <c r="N28" s="23">
        <f>TabelaPrincipal[[#This Row],[LANCE ATUAL]]*TabelaPrincipal[[#This Row],[QTD]]</f>
        <v>356</v>
      </c>
      <c r="O28" s="41" t="str">
        <f>IF(TabelaPrincipal[[#This Row],[LANCE ATUAL]]&lt;=(VLOOKUP(TabelaPrincipal[[#This Row],[ITEM]],TabelaModelo,5,FALSE)*0.5),"Inexequível","")</f>
        <v/>
      </c>
    </row>
    <row r="29" spans="1:15" ht="15" customHeight="1" x14ac:dyDescent="0.25">
      <c r="A29" s="4">
        <v>29</v>
      </c>
      <c r="B29" s="3" t="str">
        <f>VLOOKUP(TabelaPrincipal[[#This Row],[ITEM]],TabelaModelo,2,FALSE)</f>
        <v>Epinefrina, dosagem: 1 mg/ml, uso: solução injetável</v>
      </c>
      <c r="C29" s="1" t="str">
        <f>VLOOKUP(TabelaPrincipal[[#This Row],[ITEM]],TabelaModelo,3,FALSE)</f>
        <v>Ampola 1ml</v>
      </c>
      <c r="D29" s="1">
        <f>VLOOKUP(TabelaPrincipal[[#This Row],[ITEM]],TabelaModelo,4,FALSE)</f>
        <v>200</v>
      </c>
      <c r="E29" s="1" t="s">
        <v>807</v>
      </c>
      <c r="F29" s="23">
        <v>1.8</v>
      </c>
      <c r="G29" s="8">
        <f>IF(_xlfn.ISFORMULA(TabelaPrincipal[[#This Row],[CUSTO + PERCENTUAL DE ENTRADA]]),0.4,(TabelaPrincipal[[#This Row],[CUSTO + PERCENTUAL DE ENTRADA]]-TabelaPrincipal[[#This Row],[VALOR DE CUSTO]])/TabelaPrincipal[[#This Row],[VALOR DE CUSTO]])</f>
        <v>0.4</v>
      </c>
      <c r="H29" s="2">
        <f>ROUND(F29+(F29*TabelaPrincipal[[#This Row],[PERCENTUAL DE ENTRADA]]), 2)</f>
        <v>2.52</v>
      </c>
      <c r="I29" s="5">
        <f t="shared" si="0"/>
        <v>504</v>
      </c>
      <c r="J29" s="8">
        <v>0</v>
      </c>
      <c r="K29" s="2">
        <f>ROUND(F29+(F29*TabelaPrincipal[[#This Row],[PERCENTUAL MÍNIMO]]), 2)</f>
        <v>1.8</v>
      </c>
      <c r="L29" s="24">
        <v>1.8</v>
      </c>
      <c r="M29" s="25"/>
      <c r="N29" s="23">
        <f>TabelaPrincipal[[#This Row],[LANCE ATUAL]]*TabelaPrincipal[[#This Row],[QTD]]</f>
        <v>360</v>
      </c>
      <c r="O29" s="41" t="str">
        <f>IF(TabelaPrincipal[[#This Row],[LANCE ATUAL]]&lt;=(VLOOKUP(TabelaPrincipal[[#This Row],[ITEM]],TabelaModelo,5,FALSE)*0.5),"Inexequível","")</f>
        <v/>
      </c>
    </row>
    <row r="30" spans="1:15" ht="15" customHeight="1" x14ac:dyDescent="0.25">
      <c r="A30" s="4">
        <v>30</v>
      </c>
      <c r="B30" s="3" t="str">
        <f>VLOOKUP(TabelaPrincipal[[#This Row],[ITEM]],TabelaModelo,2,FALSE)</f>
        <v>Etilefrina 10 mg/mL solução injetável</v>
      </c>
      <c r="C30" s="1" t="str">
        <f>VLOOKUP(TabelaPrincipal[[#This Row],[ITEM]],TabelaModelo,3,FALSE)</f>
        <v>Ampola 1ml</v>
      </c>
      <c r="D30" s="1">
        <f>VLOOKUP(TabelaPrincipal[[#This Row],[ITEM]],TabelaModelo,4,FALSE)</f>
        <v>200</v>
      </c>
      <c r="E30" s="1" t="s">
        <v>814</v>
      </c>
      <c r="F30" s="23">
        <v>2.79</v>
      </c>
      <c r="G30" s="8">
        <v>0</v>
      </c>
      <c r="H30" s="2">
        <f>ROUND(F30+(F30*TabelaPrincipal[[#This Row],[PERCENTUAL DE ENTRADA]]), 2)</f>
        <v>2.79</v>
      </c>
      <c r="I30" s="5">
        <f t="shared" si="0"/>
        <v>558</v>
      </c>
      <c r="J30" s="8">
        <f>IF(TabelaPrincipal[[#This Row],[PERCENTUAL DE ENTRADA]]&gt;0,0.15,0)</f>
        <v>0</v>
      </c>
      <c r="K30" s="2">
        <f>ROUND(F30+(F30*TabelaPrincipal[[#This Row],[PERCENTUAL MÍNIMO]]), 2)</f>
        <v>2.79</v>
      </c>
      <c r="L30" s="24">
        <f>IF(TabelaPrincipal[[#This Row],[PERCENTUAL DE ENTRADA]]=0,TabelaPrincipal[[#This Row],[VALOR MÍNIMO]],0)</f>
        <v>2.79</v>
      </c>
      <c r="M30" s="25"/>
      <c r="N30" s="23">
        <f>TabelaPrincipal[[#This Row],[LANCE ATUAL]]*TabelaPrincipal[[#This Row],[QTD]]</f>
        <v>558</v>
      </c>
      <c r="O30" s="41" t="str">
        <f>IF(TabelaPrincipal[[#This Row],[LANCE ATUAL]]&lt;=(VLOOKUP(TabelaPrincipal[[#This Row],[ITEM]],TabelaModelo,5,FALSE)*0.5),"Inexequível","")</f>
        <v/>
      </c>
    </row>
    <row r="31" spans="1:15" ht="15" customHeight="1" x14ac:dyDescent="0.25">
      <c r="A31" s="4">
        <v>31</v>
      </c>
      <c r="B31" s="3" t="str">
        <f>VLOOKUP(TabelaPrincipal[[#This Row],[ITEM]],TabelaModelo,2,FALSE)</f>
        <v>Heparina sódica, dosagem: 5.000 ui,ml, indicação: injetável</v>
      </c>
      <c r="C31" s="1" t="str">
        <f>VLOOKUP(TabelaPrincipal[[#This Row],[ITEM]],TabelaModelo,3,FALSE)</f>
        <v>Ampola 0,25 ml</v>
      </c>
      <c r="D31" s="1">
        <f>VLOOKUP(TabelaPrincipal[[#This Row],[ITEM]],TabelaModelo,4,FALSE)</f>
        <v>1500</v>
      </c>
      <c r="E31" s="1" t="s">
        <v>797</v>
      </c>
      <c r="F31" s="23">
        <v>10.5</v>
      </c>
      <c r="G31" s="8">
        <f>IF(_xlfn.ISFORMULA(TabelaPrincipal[[#This Row],[CUSTO + PERCENTUAL DE ENTRADA]]),0.4,(TabelaPrincipal[[#This Row],[CUSTO + PERCENTUAL DE ENTRADA]]-TabelaPrincipal[[#This Row],[VALOR DE CUSTO]])/TabelaPrincipal[[#This Row],[VALOR DE CUSTO]])</f>
        <v>0.82476190476190481</v>
      </c>
      <c r="H31" s="2">
        <v>19.16</v>
      </c>
      <c r="I31" s="5">
        <f t="shared" si="0"/>
        <v>28740</v>
      </c>
      <c r="J31" s="8">
        <v>0</v>
      </c>
      <c r="K31" s="2">
        <f>ROUND(F31+(F31*TabelaPrincipal[[#This Row],[PERCENTUAL MÍNIMO]]), 2)</f>
        <v>10.5</v>
      </c>
      <c r="L31" s="24">
        <v>10.5</v>
      </c>
      <c r="M31" s="25"/>
      <c r="N31" s="23">
        <f>TabelaPrincipal[[#This Row],[LANCE ATUAL]]*TabelaPrincipal[[#This Row],[QTD]]</f>
        <v>15750</v>
      </c>
      <c r="O31" s="41" t="str">
        <f>IF(TabelaPrincipal[[#This Row],[LANCE ATUAL]]&lt;=(VLOOKUP(TabelaPrincipal[[#This Row],[ITEM]],TabelaModelo,5,FALSE)*0.5),"Inexequível","")</f>
        <v/>
      </c>
    </row>
    <row r="32" spans="1:15" ht="15" customHeight="1" x14ac:dyDescent="0.25">
      <c r="A32" s="4">
        <v>32</v>
      </c>
      <c r="B32" s="3" t="str">
        <f>VLOOKUP(TabelaPrincipal[[#This Row],[ITEM]],TabelaModelo,2,FALSE)</f>
        <v>Heparina sódica, dosagem: 5.000 ui,ml, indicação: injetável</v>
      </c>
      <c r="C32" s="1" t="str">
        <f>VLOOKUP(TabelaPrincipal[[#This Row],[ITEM]],TabelaModelo,3,FALSE)</f>
        <v>Frasco 5 ml</v>
      </c>
      <c r="D32" s="1">
        <f>VLOOKUP(TabelaPrincipal[[#This Row],[ITEM]],TabelaModelo,4,FALSE)</f>
        <v>50</v>
      </c>
      <c r="E32" s="1" t="s">
        <v>797</v>
      </c>
      <c r="F32" s="23">
        <v>21</v>
      </c>
      <c r="G32" s="8">
        <f>IF(_xlfn.ISFORMULA(TabelaPrincipal[[#This Row],[CUSTO + PERCENTUAL DE ENTRADA]]),0.4,(TabelaPrincipal[[#This Row],[CUSTO + PERCENTUAL DE ENTRADA]]-TabelaPrincipal[[#This Row],[VALOR DE CUSTO]])/TabelaPrincipal[[#This Row],[VALOR DE CUSTO]])</f>
        <v>0.4642857142857143</v>
      </c>
      <c r="H32" s="2">
        <v>30.75</v>
      </c>
      <c r="I32" s="5">
        <f t="shared" si="0"/>
        <v>1537.5</v>
      </c>
      <c r="J32" s="8">
        <v>0</v>
      </c>
      <c r="K32" s="2">
        <f>ROUND(F32+(F32*TabelaPrincipal[[#This Row],[PERCENTUAL MÍNIMO]]), 2)</f>
        <v>21</v>
      </c>
      <c r="L32" s="24">
        <v>21</v>
      </c>
      <c r="M32" s="25"/>
      <c r="N32" s="23">
        <f>TabelaPrincipal[[#This Row],[LANCE ATUAL]]*TabelaPrincipal[[#This Row],[QTD]]</f>
        <v>1050</v>
      </c>
      <c r="O32" s="41" t="str">
        <f>IF(TabelaPrincipal[[#This Row],[LANCE ATUAL]]&lt;=(VLOOKUP(TabelaPrincipal[[#This Row],[ITEM]],TabelaModelo,5,FALSE)*0.5),"Inexequível","")</f>
        <v/>
      </c>
    </row>
    <row r="33" spans="1:15" ht="15" customHeight="1" x14ac:dyDescent="0.25">
      <c r="A33" s="4">
        <v>33</v>
      </c>
      <c r="B33" s="3" t="str">
        <f>VLOOKUP(TabelaPrincipal[[#This Row],[ITEM]],TabelaModelo,2,FALSE)</f>
        <v>Hidralazina 25 mg comprimido</v>
      </c>
      <c r="C33" s="1" t="str">
        <f>VLOOKUP(TabelaPrincipal[[#This Row],[ITEM]],TabelaModelo,3,FALSE)</f>
        <v>Comprimido</v>
      </c>
      <c r="D33" s="1">
        <f>VLOOKUP(TabelaPrincipal[[#This Row],[ITEM]],TabelaModelo,4,FALSE)</f>
        <v>1000</v>
      </c>
      <c r="E33" s="1" t="s">
        <v>815</v>
      </c>
      <c r="F33" s="23">
        <v>0.4</v>
      </c>
      <c r="G33" s="8">
        <f>IF(_xlfn.ISFORMULA(TabelaPrincipal[[#This Row],[CUSTO + PERCENTUAL DE ENTRADA]]),0.4,(TabelaPrincipal[[#This Row],[CUSTO + PERCENTUAL DE ENTRADA]]-TabelaPrincipal[[#This Row],[VALOR DE CUSTO]])/TabelaPrincipal[[#This Row],[VALOR DE CUSTO]])</f>
        <v>0.4</v>
      </c>
      <c r="H33" s="2">
        <f>ROUND(F33+(F33*TabelaPrincipal[[#This Row],[PERCENTUAL DE ENTRADA]]), 2)</f>
        <v>0.56000000000000005</v>
      </c>
      <c r="I33" s="5">
        <f t="shared" si="0"/>
        <v>560</v>
      </c>
      <c r="J33" s="8">
        <v>0</v>
      </c>
      <c r="K33" s="2">
        <f>ROUND(F33+(F33*TabelaPrincipal[[#This Row],[PERCENTUAL MÍNIMO]]), 2)</f>
        <v>0.4</v>
      </c>
      <c r="L33" s="24">
        <v>0.45</v>
      </c>
      <c r="M33" s="25">
        <v>1</v>
      </c>
      <c r="N33" s="23">
        <f>TabelaPrincipal[[#This Row],[LANCE ATUAL]]*TabelaPrincipal[[#This Row],[QTD]]</f>
        <v>450</v>
      </c>
      <c r="O33" s="41" t="str">
        <f>IF(TabelaPrincipal[[#This Row],[LANCE ATUAL]]&lt;=(VLOOKUP(TabelaPrincipal[[#This Row],[ITEM]],TabelaModelo,5,FALSE)*0.5),"Inexequível","")</f>
        <v/>
      </c>
    </row>
    <row r="34" spans="1:15" ht="15" customHeight="1" x14ac:dyDescent="0.25">
      <c r="A34" s="4">
        <v>34</v>
      </c>
      <c r="B34" s="3" t="str">
        <f>VLOOKUP(TabelaPrincipal[[#This Row],[ITEM]],TabelaModelo,2,FALSE)</f>
        <v>Ivermectina 6 mg comprimido</v>
      </c>
      <c r="C34" s="1" t="str">
        <f>VLOOKUP(TabelaPrincipal[[#This Row],[ITEM]],TabelaModelo,3,FALSE)</f>
        <v>Comprimido</v>
      </c>
      <c r="D34" s="1">
        <f>VLOOKUP(TabelaPrincipal[[#This Row],[ITEM]],TabelaModelo,4,FALSE)</f>
        <v>1000</v>
      </c>
      <c r="E34" s="1" t="s">
        <v>801</v>
      </c>
      <c r="F34" s="23">
        <v>1.73</v>
      </c>
      <c r="G34" s="8">
        <f>IF(_xlfn.ISFORMULA(TabelaPrincipal[[#This Row],[CUSTO + PERCENTUAL DE ENTRADA]]),0.4,(TabelaPrincipal[[#This Row],[CUSTO + PERCENTUAL DE ENTRADA]]-TabelaPrincipal[[#This Row],[VALOR DE CUSTO]])/TabelaPrincipal[[#This Row],[VALOR DE CUSTO]])</f>
        <v>0.4</v>
      </c>
      <c r="H34" s="2">
        <f>ROUND(F34+(F34*TabelaPrincipal[[#This Row],[PERCENTUAL DE ENTRADA]]), 2)</f>
        <v>2.42</v>
      </c>
      <c r="I34" s="5">
        <f t="shared" si="0"/>
        <v>2420</v>
      </c>
      <c r="J34" s="8">
        <v>0</v>
      </c>
      <c r="K34" s="2">
        <f>ROUND(F34+(F34*TabelaPrincipal[[#This Row],[PERCENTUAL MÍNIMO]]), 2)</f>
        <v>1.73</v>
      </c>
      <c r="L34" s="24">
        <v>1.73</v>
      </c>
      <c r="M34" s="25"/>
      <c r="N34" s="23">
        <f>TabelaPrincipal[[#This Row],[LANCE ATUAL]]*TabelaPrincipal[[#This Row],[QTD]]</f>
        <v>1730</v>
      </c>
      <c r="O34" s="41" t="str">
        <f>IF(TabelaPrincipal[[#This Row],[LANCE ATUAL]]&lt;=(VLOOKUP(TabelaPrincipal[[#This Row],[ITEM]],TabelaModelo,5,FALSE)*0.5),"Inexequível","")</f>
        <v/>
      </c>
    </row>
    <row r="35" spans="1:15" ht="15" customHeight="1" x14ac:dyDescent="0.25">
      <c r="A35" s="4">
        <v>35</v>
      </c>
      <c r="B35" s="3" t="str">
        <f>VLOOKUP(TabelaPrincipal[[#This Row],[ITEM]],TabelaModelo,2,FALSE)</f>
        <v>Lactulose 667 mg/mL xarope</v>
      </c>
      <c r="C35" s="1" t="str">
        <f>VLOOKUP(TabelaPrincipal[[#This Row],[ITEM]],TabelaModelo,3,FALSE)</f>
        <v>Frasco 120 ml</v>
      </c>
      <c r="D35" s="1">
        <f>VLOOKUP(TabelaPrincipal[[#This Row],[ITEM]],TabelaModelo,4,FALSE)</f>
        <v>80</v>
      </c>
      <c r="E35" s="1" t="s">
        <v>816</v>
      </c>
      <c r="F35" s="23">
        <v>9.85</v>
      </c>
      <c r="G35" s="8">
        <f>IF(_xlfn.ISFORMULA(TabelaPrincipal[[#This Row],[CUSTO + PERCENTUAL DE ENTRADA]]),0.4,(TabelaPrincipal[[#This Row],[CUSTO + PERCENTUAL DE ENTRADA]]-TabelaPrincipal[[#This Row],[VALOR DE CUSTO]])/TabelaPrincipal[[#This Row],[VALOR DE CUSTO]])</f>
        <v>0.54923857868020309</v>
      </c>
      <c r="H35" s="2">
        <v>15.26</v>
      </c>
      <c r="I35" s="5">
        <f t="shared" si="0"/>
        <v>1220.8</v>
      </c>
      <c r="J35" s="8">
        <v>0</v>
      </c>
      <c r="K35" s="2">
        <f>ROUND(F35+(F35*TabelaPrincipal[[#This Row],[PERCENTUAL MÍNIMO]]), 2)</f>
        <v>9.85</v>
      </c>
      <c r="L35" s="24">
        <v>9.85</v>
      </c>
      <c r="M35" s="25"/>
      <c r="N35" s="23">
        <f>TabelaPrincipal[[#This Row],[LANCE ATUAL]]*TabelaPrincipal[[#This Row],[QTD]]</f>
        <v>788</v>
      </c>
      <c r="O35" s="41" t="str">
        <f>IF(TabelaPrincipal[[#This Row],[LANCE ATUAL]]&lt;=(VLOOKUP(TabelaPrincipal[[#This Row],[ITEM]],TabelaModelo,5,FALSE)*0.5),"Inexequível","")</f>
        <v/>
      </c>
    </row>
    <row r="36" spans="1:15" ht="15" customHeight="1" x14ac:dyDescent="0.25">
      <c r="A36" s="4">
        <v>36</v>
      </c>
      <c r="B36" s="3" t="str">
        <f>VLOOKUP(TabelaPrincipal[[#This Row],[ITEM]],TabelaModelo,2,FALSE)</f>
        <v>Levofloxacino 500 mg comprimido</v>
      </c>
      <c r="C36" s="1" t="str">
        <f>VLOOKUP(TabelaPrincipal[[#This Row],[ITEM]],TabelaModelo,3,FALSE)</f>
        <v>Comprimido</v>
      </c>
      <c r="D36" s="1">
        <f>VLOOKUP(TabelaPrincipal[[#This Row],[ITEM]],TabelaModelo,4,FALSE)</f>
        <v>1750</v>
      </c>
      <c r="E36" s="1" t="s">
        <v>817</v>
      </c>
      <c r="F36" s="23">
        <v>0.86</v>
      </c>
      <c r="G36" s="8">
        <f>IF(_xlfn.ISFORMULA(TabelaPrincipal[[#This Row],[CUSTO + PERCENTUAL DE ENTRADA]]),0.4,(TabelaPrincipal[[#This Row],[CUSTO + PERCENTUAL DE ENTRADA]]-TabelaPrincipal[[#This Row],[VALOR DE CUSTO]])/TabelaPrincipal[[#This Row],[VALOR DE CUSTO]])</f>
        <v>1.5465116279069768</v>
      </c>
      <c r="H36" s="2">
        <v>2.19</v>
      </c>
      <c r="I36" s="5">
        <f t="shared" si="0"/>
        <v>3832.5</v>
      </c>
      <c r="J36" s="8">
        <v>0</v>
      </c>
      <c r="K36" s="2">
        <f>ROUND(F36+(F36*TabelaPrincipal[[#This Row],[PERCENTUAL MÍNIMO]]), 2)</f>
        <v>0.86</v>
      </c>
      <c r="L36" s="24">
        <v>1</v>
      </c>
      <c r="M36" s="25">
        <v>1</v>
      </c>
      <c r="N36" s="23">
        <f>TabelaPrincipal[[#This Row],[LANCE ATUAL]]*TabelaPrincipal[[#This Row],[QTD]]</f>
        <v>1750</v>
      </c>
      <c r="O36" s="41" t="str">
        <f>IF(TabelaPrincipal[[#This Row],[LANCE ATUAL]]&lt;=(VLOOKUP(TabelaPrincipal[[#This Row],[ITEM]],TabelaModelo,5,FALSE)*0.5),"Inexequível","")</f>
        <v>Inexequível</v>
      </c>
    </row>
    <row r="37" spans="1:15" ht="15" customHeight="1" x14ac:dyDescent="0.25">
      <c r="A37" s="4">
        <v>37</v>
      </c>
      <c r="B37" s="3" t="str">
        <f>VLOOKUP(TabelaPrincipal[[#This Row],[ITEM]],TabelaModelo,2,FALSE)</f>
        <v>Levofloxacino, dosagem: 5 mg,ml, forma farmacêutica: solução injetável</v>
      </c>
      <c r="C37" s="1" t="str">
        <f>VLOOKUP(TabelaPrincipal[[#This Row],[ITEM]],TabelaModelo,3,FALSE)</f>
        <v>Bolsa 100 ml</v>
      </c>
      <c r="D37" s="1">
        <f>VLOOKUP(TabelaPrincipal[[#This Row],[ITEM]],TabelaModelo,4,FALSE)</f>
        <v>120</v>
      </c>
      <c r="E37" s="1" t="s">
        <v>797</v>
      </c>
      <c r="F37" s="23">
        <v>13.9</v>
      </c>
      <c r="G37" s="8">
        <f>IF(_xlfn.ISFORMULA(TabelaPrincipal[[#This Row],[CUSTO + PERCENTUAL DE ENTRADA]]),0.4,(TabelaPrincipal[[#This Row],[CUSTO + PERCENTUAL DE ENTRADA]]-TabelaPrincipal[[#This Row],[VALOR DE CUSTO]])/TabelaPrincipal[[#This Row],[VALOR DE CUSTO]])</f>
        <v>1.0870503597122303</v>
      </c>
      <c r="H37" s="2">
        <v>29.01</v>
      </c>
      <c r="I37" s="5">
        <f t="shared" si="0"/>
        <v>3481.2000000000003</v>
      </c>
      <c r="J37" s="8">
        <v>0</v>
      </c>
      <c r="K37" s="2">
        <f>ROUND(F37+(F37*TabelaPrincipal[[#This Row],[PERCENTUAL MÍNIMO]]), 2)</f>
        <v>13.9</v>
      </c>
      <c r="L37" s="24">
        <v>13.9</v>
      </c>
      <c r="M37" s="25"/>
      <c r="N37" s="23">
        <f>TabelaPrincipal[[#This Row],[LANCE ATUAL]]*TabelaPrincipal[[#This Row],[QTD]]</f>
        <v>1668</v>
      </c>
      <c r="O37" s="41" t="str">
        <f>IF(TabelaPrincipal[[#This Row],[LANCE ATUAL]]&lt;=(VLOOKUP(TabelaPrincipal[[#This Row],[ITEM]],TabelaModelo,5,FALSE)*0.5),"Inexequível","")</f>
        <v>Inexequível</v>
      </c>
    </row>
    <row r="38" spans="1:15" ht="15" customHeight="1" x14ac:dyDescent="0.25">
      <c r="A38" s="4">
        <v>38</v>
      </c>
      <c r="B38" s="3" t="str">
        <f>VLOOKUP(TabelaPrincipal[[#This Row],[ITEM]],TabelaModelo,2,FALSE)</f>
        <v>Lidocaína 20 mg/g (2%) gel</v>
      </c>
      <c r="C38" s="1" t="str">
        <f>VLOOKUP(TabelaPrincipal[[#This Row],[ITEM]],TabelaModelo,3,FALSE)</f>
        <v>Bisnaga 20 g</v>
      </c>
      <c r="D38" s="1">
        <f>VLOOKUP(TabelaPrincipal[[#This Row],[ITEM]],TabelaModelo,4,FALSE)</f>
        <v>100</v>
      </c>
      <c r="E38" s="1" t="s">
        <v>808</v>
      </c>
      <c r="F38" s="23">
        <v>7.57</v>
      </c>
      <c r="G38" s="8">
        <f>IF(_xlfn.ISFORMULA(TabelaPrincipal[[#This Row],[CUSTO + PERCENTUAL DE ENTRADA]]),0.4,(TabelaPrincipal[[#This Row],[CUSTO + PERCENTUAL DE ENTRADA]]-TabelaPrincipal[[#This Row],[VALOR DE CUSTO]])/TabelaPrincipal[[#This Row],[VALOR DE CUSTO]])</f>
        <v>0.4</v>
      </c>
      <c r="H38" s="2">
        <f>ROUND(F38+(F38*TabelaPrincipal[[#This Row],[PERCENTUAL DE ENTRADA]]), 2)</f>
        <v>10.6</v>
      </c>
      <c r="I38" s="5">
        <f t="shared" si="0"/>
        <v>1060</v>
      </c>
      <c r="J38" s="8">
        <v>0</v>
      </c>
      <c r="K38" s="2">
        <f>ROUND(F38+(F38*TabelaPrincipal[[#This Row],[PERCENTUAL MÍNIMO]]), 2)</f>
        <v>7.57</v>
      </c>
      <c r="L38" s="24">
        <v>7.57</v>
      </c>
      <c r="M38" s="25"/>
      <c r="N38" s="23">
        <f>TabelaPrincipal[[#This Row],[LANCE ATUAL]]*TabelaPrincipal[[#This Row],[QTD]]</f>
        <v>757</v>
      </c>
      <c r="O38" s="41" t="str">
        <f>IF(TabelaPrincipal[[#This Row],[LANCE ATUAL]]&lt;=(VLOOKUP(TabelaPrincipal[[#This Row],[ITEM]],TabelaModelo,5,FALSE)*0.5),"Inexequível","")</f>
        <v/>
      </c>
    </row>
    <row r="39" spans="1:15" ht="15" customHeight="1" x14ac:dyDescent="0.25">
      <c r="A39" s="4">
        <v>39</v>
      </c>
      <c r="B39" s="3" t="str">
        <f>VLOOKUP(TabelaPrincipal[[#This Row],[ITEM]],TabelaModelo,2,FALSE)</f>
        <v>Metronidazol 400 mg comprimido</v>
      </c>
      <c r="C39" s="1" t="str">
        <f>VLOOKUP(TabelaPrincipal[[#This Row],[ITEM]],TabelaModelo,3,FALSE)</f>
        <v>Comprimido</v>
      </c>
      <c r="D39" s="1">
        <f>VLOOKUP(TabelaPrincipal[[#This Row],[ITEM]],TabelaModelo,4,FALSE)</f>
        <v>1568</v>
      </c>
      <c r="E39" s="1" t="s">
        <v>818</v>
      </c>
      <c r="F39" s="23">
        <v>0.43</v>
      </c>
      <c r="G39" s="8">
        <f>IF(_xlfn.ISFORMULA(TabelaPrincipal[[#This Row],[CUSTO + PERCENTUAL DE ENTRADA]]),0.4,(TabelaPrincipal[[#This Row],[CUSTO + PERCENTUAL DE ENTRADA]]-TabelaPrincipal[[#This Row],[VALOR DE CUSTO]])/TabelaPrincipal[[#This Row],[VALOR DE CUSTO]])</f>
        <v>1.0697674418604652</v>
      </c>
      <c r="H39" s="2">
        <v>0.89</v>
      </c>
      <c r="I39" s="5">
        <f t="shared" si="0"/>
        <v>1395.52</v>
      </c>
      <c r="J39" s="8">
        <v>0</v>
      </c>
      <c r="K39" s="2">
        <f>ROUND(F39+(F39*TabelaPrincipal[[#This Row],[PERCENTUAL MÍNIMO]]), 2)</f>
        <v>0.43</v>
      </c>
      <c r="L39" s="24">
        <v>0.43</v>
      </c>
      <c r="M39" s="25"/>
      <c r="N39" s="23">
        <f>TabelaPrincipal[[#This Row],[LANCE ATUAL]]*TabelaPrincipal[[#This Row],[QTD]]</f>
        <v>674.24</v>
      </c>
      <c r="O39" s="41" t="str">
        <f>IF(TabelaPrincipal[[#This Row],[LANCE ATUAL]]&lt;=(VLOOKUP(TabelaPrincipal[[#This Row],[ITEM]],TabelaModelo,5,FALSE)*0.5),"Inexequível","")</f>
        <v>Inexequível</v>
      </c>
    </row>
    <row r="40" spans="1:15" ht="15" customHeight="1" x14ac:dyDescent="0.25">
      <c r="A40" s="4">
        <v>40</v>
      </c>
      <c r="B40" s="3" t="str">
        <f>VLOOKUP(TabelaPrincipal[[#This Row],[ITEM]],TabelaModelo,2,FALSE)</f>
        <v>Omeprazol 20 mg cápsula</v>
      </c>
      <c r="C40" s="1" t="str">
        <f>VLOOKUP(TabelaPrincipal[[#This Row],[ITEM]],TabelaModelo,3,FALSE)</f>
        <v>Cápsula</v>
      </c>
      <c r="D40" s="1">
        <f>VLOOKUP(TabelaPrincipal[[#This Row],[ITEM]],TabelaModelo,4,FALSE)</f>
        <v>14000</v>
      </c>
      <c r="E40" s="1" t="s">
        <v>803</v>
      </c>
      <c r="F40" s="23">
        <v>0.11</v>
      </c>
      <c r="G40" s="8">
        <f>IF(_xlfn.ISFORMULA(TabelaPrincipal[[#This Row],[CUSTO + PERCENTUAL DE ENTRADA]]),0.4,(TabelaPrincipal[[#This Row],[CUSTO + PERCENTUAL DE ENTRADA]]-TabelaPrincipal[[#This Row],[VALOR DE CUSTO]])/TabelaPrincipal[[#This Row],[VALOR DE CUSTO]])</f>
        <v>3.8181818181818183</v>
      </c>
      <c r="H40" s="2">
        <v>0.53</v>
      </c>
      <c r="I40" s="5">
        <f t="shared" si="0"/>
        <v>7420</v>
      </c>
      <c r="J40" s="8">
        <v>0</v>
      </c>
      <c r="K40" s="2">
        <f>ROUND(F40+(F40*TabelaPrincipal[[#This Row],[PERCENTUAL MÍNIMO]]), 2)</f>
        <v>0.11</v>
      </c>
      <c r="L40" s="24">
        <v>0.11</v>
      </c>
      <c r="M40" s="25"/>
      <c r="N40" s="23">
        <f>TabelaPrincipal[[#This Row],[LANCE ATUAL]]*TabelaPrincipal[[#This Row],[QTD]]</f>
        <v>1540</v>
      </c>
      <c r="O40" s="41" t="str">
        <f>IF(TabelaPrincipal[[#This Row],[LANCE ATUAL]]&lt;=(VLOOKUP(TabelaPrincipal[[#This Row],[ITEM]],TabelaModelo,5,FALSE)*0.5),"Inexequível","")</f>
        <v>Inexequível</v>
      </c>
    </row>
    <row r="41" spans="1:15" ht="15" customHeight="1" x14ac:dyDescent="0.25">
      <c r="A41" s="4">
        <v>41</v>
      </c>
      <c r="B41" s="3" t="str">
        <f>VLOOKUP(TabelaPrincipal[[#This Row],[ITEM]],TabelaModelo,2,FALSE)</f>
        <v>Paracetamol, dosagem comprimido: 500 mg</v>
      </c>
      <c r="C41" s="1" t="str">
        <f>VLOOKUP(TabelaPrincipal[[#This Row],[ITEM]],TabelaModelo,3,FALSE)</f>
        <v>Comprimido</v>
      </c>
      <c r="D41" s="1">
        <f>VLOOKUP(TabelaPrincipal[[#This Row],[ITEM]],TabelaModelo,4,FALSE)</f>
        <v>10000</v>
      </c>
      <c r="E41" s="1" t="s">
        <v>819</v>
      </c>
      <c r="F41" s="23">
        <v>0.2</v>
      </c>
      <c r="G41" s="8">
        <f>IF(_xlfn.ISFORMULA(TabelaPrincipal[[#This Row],[CUSTO + PERCENTUAL DE ENTRADA]]),0.4,(TabelaPrincipal[[#This Row],[CUSTO + PERCENTUAL DE ENTRADA]]-TabelaPrincipal[[#This Row],[VALOR DE CUSTO]])/TabelaPrincipal[[#This Row],[VALOR DE CUSTO]])</f>
        <v>2.9000000000000004</v>
      </c>
      <c r="H41" s="2">
        <v>0.78</v>
      </c>
      <c r="I41" s="5">
        <f t="shared" si="0"/>
        <v>7800</v>
      </c>
      <c r="J41" s="8">
        <v>0</v>
      </c>
      <c r="K41" s="2">
        <f>ROUND(F41+(F41*TabelaPrincipal[[#This Row],[PERCENTUAL MÍNIMO]]), 2)</f>
        <v>0.2</v>
      </c>
      <c r="L41" s="24">
        <v>0.2</v>
      </c>
      <c r="M41" s="25"/>
      <c r="N41" s="23">
        <f>TabelaPrincipal[[#This Row],[LANCE ATUAL]]*TabelaPrincipal[[#This Row],[QTD]]</f>
        <v>2000</v>
      </c>
      <c r="O41" s="41" t="str">
        <f>IF(TabelaPrincipal[[#This Row],[LANCE ATUAL]]&lt;=(VLOOKUP(TabelaPrincipal[[#This Row],[ITEM]],TabelaModelo,5,FALSE)*0.5),"Inexequível","")</f>
        <v>Inexequível</v>
      </c>
    </row>
    <row r="42" spans="1:15" ht="15" customHeight="1" x14ac:dyDescent="0.25">
      <c r="A42" s="4">
        <v>42</v>
      </c>
      <c r="B42" s="3" t="str">
        <f>VLOOKUP(TabelaPrincipal[[#This Row],[ITEM]],TabelaModelo,2,FALSE)</f>
        <v>Prednisona 20 mg comprimido</v>
      </c>
      <c r="C42" s="1" t="str">
        <f>VLOOKUP(TabelaPrincipal[[#This Row],[ITEM]],TabelaModelo,3,FALSE)</f>
        <v>Comprimido</v>
      </c>
      <c r="D42" s="1">
        <f>VLOOKUP(TabelaPrincipal[[#This Row],[ITEM]],TabelaModelo,4,FALSE)</f>
        <v>6000</v>
      </c>
      <c r="E42" s="1" t="s">
        <v>820</v>
      </c>
      <c r="F42" s="23">
        <v>0.35</v>
      </c>
      <c r="G42" s="8">
        <f>IF(_xlfn.ISFORMULA(TabelaPrincipal[[#This Row],[CUSTO + PERCENTUAL DE ENTRADA]]),0.4,(TabelaPrincipal[[#This Row],[CUSTO + PERCENTUAL DE ENTRADA]]-TabelaPrincipal[[#This Row],[VALOR DE CUSTO]])/TabelaPrincipal[[#This Row],[VALOR DE CUSTO]])</f>
        <v>1.2285714285714289</v>
      </c>
      <c r="H42" s="2">
        <v>0.78</v>
      </c>
      <c r="I42" s="5">
        <f t="shared" si="0"/>
        <v>4680</v>
      </c>
      <c r="J42" s="8">
        <v>0</v>
      </c>
      <c r="K42" s="2">
        <f>ROUND(F42+(F42*TabelaPrincipal[[#This Row],[PERCENTUAL MÍNIMO]]), 2)</f>
        <v>0.35</v>
      </c>
      <c r="L42" s="24">
        <v>0.35</v>
      </c>
      <c r="M42" s="25"/>
      <c r="N42" s="23">
        <f>TabelaPrincipal[[#This Row],[LANCE ATUAL]]*TabelaPrincipal[[#This Row],[QTD]]</f>
        <v>2100</v>
      </c>
      <c r="O42" s="41" t="str">
        <f>IF(TabelaPrincipal[[#This Row],[LANCE ATUAL]]&lt;=(VLOOKUP(TabelaPrincipal[[#This Row],[ITEM]],TabelaModelo,5,FALSE)*0.5),"Inexequível","")</f>
        <v>Inexequível</v>
      </c>
    </row>
    <row r="43" spans="1:15" ht="15" customHeight="1" x14ac:dyDescent="0.25">
      <c r="A43" s="4">
        <v>43</v>
      </c>
      <c r="B43" s="3" t="str">
        <f>VLOOKUP(TabelaPrincipal[[#This Row],[ITEM]],TabelaModelo,2,FALSE)</f>
        <v>Propranolol 40 mg comprimido</v>
      </c>
      <c r="C43" s="1" t="str">
        <f>VLOOKUP(TabelaPrincipal[[#This Row],[ITEM]],TabelaModelo,3,FALSE)</f>
        <v>Comprimido</v>
      </c>
      <c r="D43" s="1">
        <f>VLOOKUP(TabelaPrincipal[[#This Row],[ITEM]],TabelaModelo,4,FALSE)</f>
        <v>500</v>
      </c>
      <c r="E43" s="1" t="s">
        <v>821</v>
      </c>
      <c r="F43" s="23">
        <v>0.08</v>
      </c>
      <c r="G43" s="8">
        <f>IF(_xlfn.ISFORMULA(TabelaPrincipal[[#This Row],[CUSTO + PERCENTUAL DE ENTRADA]]),0.4,(TabelaPrincipal[[#This Row],[CUSTO + PERCENTUAL DE ENTRADA]]-TabelaPrincipal[[#This Row],[VALOR DE CUSTO]])/TabelaPrincipal[[#This Row],[VALOR DE CUSTO]])</f>
        <v>3.75</v>
      </c>
      <c r="H43" s="2">
        <v>0.38</v>
      </c>
      <c r="I43" s="5">
        <f t="shared" si="0"/>
        <v>190</v>
      </c>
      <c r="J43" s="8">
        <v>0</v>
      </c>
      <c r="K43" s="2">
        <f>ROUND(F43+(F43*TabelaPrincipal[[#This Row],[PERCENTUAL MÍNIMO]]), 2)</f>
        <v>0.08</v>
      </c>
      <c r="L43" s="24">
        <v>0.09</v>
      </c>
      <c r="M43" s="25"/>
      <c r="N43" s="23">
        <f>TabelaPrincipal[[#This Row],[LANCE ATUAL]]*TabelaPrincipal[[#This Row],[QTD]]</f>
        <v>45</v>
      </c>
      <c r="O43" s="41" t="str">
        <f>IF(TabelaPrincipal[[#This Row],[LANCE ATUAL]]&lt;=(VLOOKUP(TabelaPrincipal[[#This Row],[ITEM]],TabelaModelo,5,FALSE)*0.5),"Inexequível","")</f>
        <v>Inexequível</v>
      </c>
    </row>
    <row r="44" spans="1:15" ht="15" customHeight="1" x14ac:dyDescent="0.25">
      <c r="A44" s="4">
        <v>44</v>
      </c>
      <c r="B44" s="3" t="str">
        <f>VLOOKUP(TabelaPrincipal[[#This Row],[ITEM]],TabelaModelo,2,FALSE)</f>
        <v>Sais para reidratação oral, composição: sódio, potássio, cloreto, citrato e glicose, forma farmacêutica: pó p, solução oral</v>
      </c>
      <c r="C44" s="1" t="str">
        <f>VLOOKUP(TabelaPrincipal[[#This Row],[ITEM]],TabelaModelo,3,FALSE)</f>
        <v>Envelope</v>
      </c>
      <c r="D44" s="1">
        <f>VLOOKUP(TabelaPrincipal[[#This Row],[ITEM]],TabelaModelo,4,FALSE)</f>
        <v>2000</v>
      </c>
      <c r="E44" s="1" t="s">
        <v>822</v>
      </c>
      <c r="F44" s="23">
        <v>2.9</v>
      </c>
      <c r="G44" s="8">
        <f>IF(_xlfn.ISFORMULA(TabelaPrincipal[[#This Row],[CUSTO + PERCENTUAL DE ENTRADA]]),0.4,(TabelaPrincipal[[#This Row],[CUSTO + PERCENTUAL DE ENTRADA]]-TabelaPrincipal[[#This Row],[VALOR DE CUSTO]])/TabelaPrincipal[[#This Row],[VALOR DE CUSTO]])</f>
        <v>0.4</v>
      </c>
      <c r="H44" s="2">
        <f>ROUND(F44+(F44*TabelaPrincipal[[#This Row],[PERCENTUAL DE ENTRADA]]), 2)</f>
        <v>4.0599999999999996</v>
      </c>
      <c r="I44" s="5">
        <f t="shared" si="0"/>
        <v>8119.9999999999991</v>
      </c>
      <c r="J44" s="8">
        <v>0</v>
      </c>
      <c r="K44" s="2">
        <f>ROUND(F44+(F44*TabelaPrincipal[[#This Row],[PERCENTUAL MÍNIMO]]), 2)</f>
        <v>2.9</v>
      </c>
      <c r="L44" s="24">
        <v>2.9</v>
      </c>
      <c r="M44" s="25"/>
      <c r="N44" s="23">
        <f>TabelaPrincipal[[#This Row],[LANCE ATUAL]]*TabelaPrincipal[[#This Row],[QTD]]</f>
        <v>5800</v>
      </c>
      <c r="O44" s="41" t="str">
        <f>IF(TabelaPrincipal[[#This Row],[LANCE ATUAL]]&lt;=(VLOOKUP(TabelaPrincipal[[#This Row],[ITEM]],TabelaModelo,5,FALSE)*0.5),"Inexequível","")</f>
        <v/>
      </c>
    </row>
    <row r="45" spans="1:15" ht="15" customHeight="1" x14ac:dyDescent="0.25">
      <c r="A45" s="4">
        <v>45</v>
      </c>
      <c r="B45" s="3" t="str">
        <f>VLOOKUP(TabelaPrincipal[[#This Row],[ITEM]],TabelaModelo,2,FALSE)</f>
        <v>Tenoxicam 40 mg pó para solução injetável</v>
      </c>
      <c r="C45" s="1" t="str">
        <f>VLOOKUP(TabelaPrincipal[[#This Row],[ITEM]],TabelaModelo,3,FALSE)</f>
        <v>Frasco- ampola</v>
      </c>
      <c r="D45" s="1">
        <f>VLOOKUP(TabelaPrincipal[[#This Row],[ITEM]],TabelaModelo,4,FALSE)</f>
        <v>500</v>
      </c>
      <c r="E45" s="1" t="s">
        <v>797</v>
      </c>
      <c r="F45" s="23">
        <v>12</v>
      </c>
      <c r="G45" s="8">
        <f>IF(_xlfn.ISFORMULA(TabelaPrincipal[[#This Row],[CUSTO + PERCENTUAL DE ENTRADA]]),0.4,(TabelaPrincipal[[#This Row],[CUSTO + PERCENTUAL DE ENTRADA]]-TabelaPrincipal[[#This Row],[VALOR DE CUSTO]])/TabelaPrincipal[[#This Row],[VALOR DE CUSTO]])</f>
        <v>0.4</v>
      </c>
      <c r="H45" s="2">
        <f>ROUND(F45+(F45*TabelaPrincipal[[#This Row],[PERCENTUAL DE ENTRADA]]), 2)</f>
        <v>16.8</v>
      </c>
      <c r="I45" s="5">
        <f t="shared" si="0"/>
        <v>8400</v>
      </c>
      <c r="J45" s="8">
        <v>0</v>
      </c>
      <c r="K45" s="2">
        <f>ROUND(F45+(F45*TabelaPrincipal[[#This Row],[PERCENTUAL MÍNIMO]]), 2)</f>
        <v>12</v>
      </c>
      <c r="L45" s="24">
        <v>12.94</v>
      </c>
      <c r="M45" s="25"/>
      <c r="N45" s="23">
        <f>TabelaPrincipal[[#This Row],[LANCE ATUAL]]*TabelaPrincipal[[#This Row],[QTD]]</f>
        <v>6470</v>
      </c>
      <c r="O45" s="41" t="str">
        <f>IF(TabelaPrincipal[[#This Row],[LANCE ATUAL]]&lt;=(VLOOKUP(TabelaPrincipal[[#This Row],[ITEM]],TabelaModelo,5,FALSE)*0.5),"Inexequível","")</f>
        <v/>
      </c>
    </row>
    <row r="46" spans="1:15" ht="15" customHeight="1" x14ac:dyDescent="0.25">
      <c r="A46" s="4">
        <v>46</v>
      </c>
      <c r="B46" s="3" t="str">
        <f>VLOOKUP(TabelaPrincipal[[#This Row],[ITEM]],TabelaModelo,2,FALSE)</f>
        <v>Varfarina sódica 5 mg comprimido</v>
      </c>
      <c r="C46" s="1" t="str">
        <f>VLOOKUP(TabelaPrincipal[[#This Row],[ITEM]],TabelaModelo,3,FALSE)</f>
        <v>Comprimido</v>
      </c>
      <c r="D46" s="1">
        <f>VLOOKUP(TabelaPrincipal[[#This Row],[ITEM]],TabelaModelo,4,FALSE)</f>
        <v>1000</v>
      </c>
      <c r="E46" s="1" t="s">
        <v>796</v>
      </c>
      <c r="F46" s="23">
        <v>0.22</v>
      </c>
      <c r="G46" s="8">
        <f>IF(_xlfn.ISFORMULA(TabelaPrincipal[[#This Row],[CUSTO + PERCENTUAL DE ENTRADA]]),0.4,(TabelaPrincipal[[#This Row],[CUSTO + PERCENTUAL DE ENTRADA]]-TabelaPrincipal[[#This Row],[VALOR DE CUSTO]])/TabelaPrincipal[[#This Row],[VALOR DE CUSTO]])</f>
        <v>0.4</v>
      </c>
      <c r="H46" s="2">
        <f>ROUND(F46+(F46*TabelaPrincipal[[#This Row],[PERCENTUAL DE ENTRADA]]), 2)</f>
        <v>0.31</v>
      </c>
      <c r="I46" s="5">
        <f t="shared" si="0"/>
        <v>310</v>
      </c>
      <c r="J46" s="8">
        <v>0</v>
      </c>
      <c r="K46" s="2">
        <f>ROUND(F46+(F46*TabelaPrincipal[[#This Row],[PERCENTUAL MÍNIMO]]), 2)</f>
        <v>0.22</v>
      </c>
      <c r="L46" s="24">
        <v>0.22</v>
      </c>
      <c r="M46" s="25"/>
      <c r="N46" s="23">
        <f>TabelaPrincipal[[#This Row],[LANCE ATUAL]]*TabelaPrincipal[[#This Row],[QTD]]</f>
        <v>220</v>
      </c>
      <c r="O46" s="41" t="str">
        <f>IF(TabelaPrincipal[[#This Row],[LANCE ATUAL]]&lt;=(VLOOKUP(TabelaPrincipal[[#This Row],[ITEM]],TabelaModelo,5,FALSE)*0.5),"Inexequível","")</f>
        <v/>
      </c>
    </row>
    <row r="47" spans="1:15" ht="15" customHeight="1" x14ac:dyDescent="0.25">
      <c r="A47" s="4">
        <v>47</v>
      </c>
      <c r="B47" s="3" t="str">
        <f>VLOOKUP(TabelaPrincipal[[#This Row],[ITEM]],TabelaModelo,2,FALSE)</f>
        <v>Multivitaminas, composição vitaminas: vits: a, d3, e, k1, b1, b2, b3, b5, b6, c, forma farmacêutica: solução injetável</v>
      </c>
      <c r="C47" s="1" t="str">
        <f>VLOOKUP(TabelaPrincipal[[#This Row],[ITEM]],TabelaModelo,3,FALSE)</f>
        <v>Ampola 10 ml</v>
      </c>
      <c r="D47" s="1">
        <f>VLOOKUP(TabelaPrincipal[[#This Row],[ITEM]],TabelaModelo,4,FALSE)</f>
        <v>2000</v>
      </c>
      <c r="E47" s="1" t="s">
        <v>797</v>
      </c>
      <c r="F47" s="23">
        <v>8.06</v>
      </c>
      <c r="G47" s="8">
        <v>0</v>
      </c>
      <c r="H47" s="2">
        <f>ROUND(F47+(F47*TabelaPrincipal[[#This Row],[PERCENTUAL DE ENTRADA]]), 2)</f>
        <v>8.06</v>
      </c>
      <c r="I47" s="5">
        <f t="shared" si="0"/>
        <v>16120.000000000002</v>
      </c>
      <c r="J47" s="8">
        <f>IF(TabelaPrincipal[[#This Row],[PERCENTUAL DE ENTRADA]]&gt;0,0.15,0)</f>
        <v>0</v>
      </c>
      <c r="K47" s="2">
        <f>ROUND(F47+(F47*TabelaPrincipal[[#This Row],[PERCENTUAL MÍNIMO]]), 2)</f>
        <v>8.06</v>
      </c>
      <c r="L47" s="24">
        <f>IF(TabelaPrincipal[[#This Row],[PERCENTUAL DE ENTRADA]]=0,TabelaPrincipal[[#This Row],[VALOR MÍNIMO]],0)</f>
        <v>8.06</v>
      </c>
      <c r="M47" s="25">
        <v>1</v>
      </c>
      <c r="N47" s="23">
        <f>TabelaPrincipal[[#This Row],[LANCE ATUAL]]*TabelaPrincipal[[#This Row],[QTD]]</f>
        <v>16120.000000000002</v>
      </c>
      <c r="O47" s="41" t="str">
        <f>IF(TabelaPrincipal[[#This Row],[LANCE ATUAL]]&lt;=(VLOOKUP(TabelaPrincipal[[#This Row],[ITEM]],TabelaModelo,5,FALSE)*0.5),"Inexequível","")</f>
        <v/>
      </c>
    </row>
    <row r="48" spans="1:15" ht="15" customHeight="1" x14ac:dyDescent="0.25">
      <c r="A48" s="4">
        <v>48</v>
      </c>
      <c r="B48" s="3" t="str">
        <f>VLOOKUP(TabelaPrincipal[[#This Row],[ITEM]],TabelaModelo,2,FALSE)</f>
        <v>Acetilcisteína, dosagem: 20 mg,ml, indicação: xarope</v>
      </c>
      <c r="C48" s="1" t="str">
        <f>VLOOKUP(TabelaPrincipal[[#This Row],[ITEM]],TabelaModelo,3,FALSE)</f>
        <v>Frasco 120 ml</v>
      </c>
      <c r="D48" s="1">
        <f>VLOOKUP(TabelaPrincipal[[#This Row],[ITEM]],TabelaModelo,4,FALSE)</f>
        <v>200</v>
      </c>
      <c r="E48" s="1" t="s">
        <v>823</v>
      </c>
      <c r="F48" s="23">
        <v>9.35</v>
      </c>
      <c r="G48" s="8">
        <f>IF(_xlfn.ISFORMULA(TabelaPrincipal[[#This Row],[CUSTO + PERCENTUAL DE ENTRADA]]),0.4,(TabelaPrincipal[[#This Row],[CUSTO + PERCENTUAL DE ENTRADA]]-TabelaPrincipal[[#This Row],[VALOR DE CUSTO]])/TabelaPrincipal[[#This Row],[VALOR DE CUSTO]])</f>
        <v>0.4</v>
      </c>
      <c r="H48" s="2">
        <f>ROUND(F48+(F48*TabelaPrincipal[[#This Row],[PERCENTUAL DE ENTRADA]]), 2)</f>
        <v>13.09</v>
      </c>
      <c r="I48" s="5">
        <f t="shared" si="0"/>
        <v>2618</v>
      </c>
      <c r="J48" s="8">
        <v>0</v>
      </c>
      <c r="K48" s="2">
        <f>ROUND(F48+(F48*TabelaPrincipal[[#This Row],[PERCENTUAL MÍNIMO]]), 2)</f>
        <v>9.35</v>
      </c>
      <c r="L48" s="24">
        <v>9.35</v>
      </c>
      <c r="M48" s="25"/>
      <c r="N48" s="23">
        <f>TabelaPrincipal[[#This Row],[LANCE ATUAL]]*TabelaPrincipal[[#This Row],[QTD]]</f>
        <v>1870</v>
      </c>
      <c r="O48" s="41" t="str">
        <f>IF(TabelaPrincipal[[#This Row],[LANCE ATUAL]]&lt;=(VLOOKUP(TabelaPrincipal[[#This Row],[ITEM]],TabelaModelo,5,FALSE)*0.5),"Inexequível","")</f>
        <v/>
      </c>
    </row>
    <row r="49" spans="1:15" ht="15" customHeight="1" x14ac:dyDescent="0.25">
      <c r="A49" s="4">
        <v>49</v>
      </c>
      <c r="B49" s="3" t="str">
        <f>VLOOKUP(TabelaPrincipal[[#This Row],[ITEM]],TabelaModelo,2,FALSE)</f>
        <v>Saccharomyces boulardii100 mg cápsula</v>
      </c>
      <c r="C49" s="1" t="str">
        <f>VLOOKUP(TabelaPrincipal[[#This Row],[ITEM]],TabelaModelo,3,FALSE)</f>
        <v>Cápsula</v>
      </c>
      <c r="D49" s="1">
        <f>VLOOKUP(TabelaPrincipal[[#This Row],[ITEM]],TabelaModelo,4,FALSE)</f>
        <v>12000</v>
      </c>
      <c r="E49" s="1" t="s">
        <v>812</v>
      </c>
      <c r="F49" s="23">
        <v>1.1599999999999999</v>
      </c>
      <c r="G49" s="8">
        <f>IF(_xlfn.ISFORMULA(TabelaPrincipal[[#This Row],[CUSTO + PERCENTUAL DE ENTRADA]]),0.4,(TabelaPrincipal[[#This Row],[CUSTO + PERCENTUAL DE ENTRADA]]-TabelaPrincipal[[#This Row],[VALOR DE CUSTO]])/TabelaPrincipal[[#This Row],[VALOR DE CUSTO]])</f>
        <v>0.931034482758621</v>
      </c>
      <c r="H49" s="2">
        <v>2.2400000000000002</v>
      </c>
      <c r="I49" s="5">
        <f t="shared" si="0"/>
        <v>26880.000000000004</v>
      </c>
      <c r="J49" s="8">
        <v>0</v>
      </c>
      <c r="K49" s="2">
        <f>ROUND(F49+(F49*TabelaPrincipal[[#This Row],[PERCENTUAL MÍNIMO]]), 2)</f>
        <v>1.1599999999999999</v>
      </c>
      <c r="L49" s="24">
        <v>1.1599999999999999</v>
      </c>
      <c r="M49" s="25"/>
      <c r="N49" s="23">
        <f>TabelaPrincipal[[#This Row],[LANCE ATUAL]]*TabelaPrincipal[[#This Row],[QTD]]</f>
        <v>13919.999999999998</v>
      </c>
      <c r="O49" s="41" t="str">
        <f>IF(TabelaPrincipal[[#This Row],[LANCE ATUAL]]&lt;=(VLOOKUP(TabelaPrincipal[[#This Row],[ITEM]],TabelaModelo,5,FALSE)*0.5),"Inexequível","")</f>
        <v/>
      </c>
    </row>
    <row r="50" spans="1:15" ht="15" customHeight="1" x14ac:dyDescent="0.25">
      <c r="A50" s="4">
        <v>50</v>
      </c>
      <c r="B50" s="3" t="str">
        <f>VLOOKUP(TabelaPrincipal[[#This Row],[ITEM]],TabelaModelo,2,FALSE)</f>
        <v>Cloreto de sódio, princípio ativo: 0,9%_ solução injetável, aplicação: sistema fechado 250 ml</v>
      </c>
      <c r="C50" s="1" t="str">
        <f>VLOOKUP(TabelaPrincipal[[#This Row],[ITEM]],TabelaModelo,3,FALSE)</f>
        <v>Frasco 250 ml</v>
      </c>
      <c r="D50" s="1">
        <f>VLOOKUP(TabelaPrincipal[[#This Row],[ITEM]],TabelaModelo,4,FALSE)</f>
        <v>600</v>
      </c>
      <c r="E50" s="1" t="s">
        <v>824</v>
      </c>
      <c r="F50" s="23">
        <v>5.99</v>
      </c>
      <c r="G50" s="8">
        <f>IF(_xlfn.ISFORMULA(TabelaPrincipal[[#This Row],[CUSTO + PERCENTUAL DE ENTRADA]]),0.4,(TabelaPrincipal[[#This Row],[CUSTO + PERCENTUAL DE ENTRADA]]-TabelaPrincipal[[#This Row],[VALOR DE CUSTO]])/TabelaPrincipal[[#This Row],[VALOR DE CUSTO]])</f>
        <v>0.4</v>
      </c>
      <c r="H50" s="2">
        <f>ROUND(F50+(F50*TabelaPrincipal[[#This Row],[PERCENTUAL DE ENTRADA]]), 2)</f>
        <v>8.39</v>
      </c>
      <c r="I50" s="5">
        <f t="shared" si="0"/>
        <v>5034</v>
      </c>
      <c r="J50" s="8">
        <v>0</v>
      </c>
      <c r="K50" s="2">
        <f>ROUND(F50+(F50*TabelaPrincipal[[#This Row],[PERCENTUAL MÍNIMO]]), 2)</f>
        <v>5.99</v>
      </c>
      <c r="L50" s="24">
        <v>5.99</v>
      </c>
      <c r="M50" s="25"/>
      <c r="N50" s="23">
        <f>TabelaPrincipal[[#This Row],[LANCE ATUAL]]*TabelaPrincipal[[#This Row],[QTD]]</f>
        <v>3594</v>
      </c>
      <c r="O50" s="41" t="str">
        <f>IF(TabelaPrincipal[[#This Row],[LANCE ATUAL]]&lt;=(VLOOKUP(TabelaPrincipal[[#This Row],[ITEM]],TabelaModelo,5,FALSE)*0.5),"Inexequível","")</f>
        <v/>
      </c>
    </row>
    <row r="51" spans="1:15" ht="15" customHeight="1" x14ac:dyDescent="0.25">
      <c r="A51" s="4">
        <v>51</v>
      </c>
      <c r="B51" s="3" t="str">
        <f>VLOOKUP(TabelaPrincipal[[#This Row],[ITEM]],TabelaModelo,2,FALSE)</f>
        <v>Álcool etílico, tipo: hidratado, teor alcoólico: 70% (70°gl), apresentação: líquido</v>
      </c>
      <c r="C51" s="1" t="str">
        <f>VLOOKUP(TabelaPrincipal[[#This Row],[ITEM]],TabelaModelo,3,FALSE)</f>
        <v>Frasco 1L</v>
      </c>
      <c r="D51" s="1">
        <f>VLOOKUP(TabelaPrincipal[[#This Row],[ITEM]],TabelaModelo,4,FALSE)</f>
        <v>500</v>
      </c>
      <c r="E51" s="1" t="s">
        <v>825</v>
      </c>
      <c r="F51" s="23">
        <v>5.99</v>
      </c>
      <c r="G51" s="8">
        <f>IF(_xlfn.ISFORMULA(TabelaPrincipal[[#This Row],[CUSTO + PERCENTUAL DE ENTRADA]]),0.4,(TabelaPrincipal[[#This Row],[CUSTO + PERCENTUAL DE ENTRADA]]-TabelaPrincipal[[#This Row],[VALOR DE CUSTO]])/TabelaPrincipal[[#This Row],[VALOR DE CUSTO]])</f>
        <v>0.4</v>
      </c>
      <c r="H51" s="2">
        <f>ROUND(F51+(F51*TabelaPrincipal[[#This Row],[PERCENTUAL DE ENTRADA]]), 2)</f>
        <v>8.39</v>
      </c>
      <c r="I51" s="5">
        <f t="shared" si="0"/>
        <v>4195</v>
      </c>
      <c r="J51" s="8">
        <v>0</v>
      </c>
      <c r="K51" s="2">
        <f>ROUND(F51+(F51*TabelaPrincipal[[#This Row],[PERCENTUAL MÍNIMO]]), 2)</f>
        <v>5.99</v>
      </c>
      <c r="L51" s="24">
        <v>6.01</v>
      </c>
      <c r="M51" s="25"/>
      <c r="N51" s="23">
        <f>TabelaPrincipal[[#This Row],[LANCE ATUAL]]*TabelaPrincipal[[#This Row],[QTD]]</f>
        <v>3005</v>
      </c>
      <c r="O51" s="41" t="str">
        <f>IF(TabelaPrincipal[[#This Row],[LANCE ATUAL]]&lt;=(VLOOKUP(TabelaPrincipal[[#This Row],[ITEM]],TabelaModelo,5,FALSE)*0.5),"Inexequível","")</f>
        <v/>
      </c>
    </row>
    <row r="52" spans="1:15" ht="15" customHeight="1" x14ac:dyDescent="0.25">
      <c r="A52" s="4">
        <v>53</v>
      </c>
      <c r="B52" s="3" t="str">
        <f>VLOOKUP(TabelaPrincipal[[#This Row],[ITEM]],TabelaModelo,2,FALSE)</f>
        <v>Agulha hipodérmica, material: aço inoxidável siliconizado, dimensão: 24 g x 3,4", tipo ponta: bisel curto trifacetado, tipo conexão: conector luerlock ou slip em plástico, tipo fixação: protetor plástico, tipo uso: estéril, descartável, embalagem individual</v>
      </c>
      <c r="C52" s="1" t="str">
        <f>VLOOKUP(TabelaPrincipal[[#This Row],[ITEM]],TabelaModelo,3,FALSE)</f>
        <v>Caixa (100 un)</v>
      </c>
      <c r="D52" s="1">
        <f>VLOOKUP(TabelaPrincipal[[#This Row],[ITEM]],TabelaModelo,4,FALSE)</f>
        <v>50</v>
      </c>
      <c r="E52" s="1" t="s">
        <v>826</v>
      </c>
      <c r="F52" s="23">
        <v>7</v>
      </c>
      <c r="G52" s="8">
        <f>IF(_xlfn.ISFORMULA(TabelaPrincipal[[#This Row],[CUSTO + PERCENTUAL DE ENTRADA]]),0.4,(TabelaPrincipal[[#This Row],[CUSTO + PERCENTUAL DE ENTRADA]]-TabelaPrincipal[[#This Row],[VALOR DE CUSTO]])/TabelaPrincipal[[#This Row],[VALOR DE CUSTO]])</f>
        <v>1.7642857142857145</v>
      </c>
      <c r="H52" s="2">
        <v>19.350000000000001</v>
      </c>
      <c r="I52" s="5">
        <f t="shared" si="0"/>
        <v>967.50000000000011</v>
      </c>
      <c r="J52" s="8">
        <v>0</v>
      </c>
      <c r="K52" s="2">
        <f>ROUND(F52+(F52*TabelaPrincipal[[#This Row],[PERCENTUAL MÍNIMO]]), 2)</f>
        <v>7</v>
      </c>
      <c r="L52" s="24">
        <v>7</v>
      </c>
      <c r="M52" s="25"/>
      <c r="N52" s="23">
        <f>TabelaPrincipal[[#This Row],[LANCE ATUAL]]*TabelaPrincipal[[#This Row],[QTD]]</f>
        <v>350</v>
      </c>
      <c r="O52" s="41" t="str">
        <f>IF(TabelaPrincipal[[#This Row],[LANCE ATUAL]]&lt;=(VLOOKUP(TabelaPrincipal[[#This Row],[ITEM]],TabelaModelo,5,FALSE)*0.5),"Inexequível","")</f>
        <v>Inexequível</v>
      </c>
    </row>
    <row r="53" spans="1:15" ht="15" customHeight="1" x14ac:dyDescent="0.25">
      <c r="A53" s="4">
        <v>54</v>
      </c>
      <c r="B53" s="3" t="str">
        <f>VLOOKUP(TabelaPrincipal[[#This Row],[ITEM]],TabelaModelo,2,FALSE)</f>
        <v>Agulha hipodérmica, material: aço inoxidável siliconizado, dimensão: 23 g x 1", tipo ponta: bisel curto trifacetado, tipo conexão: conector luerlock ou slip em plástico, tipo fixação: protetor plástico, tipo uso: estéril, descartável, embalagem individual</v>
      </c>
      <c r="C53" s="1" t="str">
        <f>VLOOKUP(TabelaPrincipal[[#This Row],[ITEM]],TabelaModelo,3,FALSE)</f>
        <v>Caixa (100 un)</v>
      </c>
      <c r="D53" s="1">
        <f>VLOOKUP(TabelaPrincipal[[#This Row],[ITEM]],TabelaModelo,4,FALSE)</f>
        <v>50</v>
      </c>
      <c r="E53" s="1" t="s">
        <v>826</v>
      </c>
      <c r="F53" s="23">
        <v>7</v>
      </c>
      <c r="G53" s="8">
        <f>IF(_xlfn.ISFORMULA(TabelaPrincipal[[#This Row],[CUSTO + PERCENTUAL DE ENTRADA]]),0.4,(TabelaPrincipal[[#This Row],[CUSTO + PERCENTUAL DE ENTRADA]]-TabelaPrincipal[[#This Row],[VALOR DE CUSTO]])/TabelaPrincipal[[#This Row],[VALOR DE CUSTO]])</f>
        <v>1.0685714285714287</v>
      </c>
      <c r="H53" s="2">
        <v>14.48</v>
      </c>
      <c r="I53" s="5">
        <f t="shared" si="0"/>
        <v>724</v>
      </c>
      <c r="J53" s="8">
        <v>0</v>
      </c>
      <c r="K53" s="2">
        <f>ROUND(F53+(F53*TabelaPrincipal[[#This Row],[PERCENTUAL MÍNIMO]]), 2)</f>
        <v>7</v>
      </c>
      <c r="L53" s="24">
        <v>7</v>
      </c>
      <c r="M53" s="25"/>
      <c r="N53" s="23">
        <f>TabelaPrincipal[[#This Row],[LANCE ATUAL]]*TabelaPrincipal[[#This Row],[QTD]]</f>
        <v>350</v>
      </c>
      <c r="O53" s="41" t="str">
        <f>IF(TabelaPrincipal[[#This Row],[LANCE ATUAL]]&lt;=(VLOOKUP(TabelaPrincipal[[#This Row],[ITEM]],TabelaModelo,5,FALSE)*0.5),"Inexequível","")</f>
        <v>Inexequível</v>
      </c>
    </row>
    <row r="54" spans="1:15" ht="15" customHeight="1" x14ac:dyDescent="0.25">
      <c r="A54" s="4">
        <v>55</v>
      </c>
      <c r="B54" s="3" t="str">
        <f>VLOOKUP(TabelaPrincipal[[#This Row],[ITEM]],TabelaModelo,2,FALSE)</f>
        <v>Agulha hipodérmica, material: aço inoxidável siliconizado, dimensão: 22 g x 1 1,4", tipo ponta: bisel curto trifacetado, tipo conexão: conector luerlock ou slip em plástico, tipo fixação: protetor plástico, tipo uso: estéril, descartável, embalagem individual</v>
      </c>
      <c r="C54" s="1" t="str">
        <f>VLOOKUP(TabelaPrincipal[[#This Row],[ITEM]],TabelaModelo,3,FALSE)</f>
        <v>Caixa (100 un)</v>
      </c>
      <c r="D54" s="1">
        <f>VLOOKUP(TabelaPrincipal[[#This Row],[ITEM]],TabelaModelo,4,FALSE)</f>
        <v>50</v>
      </c>
      <c r="E54" s="1" t="s">
        <v>826</v>
      </c>
      <c r="F54" s="23">
        <v>7</v>
      </c>
      <c r="G54" s="8">
        <f>IF(_xlfn.ISFORMULA(TabelaPrincipal[[#This Row],[CUSTO + PERCENTUAL DE ENTRADA]]),0.4,(TabelaPrincipal[[#This Row],[CUSTO + PERCENTUAL DE ENTRADA]]-TabelaPrincipal[[#This Row],[VALOR DE CUSTO]])/TabelaPrincipal[[#This Row],[VALOR DE CUSTO]])</f>
        <v>1.5057142857142856</v>
      </c>
      <c r="H54" s="2">
        <v>17.54</v>
      </c>
      <c r="I54" s="5">
        <f t="shared" si="0"/>
        <v>877</v>
      </c>
      <c r="J54" s="8">
        <v>0</v>
      </c>
      <c r="K54" s="2">
        <f>ROUND(F54+(F54*TabelaPrincipal[[#This Row],[PERCENTUAL MÍNIMO]]), 2)</f>
        <v>7</v>
      </c>
      <c r="L54" s="24">
        <v>7.81</v>
      </c>
      <c r="M54" s="25"/>
      <c r="N54" s="23">
        <f>TabelaPrincipal[[#This Row],[LANCE ATUAL]]*TabelaPrincipal[[#This Row],[QTD]]</f>
        <v>390.5</v>
      </c>
      <c r="O54" s="41" t="str">
        <f>IF(TabelaPrincipal[[#This Row],[LANCE ATUAL]]&lt;=(VLOOKUP(TabelaPrincipal[[#This Row],[ITEM]],TabelaModelo,5,FALSE)*0.5),"Inexequível","")</f>
        <v>Inexequível</v>
      </c>
    </row>
    <row r="55" spans="1:15" ht="15" customHeight="1" x14ac:dyDescent="0.25">
      <c r="A55" s="4">
        <v>56</v>
      </c>
      <c r="B55" s="3" t="str">
        <f>VLOOKUP(TabelaPrincipal[[#This Row],[ITEM]],TabelaModelo,2,FALSE)</f>
        <v>Agulha hipodérmica, material: aço inoxidável siliconizado, dimensão: 18 g x 1 1,2", tipo ponta: bisel curto trifacetado, tipo conexão: conector luerlock ou slip em plástico, tipo fixação: protetor plástico, tipo uso: estéril, descartável, embalagem individual</v>
      </c>
      <c r="C55" s="1" t="str">
        <f>VLOOKUP(TabelaPrincipal[[#This Row],[ITEM]],TabelaModelo,3,FALSE)</f>
        <v>Caixa (100 un)</v>
      </c>
      <c r="D55" s="1">
        <f>VLOOKUP(TabelaPrincipal[[#This Row],[ITEM]],TabelaModelo,4,FALSE)</f>
        <v>100</v>
      </c>
      <c r="E55" s="1" t="s">
        <v>826</v>
      </c>
      <c r="F55" s="23">
        <v>8</v>
      </c>
      <c r="G55" s="8">
        <f>IF(_xlfn.ISFORMULA(TabelaPrincipal[[#This Row],[CUSTO + PERCENTUAL DE ENTRADA]]),0.4,(TabelaPrincipal[[#This Row],[CUSTO + PERCENTUAL DE ENTRADA]]-TabelaPrincipal[[#This Row],[VALOR DE CUSTO]])/TabelaPrincipal[[#This Row],[VALOR DE CUSTO]])</f>
        <v>1.0649999999999999</v>
      </c>
      <c r="H55" s="2">
        <v>16.52</v>
      </c>
      <c r="I55" s="5">
        <f t="shared" si="0"/>
        <v>1652</v>
      </c>
      <c r="J55" s="8">
        <v>0</v>
      </c>
      <c r="K55" s="2">
        <f>ROUND(F55+(F55*TabelaPrincipal[[#This Row],[PERCENTUAL MÍNIMO]]), 2)</f>
        <v>8</v>
      </c>
      <c r="L55" s="24">
        <v>8</v>
      </c>
      <c r="M55" s="25"/>
      <c r="N55" s="23">
        <f>TabelaPrincipal[[#This Row],[LANCE ATUAL]]*TabelaPrincipal[[#This Row],[QTD]]</f>
        <v>800</v>
      </c>
      <c r="O55" s="41" t="str">
        <f>IF(TabelaPrincipal[[#This Row],[LANCE ATUAL]]&lt;=(VLOOKUP(TabelaPrincipal[[#This Row],[ITEM]],TabelaModelo,5,FALSE)*0.5),"Inexequível","")</f>
        <v>Inexequível</v>
      </c>
    </row>
    <row r="56" spans="1:15" ht="15" customHeight="1" x14ac:dyDescent="0.25">
      <c r="A56" s="4">
        <v>57</v>
      </c>
      <c r="B56" s="3" t="str">
        <f>VLOOKUP(TabelaPrincipal[[#This Row],[ITEM]],TabelaModelo,2,FALSE)</f>
        <v>Cateter periférico, material cateter: polímero radiopaco, aplicação: venoso, material agulha: agulha aço inox, diametro: 14 gau, comprimento: cerca 50 mm, conector: conector padrão, componente 1: câmara refluxo c, filtro, componente 2: c, sistema segurança segUnidadeo nr,32, tipo uso: estéril, descartável, embalagem individual</v>
      </c>
      <c r="C56" s="1" t="str">
        <f>VLOOKUP(TabelaPrincipal[[#This Row],[ITEM]],TabelaModelo,3,FALSE)</f>
        <v>Unidade</v>
      </c>
      <c r="D56" s="1">
        <f>VLOOKUP(TabelaPrincipal[[#This Row],[ITEM]],TabelaModelo,4,FALSE)</f>
        <v>200</v>
      </c>
      <c r="E56" s="1" t="s">
        <v>827</v>
      </c>
      <c r="F56" s="23">
        <v>1.91</v>
      </c>
      <c r="G56" s="8">
        <v>0</v>
      </c>
      <c r="H56" s="2">
        <f>ROUND(F56+(F56*TabelaPrincipal[[#This Row],[PERCENTUAL DE ENTRADA]]), 2)</f>
        <v>1.91</v>
      </c>
      <c r="I56" s="5">
        <f t="shared" si="0"/>
        <v>382</v>
      </c>
      <c r="J56" s="8">
        <f>IF(TabelaPrincipal[[#This Row],[PERCENTUAL DE ENTRADA]]&gt;0,0.15,0)</f>
        <v>0</v>
      </c>
      <c r="K56" s="2">
        <f>ROUND(F56+(F56*TabelaPrincipal[[#This Row],[PERCENTUAL MÍNIMO]]), 2)</f>
        <v>1.91</v>
      </c>
      <c r="L56" s="24">
        <f>IF(TabelaPrincipal[[#This Row],[PERCENTUAL DE ENTRADA]]=0,TabelaPrincipal[[#This Row],[VALOR MÍNIMO]],0)</f>
        <v>1.91</v>
      </c>
      <c r="M56" s="25"/>
      <c r="N56" s="23">
        <f>TabelaPrincipal[[#This Row],[LANCE ATUAL]]*TabelaPrincipal[[#This Row],[QTD]]</f>
        <v>382</v>
      </c>
      <c r="O56" s="41" t="str">
        <f>IF(TabelaPrincipal[[#This Row],[LANCE ATUAL]]&lt;=(VLOOKUP(TabelaPrincipal[[#This Row],[ITEM]],TabelaModelo,5,FALSE)*0.5),"Inexequível","")</f>
        <v/>
      </c>
    </row>
    <row r="57" spans="1:15" ht="15" customHeight="1" x14ac:dyDescent="0.25">
      <c r="A57" s="4">
        <v>58</v>
      </c>
      <c r="B57" s="3" t="str">
        <f>VLOOKUP(TabelaPrincipal[[#This Row],[ITEM]],TabelaModelo,2,FALSE)</f>
        <v>Cateter periférico, material cateter: polímero radiopaco, aplicação: venoso, material agulha: agulha aço inox, diametro: 16 gau, comprimento: cerca 30 mm, conector: conector padrão, componente 1: câmara refluxo c, filtro, componente 2: c, sistema segurança segUnidadeo nr,32, tipo uso: estéril, descartável, embalagem individual</v>
      </c>
      <c r="C57" s="1" t="str">
        <f>VLOOKUP(TabelaPrincipal[[#This Row],[ITEM]],TabelaModelo,3,FALSE)</f>
        <v>Unidade</v>
      </c>
      <c r="D57" s="1">
        <f>VLOOKUP(TabelaPrincipal[[#This Row],[ITEM]],TabelaModelo,4,FALSE)</f>
        <v>200</v>
      </c>
      <c r="E57" s="1" t="s">
        <v>827</v>
      </c>
      <c r="F57" s="23">
        <v>1.46</v>
      </c>
      <c r="G57" s="8">
        <v>0</v>
      </c>
      <c r="H57" s="2">
        <f>ROUND(F57+(F57*TabelaPrincipal[[#This Row],[PERCENTUAL DE ENTRADA]]), 2)</f>
        <v>1.46</v>
      </c>
      <c r="I57" s="5">
        <f t="shared" si="0"/>
        <v>292</v>
      </c>
      <c r="J57" s="8">
        <f>IF(TabelaPrincipal[[#This Row],[PERCENTUAL DE ENTRADA]]&gt;0,0.15,0)</f>
        <v>0</v>
      </c>
      <c r="K57" s="2">
        <f>ROUND(F57+(F57*TabelaPrincipal[[#This Row],[PERCENTUAL MÍNIMO]]), 2)</f>
        <v>1.46</v>
      </c>
      <c r="L57" s="24">
        <f>IF(TabelaPrincipal[[#This Row],[PERCENTUAL DE ENTRADA]]=0,TabelaPrincipal[[#This Row],[VALOR MÍNIMO]],0)</f>
        <v>1.46</v>
      </c>
      <c r="M57" s="25"/>
      <c r="N57" s="23">
        <f>TabelaPrincipal[[#This Row],[LANCE ATUAL]]*TabelaPrincipal[[#This Row],[QTD]]</f>
        <v>292</v>
      </c>
      <c r="O57" s="41" t="str">
        <f>IF(TabelaPrincipal[[#This Row],[LANCE ATUAL]]&lt;=(VLOOKUP(TabelaPrincipal[[#This Row],[ITEM]],TabelaModelo,5,FALSE)*0.5),"Inexequível","")</f>
        <v/>
      </c>
    </row>
    <row r="58" spans="1:15" ht="15" customHeight="1" x14ac:dyDescent="0.25">
      <c r="A58" s="4">
        <v>59</v>
      </c>
      <c r="B58" s="3" t="str">
        <f>VLOOKUP(TabelaPrincipal[[#This Row],[ITEM]],TabelaModelo,2,FALSE)</f>
        <v>Cateter periférico, material cateter: polímero radiopaco, aplicação: venoso, material agulha: agulha aço inox, diâmetro: 22 gau, comprimento: cerca 25 mm, componente adicional: c, asa de fixação, tubo extensor c, clamp, conector: conector padrão c, injetor lateral, componente 2: c, sistema segurança segUnidadeo nr,32, tipo uso: estéril, descartável, embalagem individual</v>
      </c>
      <c r="C58" s="1" t="str">
        <f>VLOOKUP(TabelaPrincipal[[#This Row],[ITEM]],TabelaModelo,3,FALSE)</f>
        <v>Unidade</v>
      </c>
      <c r="D58" s="1">
        <f>VLOOKUP(TabelaPrincipal[[#This Row],[ITEM]],TabelaModelo,4,FALSE)</f>
        <v>1000</v>
      </c>
      <c r="E58" s="1" t="s">
        <v>827</v>
      </c>
      <c r="F58" s="23">
        <v>1.55</v>
      </c>
      <c r="G58" s="8">
        <v>0</v>
      </c>
      <c r="H58" s="2">
        <f>ROUND(F58+(F58*TabelaPrincipal[[#This Row],[PERCENTUAL DE ENTRADA]]), 2)</f>
        <v>1.55</v>
      </c>
      <c r="I58" s="5">
        <f t="shared" si="0"/>
        <v>1550</v>
      </c>
      <c r="J58" s="8">
        <f>IF(TabelaPrincipal[[#This Row],[PERCENTUAL DE ENTRADA]]&gt;0,0.15,0)</f>
        <v>0</v>
      </c>
      <c r="K58" s="2">
        <f>ROUND(F58+(F58*TabelaPrincipal[[#This Row],[PERCENTUAL MÍNIMO]]), 2)</f>
        <v>1.55</v>
      </c>
      <c r="L58" s="24">
        <f>IF(TabelaPrincipal[[#This Row],[PERCENTUAL DE ENTRADA]]=0,TabelaPrincipal[[#This Row],[VALOR MÍNIMO]],0)</f>
        <v>1.55</v>
      </c>
      <c r="M58" s="25"/>
      <c r="N58" s="23">
        <f>TabelaPrincipal[[#This Row],[LANCE ATUAL]]*TabelaPrincipal[[#This Row],[QTD]]</f>
        <v>1550</v>
      </c>
      <c r="O58" s="41" t="str">
        <f>IF(TabelaPrincipal[[#This Row],[LANCE ATUAL]]&lt;=(VLOOKUP(TabelaPrincipal[[#This Row],[ITEM]],TabelaModelo,5,FALSE)*0.5),"Inexequível","")</f>
        <v/>
      </c>
    </row>
    <row r="59" spans="1:15" ht="15" customHeight="1" x14ac:dyDescent="0.25">
      <c r="A59" s="4">
        <v>60</v>
      </c>
      <c r="B59" s="3" t="str">
        <f>VLOOKUP(TabelaPrincipal[[#This Row],[ITEM]],TabelaModelo,2,FALSE)</f>
        <v>Cateter periférico, material cateter: polímero radiopaco, aplicação: venoso, material agulha: agulha aço inox, diametro: 24 gau, comprimento: cerca 20 mm, componente adicional: c, asa de fixação, tubo extensor c, clamp, conector: conector padrão c, injetor lateral, componente 2: c, sistema segurança segUnidadeo nr,32, tipo uso: estéril, descartável, embalagem individual</v>
      </c>
      <c r="C59" s="1" t="str">
        <f>VLOOKUP(TabelaPrincipal[[#This Row],[ITEM]],TabelaModelo,3,FALSE)</f>
        <v>Unidade</v>
      </c>
      <c r="D59" s="1">
        <f>VLOOKUP(TabelaPrincipal[[#This Row],[ITEM]],TabelaModelo,4,FALSE)</f>
        <v>1000</v>
      </c>
      <c r="E59" s="1" t="s">
        <v>827</v>
      </c>
      <c r="F59" s="23">
        <v>1.9</v>
      </c>
      <c r="G59" s="8">
        <f>IF(_xlfn.ISFORMULA(TabelaPrincipal[[#This Row],[CUSTO + PERCENTUAL DE ENTRADA]]),0.4,(TabelaPrincipal[[#This Row],[CUSTO + PERCENTUAL DE ENTRADA]]-TabelaPrincipal[[#This Row],[VALOR DE CUSTO]])/TabelaPrincipal[[#This Row],[VALOR DE CUSTO]])</f>
        <v>0.60526315789473684</v>
      </c>
      <c r="H59" s="2">
        <v>3.05</v>
      </c>
      <c r="I59" s="5">
        <f t="shared" si="0"/>
        <v>3050</v>
      </c>
      <c r="J59" s="8">
        <v>0</v>
      </c>
      <c r="K59" s="2">
        <f>ROUND(F59+(F59*TabelaPrincipal[[#This Row],[PERCENTUAL MÍNIMO]]), 2)</f>
        <v>1.9</v>
      </c>
      <c r="L59" s="24">
        <v>1.9</v>
      </c>
      <c r="M59" s="25"/>
      <c r="N59" s="23">
        <f>TabelaPrincipal[[#This Row],[LANCE ATUAL]]*TabelaPrincipal[[#This Row],[QTD]]</f>
        <v>1900</v>
      </c>
      <c r="O59" s="41" t="str">
        <f>IF(TabelaPrincipal[[#This Row],[LANCE ATUAL]]&lt;=(VLOOKUP(TabelaPrincipal[[#This Row],[ITEM]],TabelaModelo,5,FALSE)*0.5),"Inexequível","")</f>
        <v/>
      </c>
    </row>
    <row r="60" spans="1:15" ht="15" customHeight="1" x14ac:dyDescent="0.25">
      <c r="A60" s="4">
        <v>61</v>
      </c>
      <c r="B60" s="3" t="str">
        <f>VLOOKUP(TabelaPrincipal[[#This Row],[ITEM]],TabelaModelo,2,FALSE)</f>
        <v>Coletor de urina, material: polímero, tipo: sistema fechado, capacidade: cerca de 500 ml, graduação: graduada, válvula: válvula antirefluxo, componentes: c, sistema de fixação, esterilidade: estéril, descartável</v>
      </c>
      <c r="C60" s="1" t="str">
        <f>VLOOKUP(TabelaPrincipal[[#This Row],[ITEM]],TabelaModelo,3,FALSE)</f>
        <v>Unidade</v>
      </c>
      <c r="D60" s="1">
        <f>VLOOKUP(TabelaPrincipal[[#This Row],[ITEM]],TabelaModelo,4,FALSE)</f>
        <v>20</v>
      </c>
      <c r="E60" s="1" t="s">
        <v>828</v>
      </c>
      <c r="F60" s="23">
        <v>28</v>
      </c>
      <c r="G60" s="8">
        <f>IF(_xlfn.ISFORMULA(TabelaPrincipal[[#This Row],[CUSTO + PERCENTUAL DE ENTRADA]]),0.4,(TabelaPrincipal[[#This Row],[CUSTO + PERCENTUAL DE ENTRADA]]-TabelaPrincipal[[#This Row],[VALOR DE CUSTO]])/TabelaPrincipal[[#This Row],[VALOR DE CUSTO]])</f>
        <v>0.46107142857142847</v>
      </c>
      <c r="H60" s="2">
        <v>40.909999999999997</v>
      </c>
      <c r="I60" s="5">
        <f t="shared" si="0"/>
        <v>818.19999999999993</v>
      </c>
      <c r="J60" s="8">
        <v>0</v>
      </c>
      <c r="K60" s="2">
        <f>ROUND(F60+(F60*TabelaPrincipal[[#This Row],[PERCENTUAL MÍNIMO]]), 2)</f>
        <v>28</v>
      </c>
      <c r="L60" s="24">
        <v>28</v>
      </c>
      <c r="M60" s="25">
        <v>1</v>
      </c>
      <c r="N60" s="23">
        <f>TabelaPrincipal[[#This Row],[LANCE ATUAL]]*TabelaPrincipal[[#This Row],[QTD]]</f>
        <v>560</v>
      </c>
      <c r="O60" s="41" t="str">
        <f>IF(TabelaPrincipal[[#This Row],[LANCE ATUAL]]&lt;=(VLOOKUP(TabelaPrincipal[[#This Row],[ITEM]],TabelaModelo,5,FALSE)*0.5),"Inexequível","")</f>
        <v/>
      </c>
    </row>
    <row r="61" spans="1:15" ht="15" customHeight="1" x14ac:dyDescent="0.25">
      <c r="A61" s="4">
        <v>73</v>
      </c>
      <c r="B61" s="3" t="str">
        <f>VLOOKUP(TabelaPrincipal[[#This Row],[ITEM]],TabelaModelo,2,FALSE)</f>
        <v>Haste flexível, haste flexível</v>
      </c>
      <c r="C61" s="1" t="str">
        <f>VLOOKUP(TabelaPrincipal[[#This Row],[ITEM]],TabelaModelo,3,FALSE)</f>
        <v>Caixa com 75 Unidades</v>
      </c>
      <c r="D61" s="1">
        <f>VLOOKUP(TabelaPrincipal[[#This Row],[ITEM]],TabelaModelo,4,FALSE)</f>
        <v>100</v>
      </c>
      <c r="E61" s="1" t="s">
        <v>829</v>
      </c>
      <c r="F61" s="23">
        <v>1.3</v>
      </c>
      <c r="G61" s="8">
        <f>IF(_xlfn.ISFORMULA(TabelaPrincipal[[#This Row],[CUSTO + PERCENTUAL DE ENTRADA]]),0.4,(TabelaPrincipal[[#This Row],[CUSTO + PERCENTUAL DE ENTRADA]]-TabelaPrincipal[[#This Row],[VALOR DE CUSTO]])/TabelaPrincipal[[#This Row],[VALOR DE CUSTO]])</f>
        <v>0.4</v>
      </c>
      <c r="H61" s="2">
        <f>ROUND(F61+(F61*TabelaPrincipal[[#This Row],[PERCENTUAL DE ENTRADA]]), 2)</f>
        <v>1.82</v>
      </c>
      <c r="I61" s="5">
        <f t="shared" si="0"/>
        <v>182</v>
      </c>
      <c r="J61" s="8">
        <v>0</v>
      </c>
      <c r="K61" s="2">
        <f>ROUND(F61+(F61*TabelaPrincipal[[#This Row],[PERCENTUAL MÍNIMO]]), 2)</f>
        <v>1.3</v>
      </c>
      <c r="L61" s="24">
        <v>1.65</v>
      </c>
      <c r="M61" s="25">
        <v>1</v>
      </c>
      <c r="N61" s="23">
        <f>TabelaPrincipal[[#This Row],[LANCE ATUAL]]*TabelaPrincipal[[#This Row],[QTD]]</f>
        <v>165</v>
      </c>
      <c r="O61" s="41" t="str">
        <f>IF(TabelaPrincipal[[#This Row],[LANCE ATUAL]]&lt;=(VLOOKUP(TabelaPrincipal[[#This Row],[ITEM]],TabelaModelo,5,FALSE)*0.5),"Inexequível","")</f>
        <v/>
      </c>
    </row>
    <row r="62" spans="1:15" ht="15" customHeight="1" x14ac:dyDescent="0.25">
      <c r="A62" s="4">
        <v>74</v>
      </c>
      <c r="B62" s="3" t="str">
        <f>VLOOKUP(TabelaPrincipal[[#This Row],[ITEM]],TabelaModelo,2,FALSE)</f>
        <v>Pilha, tamanho: pequena, modelo: AA, características adicionais: não recarregável, sistema eletroquímico: alcalina, tensão nominal: 1,5 v</v>
      </c>
      <c r="C62" s="1" t="str">
        <f>VLOOKUP(TabelaPrincipal[[#This Row],[ITEM]],TabelaModelo,3,FALSE)</f>
        <v>Unidade</v>
      </c>
      <c r="D62" s="1">
        <f>VLOOKUP(TabelaPrincipal[[#This Row],[ITEM]],TabelaModelo,4,FALSE)</f>
        <v>200</v>
      </c>
      <c r="E62" s="1" t="s">
        <v>830</v>
      </c>
      <c r="F62" s="23">
        <v>2.97</v>
      </c>
      <c r="G62" s="8">
        <f>IF(_xlfn.ISFORMULA(TabelaPrincipal[[#This Row],[CUSTO + PERCENTUAL DE ENTRADA]]),0.4,(TabelaPrincipal[[#This Row],[CUSTO + PERCENTUAL DE ENTRADA]]-TabelaPrincipal[[#This Row],[VALOR DE CUSTO]])/TabelaPrincipal[[#This Row],[VALOR DE CUSTO]])</f>
        <v>0.4</v>
      </c>
      <c r="H62" s="2">
        <f>ROUND(F62+(F62*TabelaPrincipal[[#This Row],[PERCENTUAL DE ENTRADA]]), 2)</f>
        <v>4.16</v>
      </c>
      <c r="I62" s="5">
        <f t="shared" si="0"/>
        <v>832</v>
      </c>
      <c r="J62" s="8">
        <v>0</v>
      </c>
      <c r="K62" s="2">
        <f>ROUND(F62+(F62*TabelaPrincipal[[#This Row],[PERCENTUAL MÍNIMO]]), 2)</f>
        <v>2.97</v>
      </c>
      <c r="L62" s="24">
        <v>2.97</v>
      </c>
      <c r="M62" s="25"/>
      <c r="N62" s="23">
        <f>TabelaPrincipal[[#This Row],[LANCE ATUAL]]*TabelaPrincipal[[#This Row],[QTD]]</f>
        <v>594</v>
      </c>
      <c r="O62" s="41" t="str">
        <f>IF(TabelaPrincipal[[#This Row],[LANCE ATUAL]]&lt;=(VLOOKUP(TabelaPrincipal[[#This Row],[ITEM]],TabelaModelo,5,FALSE)*0.5),"Inexequível","")</f>
        <v/>
      </c>
    </row>
    <row r="63" spans="1:15" ht="15" customHeight="1" x14ac:dyDescent="0.25">
      <c r="A63" s="4">
        <v>75</v>
      </c>
      <c r="B63" s="3" t="str">
        <f>VLOOKUP(TabelaPrincipal[[#This Row],[ITEM]],TabelaModelo,2,FALSE)</f>
        <v>Pilha recarregável, composição: níquel metal hidreto (nimh), modelo: aa, tensão: 1,5 v, capacidade corrente: 2.300 mah, aplicação: equipamentos eletrônicos</v>
      </c>
      <c r="C63" s="1" t="str">
        <f>VLOOKUP(TabelaPrincipal[[#This Row],[ITEM]],TabelaModelo,3,FALSE)</f>
        <v>Unidade</v>
      </c>
      <c r="D63" s="1">
        <f>VLOOKUP(TabelaPrincipal[[#This Row],[ITEM]],TabelaModelo,4,FALSE)</f>
        <v>200</v>
      </c>
      <c r="E63" s="1" t="s">
        <v>831</v>
      </c>
      <c r="F63" s="23">
        <v>29</v>
      </c>
      <c r="G63" s="8">
        <f>IF(_xlfn.ISFORMULA(TabelaPrincipal[[#This Row],[CUSTO + PERCENTUAL DE ENTRADA]]),0.4,(TabelaPrincipal[[#This Row],[CUSTO + PERCENTUAL DE ENTRADA]]-TabelaPrincipal[[#This Row],[VALOR DE CUSTO]])/TabelaPrincipal[[#This Row],[VALOR DE CUSTO]])</f>
        <v>0.4</v>
      </c>
      <c r="H63" s="2">
        <f>ROUND(F63+(F63*TabelaPrincipal[[#This Row],[PERCENTUAL DE ENTRADA]]), 2)</f>
        <v>40.6</v>
      </c>
      <c r="I63" s="5">
        <f t="shared" si="0"/>
        <v>8120</v>
      </c>
      <c r="J63" s="8">
        <v>0</v>
      </c>
      <c r="K63" s="2">
        <f>ROUND(F63+(F63*TabelaPrincipal[[#This Row],[PERCENTUAL MÍNIMO]]), 2)</f>
        <v>29</v>
      </c>
      <c r="L63" s="24">
        <v>29</v>
      </c>
      <c r="M63" s="25"/>
      <c r="N63" s="23">
        <f>TabelaPrincipal[[#This Row],[LANCE ATUAL]]*TabelaPrincipal[[#This Row],[QTD]]</f>
        <v>5800</v>
      </c>
      <c r="O63" s="41" t="str">
        <f>IF(TabelaPrincipal[[#This Row],[LANCE ATUAL]]&lt;=(VLOOKUP(TabelaPrincipal[[#This Row],[ITEM]],TabelaModelo,5,FALSE)*0.5),"Inexequível","")</f>
        <v/>
      </c>
    </row>
    <row r="64" spans="1:15" ht="15" customHeight="1" x14ac:dyDescent="0.25">
      <c r="A64" s="4">
        <v>76</v>
      </c>
      <c r="B64" s="3" t="str">
        <f>VLOOKUP(TabelaPrincipal[[#This Row],[ITEM]],TabelaModelo,2,FALSE)</f>
        <v>Pilha, tamanho: pequena, tipo: alcalina, modelo: AAA, tensão: 1,5 v, características adicionais: não recarregável</v>
      </c>
      <c r="C64" s="1" t="str">
        <f>VLOOKUP(TabelaPrincipal[[#This Row],[ITEM]],TabelaModelo,3,FALSE)</f>
        <v>Unidade</v>
      </c>
      <c r="D64" s="1">
        <f>VLOOKUP(TabelaPrincipal[[#This Row],[ITEM]],TabelaModelo,4,FALSE)</f>
        <v>200</v>
      </c>
      <c r="E64" s="1" t="s">
        <v>830</v>
      </c>
      <c r="F64" s="23">
        <v>3.45</v>
      </c>
      <c r="G64" s="8">
        <f>IF(_xlfn.ISFORMULA(TabelaPrincipal[[#This Row],[CUSTO + PERCENTUAL DE ENTRADA]]),0.4,(TabelaPrincipal[[#This Row],[CUSTO + PERCENTUAL DE ENTRADA]]-TabelaPrincipal[[#This Row],[VALOR DE CUSTO]])/TabelaPrincipal[[#This Row],[VALOR DE CUSTO]])</f>
        <v>0.4</v>
      </c>
      <c r="H64" s="2">
        <f>ROUND(F64+(F64*TabelaPrincipal[[#This Row],[PERCENTUAL DE ENTRADA]]), 2)</f>
        <v>4.83</v>
      </c>
      <c r="I64" s="5">
        <f t="shared" si="0"/>
        <v>966</v>
      </c>
      <c r="J64" s="8">
        <v>0</v>
      </c>
      <c r="K64" s="2">
        <f>ROUND(F64+(F64*TabelaPrincipal[[#This Row],[PERCENTUAL MÍNIMO]]), 2)</f>
        <v>3.45</v>
      </c>
      <c r="L64" s="24">
        <v>3.45</v>
      </c>
      <c r="M64" s="25"/>
      <c r="N64" s="23">
        <f>TabelaPrincipal[[#This Row],[LANCE ATUAL]]*TabelaPrincipal[[#This Row],[QTD]]</f>
        <v>690</v>
      </c>
      <c r="O64" s="41" t="str">
        <f>IF(TabelaPrincipal[[#This Row],[LANCE ATUAL]]&lt;=(VLOOKUP(TabelaPrincipal[[#This Row],[ITEM]],TabelaModelo,5,FALSE)*0.5),"Inexequível","")</f>
        <v/>
      </c>
    </row>
    <row r="65" spans="1:15" ht="15" customHeight="1" x14ac:dyDescent="0.25">
      <c r="A65" s="4">
        <v>80</v>
      </c>
      <c r="B65" s="3" t="str">
        <f>VLOOKUP(TabelaPrincipal[[#This Row],[ITEM]],TabelaModelo,2,FALSE)</f>
        <v>Imobilizador  de  cabeça  headblock  impermeável. Imobilizador  de  cabeça  (coxim):  confeccionado em   abs\,   resistente   a   impactos;   utilizado   em conjuntocomprancha  de  imobilização;  anatômico\, regulagem   com   velcro\,   base   com   regulagem. Imobilizador  de  cabeça  (coxim):  confeccionado em  abs\,   resistente  a  impactos;  uti  lizado   em conjunto     com     prancha     de     imobilização; anatômico\,  regulagem  com  velcr  o\,  base  com regulagem.</v>
      </c>
      <c r="C65" s="1" t="str">
        <f>VLOOKUP(TabelaPrincipal[[#This Row],[ITEM]],TabelaModelo,3,FALSE)</f>
        <v>Unidade</v>
      </c>
      <c r="D65" s="1">
        <f>VLOOKUP(TabelaPrincipal[[#This Row],[ITEM]],TabelaModelo,4,FALSE)</f>
        <v>20</v>
      </c>
      <c r="E65" s="1" t="s">
        <v>832</v>
      </c>
      <c r="F65" s="23">
        <v>114</v>
      </c>
      <c r="G65" s="8">
        <f>IF(_xlfn.ISFORMULA(TabelaPrincipal[[#This Row],[CUSTO + PERCENTUAL DE ENTRADA]]),0.4,(TabelaPrincipal[[#This Row],[CUSTO + PERCENTUAL DE ENTRADA]]-TabelaPrincipal[[#This Row],[VALOR DE CUSTO]])/TabelaPrincipal[[#This Row],[VALOR DE CUSTO]])</f>
        <v>0.4</v>
      </c>
      <c r="H65" s="2">
        <f>ROUND(F65+(F65*TabelaPrincipal[[#This Row],[PERCENTUAL DE ENTRADA]]), 2)</f>
        <v>159.6</v>
      </c>
      <c r="I65" s="5">
        <f t="shared" si="0"/>
        <v>3192</v>
      </c>
      <c r="J65" s="8">
        <v>-0.05</v>
      </c>
      <c r="K65" s="2">
        <f>ROUND(F65+(F65*TabelaPrincipal[[#This Row],[PERCENTUAL MÍNIMO]]), 2)</f>
        <v>108.3</v>
      </c>
      <c r="L65" s="24">
        <v>114</v>
      </c>
      <c r="M65" s="25"/>
      <c r="N65" s="23">
        <f>TabelaPrincipal[[#This Row],[LANCE ATUAL]]*TabelaPrincipal[[#This Row],[QTD]]</f>
        <v>2280</v>
      </c>
      <c r="O65" s="41" t="str">
        <f>IF(TabelaPrincipal[[#This Row],[LANCE ATUAL]]&lt;=(VLOOKUP(TabelaPrincipal[[#This Row],[ITEM]],TabelaModelo,5,FALSE)*0.5),"Inexequível","")</f>
        <v/>
      </c>
    </row>
    <row r="66" spans="1:15" ht="15" customHeight="1" x14ac:dyDescent="0.25">
      <c r="A66" s="4">
        <v>390</v>
      </c>
      <c r="B66" s="3" t="str">
        <f>VLOOKUP(TabelaPrincipal[[#This Row],[ITEM]],TabelaModelo,2,FALSE)</f>
        <v>Resina  composta,  tipo:  fotopolimerizável,  tipo  " bulk fill ", aspecto físico: fluída, alta viscosidade. Padrão de referência: Resina Opus Bulk FillFlow - FGM     A3     similar     ou     superior     Resina FiltekBulkFillFlow - 3m - A1 similar ou superior</v>
      </c>
      <c r="C66" s="1" t="str">
        <f>VLOOKUP(TabelaPrincipal[[#This Row],[ITEM]],TabelaModelo,3,FALSE)</f>
        <v>Unidade</v>
      </c>
      <c r="D66" s="1">
        <f>VLOOKUP(TabelaPrincipal[[#This Row],[ITEM]],TabelaModelo,4,FALSE)</f>
        <v>30</v>
      </c>
      <c r="E66" s="1" t="s">
        <v>833</v>
      </c>
      <c r="F66" s="23">
        <v>165</v>
      </c>
      <c r="G66" s="8">
        <f>IF(_xlfn.ISFORMULA(TabelaPrincipal[[#This Row],[CUSTO + PERCENTUAL DE ENTRADA]]),0.4,(TabelaPrincipal[[#This Row],[CUSTO + PERCENTUAL DE ENTRADA]]-TabelaPrincipal[[#This Row],[VALOR DE CUSTO]])/TabelaPrincipal[[#This Row],[VALOR DE CUSTO]])</f>
        <v>0.4</v>
      </c>
      <c r="H66" s="2">
        <f>ROUND(F66+(F66*TabelaPrincipal[[#This Row],[PERCENTUAL DE ENTRADA]]), 2)</f>
        <v>231</v>
      </c>
      <c r="I66" s="5">
        <f t="shared" ref="I66:I129" si="1">D66*H66</f>
        <v>6930</v>
      </c>
      <c r="J66" s="8">
        <v>0</v>
      </c>
      <c r="K66" s="2">
        <f>ROUND(F66+(F66*TabelaPrincipal[[#This Row],[PERCENTUAL MÍNIMO]]), 2)</f>
        <v>165</v>
      </c>
      <c r="L66" s="24">
        <v>165.01</v>
      </c>
      <c r="M66" s="25"/>
      <c r="N66" s="23">
        <f>TabelaPrincipal[[#This Row],[LANCE ATUAL]]*TabelaPrincipal[[#This Row],[QTD]]</f>
        <v>4950.2999999999993</v>
      </c>
      <c r="O66" s="41" t="str">
        <f>IF(TabelaPrincipal[[#This Row],[LANCE ATUAL]]&lt;=(VLOOKUP(TabelaPrincipal[[#This Row],[ITEM]],TabelaModelo,5,FALSE)*0.5),"Inexequível","")</f>
        <v/>
      </c>
    </row>
    <row r="67" spans="1:15" ht="15" customHeight="1" x14ac:dyDescent="0.25">
      <c r="A67" s="4">
        <v>83</v>
      </c>
      <c r="B67" s="3" t="str">
        <f>VLOOKUP(TabelaPrincipal[[#This Row],[ITEM]],TabelaModelo,2,FALSE)</f>
        <v>Otoscópio,  tipo  clínico,  características  adicionais com 5 espéculo reutilizáveis, estojo em nylon</v>
      </c>
      <c r="C67" s="1" t="str">
        <f>VLOOKUP(TabelaPrincipal[[#This Row],[ITEM]],TabelaModelo,3,FALSE)</f>
        <v>Unidade</v>
      </c>
      <c r="D67" s="1">
        <f>VLOOKUP(TabelaPrincipal[[#This Row],[ITEM]],TabelaModelo,4,FALSE)</f>
        <v>5</v>
      </c>
      <c r="E67" s="1" t="s">
        <v>834</v>
      </c>
      <c r="F67" s="23">
        <v>390</v>
      </c>
      <c r="G67" s="8">
        <f>IF(_xlfn.ISFORMULA(TabelaPrincipal[[#This Row],[CUSTO + PERCENTUAL DE ENTRADA]]),0.4,(TabelaPrincipal[[#This Row],[CUSTO + PERCENTUAL DE ENTRADA]]-TabelaPrincipal[[#This Row],[VALOR DE CUSTO]])/TabelaPrincipal[[#This Row],[VALOR DE CUSTO]])</f>
        <v>1.4773333333333332</v>
      </c>
      <c r="H67" s="2">
        <v>966.16</v>
      </c>
      <c r="I67" s="5">
        <f t="shared" si="1"/>
        <v>4830.8</v>
      </c>
      <c r="J67" s="8">
        <v>0</v>
      </c>
      <c r="K67" s="2">
        <f>ROUND(F67+(F67*TabelaPrincipal[[#This Row],[PERCENTUAL MÍNIMO]]), 2)</f>
        <v>390</v>
      </c>
      <c r="L67" s="24">
        <v>390</v>
      </c>
      <c r="M67" s="25"/>
      <c r="N67" s="23">
        <f>TabelaPrincipal[[#This Row],[LANCE ATUAL]]*TabelaPrincipal[[#This Row],[QTD]]</f>
        <v>1950</v>
      </c>
      <c r="O67" s="41" t="str">
        <f>IF(TabelaPrincipal[[#This Row],[LANCE ATUAL]]&lt;=(VLOOKUP(TabelaPrincipal[[#This Row],[ITEM]],TabelaModelo,5,FALSE)*0.5),"Inexequível","")</f>
        <v>Inexequível</v>
      </c>
    </row>
    <row r="68" spans="1:15" ht="15" customHeight="1" x14ac:dyDescent="0.25">
      <c r="A68" s="4">
        <v>84</v>
      </c>
      <c r="B68" s="3" t="str">
        <f>VLOOKUP(TabelaPrincipal[[#This Row],[ITEM]],TabelaModelo,2,FALSE)</f>
        <v>Maca   de   resgate,   material:   polietileno,   tipo: prancha,  tamanho:  adulto,  largura:  cerca  de  0,40 m, capacidade de carga: até 250 kg, componentes: até  5  cintos  de  segurança,  componentes  01:  cinto imobilizador para cabeça</v>
      </c>
      <c r="C68" s="1" t="str">
        <f>VLOOKUP(TabelaPrincipal[[#This Row],[ITEM]],TabelaModelo,3,FALSE)</f>
        <v>Unidade</v>
      </c>
      <c r="D68" s="1">
        <f>VLOOKUP(TabelaPrincipal[[#This Row],[ITEM]],TabelaModelo,4,FALSE)</f>
        <v>10</v>
      </c>
      <c r="E68" s="1" t="s">
        <v>835</v>
      </c>
      <c r="F68" s="23">
        <v>490</v>
      </c>
      <c r="G68" s="8">
        <f>IF(_xlfn.ISFORMULA(TabelaPrincipal[[#This Row],[CUSTO + PERCENTUAL DE ENTRADA]]),0.4,(TabelaPrincipal[[#This Row],[CUSTO + PERCENTUAL DE ENTRADA]]-TabelaPrincipal[[#This Row],[VALOR DE CUSTO]])/TabelaPrincipal[[#This Row],[VALOR DE CUSTO]])</f>
        <v>0.45032653061224481</v>
      </c>
      <c r="H68" s="2">
        <v>710.66</v>
      </c>
      <c r="I68" s="5">
        <f t="shared" si="1"/>
        <v>7106.5999999999995</v>
      </c>
      <c r="J68" s="8">
        <v>0</v>
      </c>
      <c r="K68" s="2">
        <f>ROUND(F68+(F68*TabelaPrincipal[[#This Row],[PERCENTUAL MÍNIMO]]), 2)</f>
        <v>490</v>
      </c>
      <c r="L68" s="24">
        <v>488</v>
      </c>
      <c r="M68" s="25"/>
      <c r="N68" s="23">
        <f>TabelaPrincipal[[#This Row],[LANCE ATUAL]]*TabelaPrincipal[[#This Row],[QTD]]</f>
        <v>4880</v>
      </c>
      <c r="O68" s="41" t="str">
        <f>IF(TabelaPrincipal[[#This Row],[LANCE ATUAL]]&lt;=(VLOOKUP(TabelaPrincipal[[#This Row],[ITEM]],TabelaModelo,5,FALSE)*0.5),"Inexequível","")</f>
        <v/>
      </c>
    </row>
    <row r="69" spans="1:15" ht="15" customHeight="1" x14ac:dyDescent="0.25">
      <c r="A69" s="4">
        <v>88</v>
      </c>
      <c r="B69" s="3" t="str">
        <f>VLOOKUP(TabelaPrincipal[[#This Row],[ITEM]],TabelaModelo,2,FALSE)</f>
        <v>Glicosímetro   (c/   tiras\,   lancetas   e   lancetador) glicosímetro   para   medição   de   glicemia   capilar (glicosímetrodigital)\,  tempo  de  resultado  de  teste de 0 a 15segUnidades\, e volume de amostra de até 03   microlitros\,   obtidos   por   capilaridade.   O aparelho   deve   permitir   determinação   precisa   e segura  de  glicemia  em  sangue  capilar  de  recém- nascido\,  criança\,  adultos  e  pacientes  em  uso  de insulina.  O  glicosímetro  deve  acompanhar\,  no mínimo:  1  caneta  lancetadora\,  50lancetas\,  5  0 tiras de teste e 1 bateria\, compatíveis. Garantia de no mínimo 12 (doze) meses.</v>
      </c>
      <c r="C69" s="1" t="str">
        <f>VLOOKUP(TabelaPrincipal[[#This Row],[ITEM]],TabelaModelo,3,FALSE)</f>
        <v>Unidade</v>
      </c>
      <c r="D69" s="1">
        <f>VLOOKUP(TabelaPrincipal[[#This Row],[ITEM]],TabelaModelo,4,FALSE)</f>
        <v>10</v>
      </c>
      <c r="E69" s="1" t="s">
        <v>836</v>
      </c>
      <c r="F69" s="23">
        <v>110.04</v>
      </c>
      <c r="G69" s="8">
        <v>0</v>
      </c>
      <c r="H69" s="2">
        <f>ROUND(F69+(F69*TabelaPrincipal[[#This Row],[PERCENTUAL DE ENTRADA]]), 2)</f>
        <v>110.04</v>
      </c>
      <c r="I69" s="5">
        <f t="shared" si="1"/>
        <v>1100.4000000000001</v>
      </c>
      <c r="J69" s="8">
        <f>IF(TabelaPrincipal[[#This Row],[PERCENTUAL DE ENTRADA]]&gt;0,0.15,0)</f>
        <v>0</v>
      </c>
      <c r="K69" s="2">
        <f>ROUND(F69+(F69*TabelaPrincipal[[#This Row],[PERCENTUAL MÍNIMO]]), 2)</f>
        <v>110.04</v>
      </c>
      <c r="L69" s="24">
        <f>IF(TabelaPrincipal[[#This Row],[PERCENTUAL DE ENTRADA]]=0,TabelaPrincipal[[#This Row],[VALOR MÍNIMO]],0)</f>
        <v>110.04</v>
      </c>
      <c r="M69" s="25"/>
      <c r="N69" s="23">
        <f>TabelaPrincipal[[#This Row],[LANCE ATUAL]]*TabelaPrincipal[[#This Row],[QTD]]</f>
        <v>1100.4000000000001</v>
      </c>
      <c r="O69" s="41" t="str">
        <f>IF(TabelaPrincipal[[#This Row],[LANCE ATUAL]]&lt;=(VLOOKUP(TabelaPrincipal[[#This Row],[ITEM]],TabelaModelo,5,FALSE)*0.5),"Inexequível","")</f>
        <v/>
      </c>
    </row>
    <row r="70" spans="1:15" ht="15" customHeight="1" x14ac:dyDescent="0.25">
      <c r="A70" s="4">
        <v>89</v>
      </c>
      <c r="B70" s="3" t="str">
        <f>VLOOKUP(TabelaPrincipal[[#This Row],[ITEM]],TabelaModelo,2,FALSE)</f>
        <v>Termohigrômetro, tipo: digital, fonte alimentação: bateria  9  v,  faixa  temperatura:  0  a  +  50  °c,  faixa medição humidade relativa: 10 a 95 per, resolução: 1%  °c.  Aplicação:  Monitoramento  Temperatura eumidade.</v>
      </c>
      <c r="C70" s="1" t="str">
        <f>VLOOKUP(TabelaPrincipal[[#This Row],[ITEM]],TabelaModelo,3,FALSE)</f>
        <v>Unidade</v>
      </c>
      <c r="D70" s="1">
        <f>VLOOKUP(TabelaPrincipal[[#This Row],[ITEM]],TabelaModelo,4,FALSE)</f>
        <v>10</v>
      </c>
      <c r="E70" s="1" t="s">
        <v>837</v>
      </c>
      <c r="F70" s="23">
        <v>99.65</v>
      </c>
      <c r="G70" s="8">
        <v>0</v>
      </c>
      <c r="H70" s="2">
        <f>ROUND(F70+(F70*TabelaPrincipal[[#This Row],[PERCENTUAL DE ENTRADA]]), 2)</f>
        <v>99.65</v>
      </c>
      <c r="I70" s="5">
        <f t="shared" si="1"/>
        <v>996.5</v>
      </c>
      <c r="J70" s="8">
        <f>IF(TabelaPrincipal[[#This Row],[PERCENTUAL DE ENTRADA]]&gt;0,0.15,0)</f>
        <v>0</v>
      </c>
      <c r="K70" s="2">
        <f>ROUND(F70+(F70*TabelaPrincipal[[#This Row],[PERCENTUAL MÍNIMO]]), 2)</f>
        <v>99.65</v>
      </c>
      <c r="L70" s="24">
        <f>IF(TabelaPrincipal[[#This Row],[PERCENTUAL DE ENTRADA]]=0,TabelaPrincipal[[#This Row],[VALOR MÍNIMO]],0)</f>
        <v>99.65</v>
      </c>
      <c r="M70" s="25"/>
      <c r="N70" s="23">
        <f>TabelaPrincipal[[#This Row],[LANCE ATUAL]]*TabelaPrincipal[[#This Row],[QTD]]</f>
        <v>996.5</v>
      </c>
      <c r="O70" s="41" t="str">
        <f>IF(TabelaPrincipal[[#This Row],[LANCE ATUAL]]&lt;=(VLOOKUP(TabelaPrincipal[[#This Row],[ITEM]],TabelaModelo,5,FALSE)*0.5),"Inexequível","")</f>
        <v/>
      </c>
    </row>
    <row r="71" spans="1:15" ht="15" customHeight="1" x14ac:dyDescent="0.25">
      <c r="A71" s="4">
        <v>98</v>
      </c>
      <c r="B71" s="3" t="str">
        <f>VLOOKUP(TabelaPrincipal[[#This Row],[ITEM]],TabelaModelo,2,FALSE)</f>
        <v>Cloridrato de metilfenidato 36 mg comprimidos de liberação prolongada</v>
      </c>
      <c r="C71" s="1" t="str">
        <f>VLOOKUP(TabelaPrincipal[[#This Row],[ITEM]],TabelaModelo,3,FALSE)</f>
        <v>Comprimido</v>
      </c>
      <c r="D71" s="1">
        <f>VLOOKUP(TabelaPrincipal[[#This Row],[ITEM]],TabelaModelo,4,FALSE)</f>
        <v>720</v>
      </c>
      <c r="E71" s="1" t="s">
        <v>817</v>
      </c>
      <c r="F71" s="23">
        <v>12.04</v>
      </c>
      <c r="G71" s="8">
        <f>IF(_xlfn.ISFORMULA(TabelaPrincipal[[#This Row],[CUSTO + PERCENTUAL DE ENTRADA]]),0.4,(TabelaPrincipal[[#This Row],[CUSTO + PERCENTUAL DE ENTRADA]]-TabelaPrincipal[[#This Row],[VALOR DE CUSTO]])/TabelaPrincipal[[#This Row],[VALOR DE CUSTO]])</f>
        <v>0.4</v>
      </c>
      <c r="H71" s="2">
        <f>ROUND(F71+(F71*TabelaPrincipal[[#This Row],[PERCENTUAL DE ENTRADA]]), 2)</f>
        <v>16.86</v>
      </c>
      <c r="I71" s="5">
        <f t="shared" si="1"/>
        <v>12139.199999999999</v>
      </c>
      <c r="J71" s="8">
        <v>0</v>
      </c>
      <c r="K71" s="2">
        <f>ROUND(F71+(F71*TabelaPrincipal[[#This Row],[PERCENTUAL MÍNIMO]]), 2)</f>
        <v>12.04</v>
      </c>
      <c r="L71" s="24">
        <v>11</v>
      </c>
      <c r="M71" s="25"/>
      <c r="N71" s="23">
        <f>TabelaPrincipal[[#This Row],[LANCE ATUAL]]*TabelaPrincipal[[#This Row],[QTD]]</f>
        <v>7920</v>
      </c>
      <c r="O71" s="41" t="str">
        <f>IF(TabelaPrincipal[[#This Row],[LANCE ATUAL]]&lt;=(VLOOKUP(TabelaPrincipal[[#This Row],[ITEM]],TabelaModelo,5,FALSE)*0.5),"Inexequível","")</f>
        <v/>
      </c>
    </row>
    <row r="72" spans="1:15" ht="15" customHeight="1" x14ac:dyDescent="0.25">
      <c r="A72" s="4">
        <v>99</v>
      </c>
      <c r="B72" s="3" t="str">
        <f>VLOOKUP(TabelaPrincipal[[#This Row],[ITEM]],TabelaModelo,2,FALSE)</f>
        <v>Avental hospitalar, tipo: capote cirúrgico,  material: sms, tamanho: único, gramatura: cerca de 40 g/cm2, cor: branco, componente: tiras para fixação, característica adicional: manga longa, punho malha.</v>
      </c>
      <c r="C72" s="1" t="str">
        <f>VLOOKUP(TabelaPrincipal[[#This Row],[ITEM]],TabelaModelo,3,FALSE)</f>
        <v>Unidade</v>
      </c>
      <c r="D72" s="1">
        <f>VLOOKUP(TabelaPrincipal[[#This Row],[ITEM]],TabelaModelo,4,FALSE)</f>
        <v>500</v>
      </c>
      <c r="E72" s="1" t="s">
        <v>838</v>
      </c>
      <c r="F72" s="23">
        <v>4.5</v>
      </c>
      <c r="G72" s="8">
        <f>IF(_xlfn.ISFORMULA(TabelaPrincipal[[#This Row],[CUSTO + PERCENTUAL DE ENTRADA]]),0.4,(TabelaPrincipal[[#This Row],[CUSTO + PERCENTUAL DE ENTRADA]]-TabelaPrincipal[[#This Row],[VALOR DE CUSTO]])/TabelaPrincipal[[#This Row],[VALOR DE CUSTO]])</f>
        <v>1.3244444444444445</v>
      </c>
      <c r="H72" s="2">
        <v>10.46</v>
      </c>
      <c r="I72" s="5">
        <f t="shared" si="1"/>
        <v>5230</v>
      </c>
      <c r="J72" s="8">
        <v>0</v>
      </c>
      <c r="K72" s="2">
        <f>ROUND(F72+(F72*TabelaPrincipal[[#This Row],[PERCENTUAL MÍNIMO]]), 2)</f>
        <v>4.5</v>
      </c>
      <c r="L72" s="24">
        <v>4.45</v>
      </c>
      <c r="M72" s="25"/>
      <c r="N72" s="23">
        <f>TabelaPrincipal[[#This Row],[LANCE ATUAL]]*TabelaPrincipal[[#This Row],[QTD]]</f>
        <v>2225</v>
      </c>
      <c r="O72" s="41" t="str">
        <f>IF(TabelaPrincipal[[#This Row],[LANCE ATUAL]]&lt;=(VLOOKUP(TabelaPrincipal[[#This Row],[ITEM]],TabelaModelo,5,FALSE)*0.5),"Inexequível","")</f>
        <v>Inexequível</v>
      </c>
    </row>
    <row r="73" spans="1:15" ht="15" customHeight="1" x14ac:dyDescent="0.25">
      <c r="A73" s="4">
        <v>100</v>
      </c>
      <c r="B73" s="3" t="str">
        <f>VLOOKUP(TabelaPrincipal[[#This Row],[ITEM]],TabelaModelo,2,FALSE)</f>
        <v>Luva para procedimento não cirúrgico, material: látex natural íntegro e uniforme, tamanho: PEQUENO, características adicionais: sem pó, tipo: ambidestra.</v>
      </c>
      <c r="C73" s="1" t="str">
        <f>VLOOKUP(TabelaPrincipal[[#This Row],[ITEM]],TabelaModelo,3,FALSE)</f>
        <v>Caixa com 100
unidades</v>
      </c>
      <c r="D73" s="1">
        <f>VLOOKUP(TabelaPrincipal[[#This Row],[ITEM]],TabelaModelo,4,FALSE)</f>
        <v>300</v>
      </c>
      <c r="E73" s="1" t="s">
        <v>839</v>
      </c>
      <c r="F73" s="23">
        <v>29</v>
      </c>
      <c r="G73" s="8">
        <f>IF(_xlfn.ISFORMULA(TabelaPrincipal[[#This Row],[CUSTO + PERCENTUAL DE ENTRADA]]),0.4,(TabelaPrincipal[[#This Row],[CUSTO + PERCENTUAL DE ENTRADA]]-TabelaPrincipal[[#This Row],[VALOR DE CUSTO]])/TabelaPrincipal[[#This Row],[VALOR DE CUSTO]])</f>
        <v>1.5320689655172417</v>
      </c>
      <c r="H73" s="2">
        <v>73.430000000000007</v>
      </c>
      <c r="I73" s="5">
        <f t="shared" si="1"/>
        <v>22029.000000000004</v>
      </c>
      <c r="J73" s="8">
        <v>0</v>
      </c>
      <c r="K73" s="2">
        <f>ROUND(F73+(F73*TabelaPrincipal[[#This Row],[PERCENTUAL MÍNIMO]]), 2)</f>
        <v>29</v>
      </c>
      <c r="L73" s="24">
        <v>29</v>
      </c>
      <c r="M73" s="25"/>
      <c r="N73" s="23">
        <f>TabelaPrincipal[[#This Row],[LANCE ATUAL]]*TabelaPrincipal[[#This Row],[QTD]]</f>
        <v>8700</v>
      </c>
      <c r="O73" s="41" t="str">
        <f>IF(TabelaPrincipal[[#This Row],[LANCE ATUAL]]&lt;=(VLOOKUP(TabelaPrincipal[[#This Row],[ITEM]],TabelaModelo,5,FALSE)*0.5),"Inexequível","")</f>
        <v>Inexequível</v>
      </c>
    </row>
    <row r="74" spans="1:15" ht="15" customHeight="1" x14ac:dyDescent="0.25">
      <c r="A74" s="4">
        <v>101</v>
      </c>
      <c r="B74" s="3" t="str">
        <f>VLOOKUP(TabelaPrincipal[[#This Row],[ITEM]],TabelaModelo,2,FALSE)</f>
        <v>Luva para procedimento não cirúrgico, material: látex natural íntegro e uniforme, tamanho: GRANDE, características adicionais: sem pó, tipo: ambidestra.</v>
      </c>
      <c r="C74" s="1" t="str">
        <f>VLOOKUP(TabelaPrincipal[[#This Row],[ITEM]],TabelaModelo,3,FALSE)</f>
        <v>Caixa com 100
unidades</v>
      </c>
      <c r="D74" s="1">
        <f>VLOOKUP(TabelaPrincipal[[#This Row],[ITEM]],TabelaModelo,4,FALSE)</f>
        <v>150</v>
      </c>
      <c r="E74" s="1" t="s">
        <v>840</v>
      </c>
      <c r="F74" s="23">
        <v>29</v>
      </c>
      <c r="G74" s="8">
        <f>IF(_xlfn.ISFORMULA(TabelaPrincipal[[#This Row],[CUSTO + PERCENTUAL DE ENTRADA]]),0.4,(TabelaPrincipal[[#This Row],[CUSTO + PERCENTUAL DE ENTRADA]]-TabelaPrincipal[[#This Row],[VALOR DE CUSTO]])/TabelaPrincipal[[#This Row],[VALOR DE CUSTO]])</f>
        <v>1.6475862068965517</v>
      </c>
      <c r="H74" s="2">
        <v>76.78</v>
      </c>
      <c r="I74" s="5">
        <f t="shared" si="1"/>
        <v>11517</v>
      </c>
      <c r="J74" s="8">
        <v>0</v>
      </c>
      <c r="K74" s="2">
        <f>ROUND(F74+(F74*TabelaPrincipal[[#This Row],[PERCENTUAL MÍNIMO]]), 2)</f>
        <v>29</v>
      </c>
      <c r="L74" s="24">
        <v>29</v>
      </c>
      <c r="M74" s="25"/>
      <c r="N74" s="23">
        <f>TabelaPrincipal[[#This Row],[LANCE ATUAL]]*TabelaPrincipal[[#This Row],[QTD]]</f>
        <v>4350</v>
      </c>
      <c r="O74" s="41" t="str">
        <f>IF(TabelaPrincipal[[#This Row],[LANCE ATUAL]]&lt;=(VLOOKUP(TabelaPrincipal[[#This Row],[ITEM]],TabelaModelo,5,FALSE)*0.5),"Inexequível","")</f>
        <v>Inexequível</v>
      </c>
    </row>
    <row r="75" spans="1:15" ht="15" customHeight="1" x14ac:dyDescent="0.25">
      <c r="A75" s="4">
        <v>102</v>
      </c>
      <c r="B75" s="3" t="str">
        <f>VLOOKUP(TabelaPrincipal[[#This Row],[ITEM]],TabelaModelo,2,FALSE)</f>
        <v>Luva para procedimento não cirúrgico, material: látex natural íntegro e uniforme, tamanho: EXTRAPEQUENO, características adicionais: sem pó, antiderrapante, tipo: ambidestra.</v>
      </c>
      <c r="C75" s="1" t="str">
        <f>VLOOKUP(TabelaPrincipal[[#This Row],[ITEM]],TabelaModelo,3,FALSE)</f>
        <v>Caixa com 100
unidades</v>
      </c>
      <c r="D75" s="1">
        <f>VLOOKUP(TabelaPrincipal[[#This Row],[ITEM]],TabelaModelo,4,FALSE)</f>
        <v>150</v>
      </c>
      <c r="E75" s="1" t="s">
        <v>841</v>
      </c>
      <c r="F75" s="23">
        <v>29</v>
      </c>
      <c r="G75" s="8">
        <f>IF(_xlfn.ISFORMULA(TabelaPrincipal[[#This Row],[CUSTO + PERCENTUAL DE ENTRADA]]),0.4,(TabelaPrincipal[[#This Row],[CUSTO + PERCENTUAL DE ENTRADA]]-TabelaPrincipal[[#This Row],[VALOR DE CUSTO]])/TabelaPrincipal[[#This Row],[VALOR DE CUSTO]])</f>
        <v>1.1041379310344828</v>
      </c>
      <c r="H75" s="2">
        <v>61.02</v>
      </c>
      <c r="I75" s="5">
        <f t="shared" si="1"/>
        <v>9153</v>
      </c>
      <c r="J75" s="8">
        <v>0</v>
      </c>
      <c r="K75" s="2">
        <f>ROUND(F75+(F75*TabelaPrincipal[[#This Row],[PERCENTUAL MÍNIMO]]), 2)</f>
        <v>29</v>
      </c>
      <c r="L75" s="24">
        <v>29</v>
      </c>
      <c r="M75" s="25"/>
      <c r="N75" s="23">
        <f>TabelaPrincipal[[#This Row],[LANCE ATUAL]]*TabelaPrincipal[[#This Row],[QTD]]</f>
        <v>4350</v>
      </c>
      <c r="O75" s="41" t="str">
        <f>IF(TabelaPrincipal[[#This Row],[LANCE ATUAL]]&lt;=(VLOOKUP(TabelaPrincipal[[#This Row],[ITEM]],TabelaModelo,5,FALSE)*0.5),"Inexequível","")</f>
        <v>Inexequível</v>
      </c>
    </row>
    <row r="76" spans="1:15" ht="15" customHeight="1" x14ac:dyDescent="0.25">
      <c r="A76" s="4">
        <v>103</v>
      </c>
      <c r="B76" s="3" t="str">
        <f>VLOOKUP(TabelaPrincipal[[#This Row],[ITEM]],TabelaModelo,2,FALSE)</f>
        <v>Luva para procedimento não cirúrgico, material: látex natural, tamanho: MÉDIO, características adicionais: sem pó, esterilidade: não esterilizada, cor: branca, aplicação: proteção para as mãos, tipo: ambidestra, modelo: hipoalérgica.</v>
      </c>
      <c r="C76" s="1" t="str">
        <f>VLOOKUP(TabelaPrincipal[[#This Row],[ITEM]],TabelaModelo,3,FALSE)</f>
        <v>Caixa com 100
unidades</v>
      </c>
      <c r="D76" s="1">
        <f>VLOOKUP(TabelaPrincipal[[#This Row],[ITEM]],TabelaModelo,4,FALSE)</f>
        <v>300</v>
      </c>
      <c r="E76" s="1" t="s">
        <v>839</v>
      </c>
      <c r="F76" s="23">
        <v>29</v>
      </c>
      <c r="G76" s="8">
        <f>IF(_xlfn.ISFORMULA(TabelaPrincipal[[#This Row],[CUSTO + PERCENTUAL DE ENTRADA]]),0.4,(TabelaPrincipal[[#This Row],[CUSTO + PERCENTUAL DE ENTRADA]]-TabelaPrincipal[[#This Row],[VALOR DE CUSTO]])/TabelaPrincipal[[#This Row],[VALOR DE CUSTO]])</f>
        <v>1.423448275862069</v>
      </c>
      <c r="H76" s="2">
        <v>70.28</v>
      </c>
      <c r="I76" s="5">
        <f t="shared" si="1"/>
        <v>21084</v>
      </c>
      <c r="J76" s="8">
        <v>0</v>
      </c>
      <c r="K76" s="2">
        <f>ROUND(F76+(F76*TabelaPrincipal[[#This Row],[PERCENTUAL MÍNIMO]]), 2)</f>
        <v>29</v>
      </c>
      <c r="L76" s="24">
        <v>29</v>
      </c>
      <c r="M76" s="25"/>
      <c r="N76" s="23">
        <f>TabelaPrincipal[[#This Row],[LANCE ATUAL]]*TabelaPrincipal[[#This Row],[QTD]]</f>
        <v>8700</v>
      </c>
      <c r="O76" s="41" t="str">
        <f>IF(TabelaPrincipal[[#This Row],[LANCE ATUAL]]&lt;=(VLOOKUP(TabelaPrincipal[[#This Row],[ITEM]],TabelaModelo,5,FALSE)*0.5),"Inexequível","")</f>
        <v>Inexequível</v>
      </c>
    </row>
    <row r="77" spans="1:15" ht="15" customHeight="1" x14ac:dyDescent="0.25">
      <c r="A77" s="4">
        <v>104</v>
      </c>
      <c r="B77" s="3" t="str">
        <f>VLOOKUP(TabelaPrincipal[[#This Row],[ITEM]],TabelaModelo,2,FALSE)</f>
        <v>Avental Procedimento - Paramentação. Esterilidade: Não Estéril, Descartável. Material: Não Tecido 100% Polipropileno - Tipo SMS. Tipo De Barreira: C/ Barreira Bacteriana. Propriedade: Hidrorepelente. Gramatura: Cerca De 30 G/M2.
Modelo Manga: Longa C/ Punho Em Malha
Tamanho: Médio (M). Cor: C/ Cor. Tipo Fechamento: Posterior P/ Pescoço e Cintura</v>
      </c>
      <c r="C77" s="1" t="str">
        <f>VLOOKUP(TabelaPrincipal[[#This Row],[ITEM]],TabelaModelo,3,FALSE)</f>
        <v>Unidade</v>
      </c>
      <c r="D77" s="1">
        <f>VLOOKUP(TabelaPrincipal[[#This Row],[ITEM]],TabelaModelo,4,FALSE)</f>
        <v>500</v>
      </c>
      <c r="E77" s="1" t="s">
        <v>842</v>
      </c>
      <c r="F77" s="23">
        <v>14</v>
      </c>
      <c r="G77" s="8">
        <f>IF(_xlfn.ISFORMULA(TabelaPrincipal[[#This Row],[CUSTO + PERCENTUAL DE ENTRADA]]),0.4,(TabelaPrincipal[[#This Row],[CUSTO + PERCENTUAL DE ENTRADA]]-TabelaPrincipal[[#This Row],[VALOR DE CUSTO]])/TabelaPrincipal[[#This Row],[VALOR DE CUSTO]])</f>
        <v>2.1964285714285716</v>
      </c>
      <c r="H77" s="2">
        <v>44.75</v>
      </c>
      <c r="I77" s="5">
        <f t="shared" si="1"/>
        <v>22375</v>
      </c>
      <c r="J77" s="8">
        <v>0</v>
      </c>
      <c r="K77" s="2">
        <f>ROUND(F77+(F77*TabelaPrincipal[[#This Row],[PERCENTUAL MÍNIMO]]), 2)</f>
        <v>14</v>
      </c>
      <c r="L77" s="24">
        <v>14</v>
      </c>
      <c r="M77" s="25"/>
      <c r="N77" s="23">
        <f>TabelaPrincipal[[#This Row],[LANCE ATUAL]]*TabelaPrincipal[[#This Row],[QTD]]</f>
        <v>7000</v>
      </c>
      <c r="O77" s="41" t="str">
        <f>IF(TabelaPrincipal[[#This Row],[LANCE ATUAL]]&lt;=(VLOOKUP(TabelaPrincipal[[#This Row],[ITEM]],TabelaModelo,5,FALSE)*0.5),"Inexequível","")</f>
        <v>Inexequível</v>
      </c>
    </row>
    <row r="78" spans="1:15" ht="15" customHeight="1" x14ac:dyDescent="0.25">
      <c r="A78" s="4">
        <v>110</v>
      </c>
      <c r="B78" s="3" t="str">
        <f>VLOOKUP(TabelaPrincipal[[#This Row],[ITEM]],TabelaModelo,2,FALSE)</f>
        <v>Butilbrometo de escopolamina + dipirona solução injetável 4 mg/mL + 500 mg/mL</v>
      </c>
      <c r="C78" s="1" t="str">
        <f>VLOOKUP(TabelaPrincipal[[#This Row],[ITEM]],TabelaModelo,3,FALSE)</f>
        <v>Ampola</v>
      </c>
      <c r="D78" s="1">
        <f>VLOOKUP(TabelaPrincipal[[#This Row],[ITEM]],TabelaModelo,4,FALSE)</f>
        <v>500</v>
      </c>
      <c r="E78" s="1" t="s">
        <v>807</v>
      </c>
      <c r="F78" s="23">
        <v>1.9</v>
      </c>
      <c r="G78" s="8">
        <f>IF(_xlfn.ISFORMULA(TabelaPrincipal[[#This Row],[CUSTO + PERCENTUAL DE ENTRADA]]),0.4,(TabelaPrincipal[[#This Row],[CUSTO + PERCENTUAL DE ENTRADA]]-TabelaPrincipal[[#This Row],[VALOR DE CUSTO]])/TabelaPrincipal[[#This Row],[VALOR DE CUSTO]])</f>
        <v>1.0157894736842106</v>
      </c>
      <c r="H78" s="2">
        <v>3.83</v>
      </c>
      <c r="I78" s="5">
        <f t="shared" si="1"/>
        <v>1915</v>
      </c>
      <c r="J78" s="8">
        <v>0</v>
      </c>
      <c r="K78" s="2">
        <f>ROUND(F78+(F78*TabelaPrincipal[[#This Row],[PERCENTUAL MÍNIMO]]), 2)</f>
        <v>1.9</v>
      </c>
      <c r="L78" s="24">
        <v>1.9</v>
      </c>
      <c r="M78" s="25">
        <v>1</v>
      </c>
      <c r="N78" s="23">
        <f>TabelaPrincipal[[#This Row],[LANCE ATUAL]]*TabelaPrincipal[[#This Row],[QTD]]</f>
        <v>950</v>
      </c>
      <c r="O78" s="41" t="str">
        <f>IF(TabelaPrincipal[[#This Row],[LANCE ATUAL]]&lt;=(VLOOKUP(TabelaPrincipal[[#This Row],[ITEM]],TabelaModelo,5,FALSE)*0.5),"Inexequível","")</f>
        <v>Inexequível</v>
      </c>
    </row>
    <row r="79" spans="1:15" ht="15" customHeight="1" x14ac:dyDescent="0.25">
      <c r="A79" s="4">
        <v>111</v>
      </c>
      <c r="B79" s="3" t="str">
        <f>VLOOKUP(TabelaPrincipal[[#This Row],[ITEM]],TabelaModelo,2,FALSE)</f>
        <v>Valerato de betametasona 1 mg/g creme dermatológico</v>
      </c>
      <c r="C79" s="1" t="str">
        <f>VLOOKUP(TabelaPrincipal[[#This Row],[ITEM]],TabelaModelo,3,FALSE)</f>
        <v>Tubo</v>
      </c>
      <c r="D79" s="1">
        <f>VLOOKUP(TabelaPrincipal[[#This Row],[ITEM]],TabelaModelo,4,FALSE)</f>
        <v>300</v>
      </c>
      <c r="E79" s="1" t="s">
        <v>812</v>
      </c>
      <c r="F79" s="23">
        <v>7.85</v>
      </c>
      <c r="G79" s="8">
        <f>IF(_xlfn.ISFORMULA(TabelaPrincipal[[#This Row],[CUSTO + PERCENTUAL DE ENTRADA]]),0.4,(TabelaPrincipal[[#This Row],[CUSTO + PERCENTUAL DE ENTRADA]]-TabelaPrincipal[[#This Row],[VALOR DE CUSTO]])/TabelaPrincipal[[#This Row],[VALOR DE CUSTO]])</f>
        <v>0.4</v>
      </c>
      <c r="H79" s="2">
        <f>ROUND(F79+(F79*TabelaPrincipal[[#This Row],[PERCENTUAL DE ENTRADA]]), 2)</f>
        <v>10.99</v>
      </c>
      <c r="I79" s="5">
        <f t="shared" si="1"/>
        <v>3297</v>
      </c>
      <c r="J79" s="8">
        <v>0</v>
      </c>
      <c r="K79" s="2">
        <f>ROUND(F79+(F79*TabelaPrincipal[[#This Row],[PERCENTUAL MÍNIMO]]), 2)</f>
        <v>7.85</v>
      </c>
      <c r="L79" s="24">
        <v>7.98</v>
      </c>
      <c r="M79" s="25">
        <v>1</v>
      </c>
      <c r="N79" s="23">
        <f>TabelaPrincipal[[#This Row],[LANCE ATUAL]]*TabelaPrincipal[[#This Row],[QTD]]</f>
        <v>2394</v>
      </c>
      <c r="O79" s="41" t="str">
        <f>IF(TabelaPrincipal[[#This Row],[LANCE ATUAL]]&lt;=(VLOOKUP(TabelaPrincipal[[#This Row],[ITEM]],TabelaModelo,5,FALSE)*0.5),"Inexequível","")</f>
        <v/>
      </c>
    </row>
    <row r="80" spans="1:15" ht="15" customHeight="1" x14ac:dyDescent="0.25">
      <c r="A80" s="4">
        <v>112</v>
      </c>
      <c r="B80" s="3" t="str">
        <f>VLOOKUP(TabelaPrincipal[[#This Row],[ITEM]],TabelaModelo,2,FALSE)</f>
        <v>Olmesartana medoxomila, concentração 40 mg</v>
      </c>
      <c r="C80" s="1" t="str">
        <f>VLOOKUP(TabelaPrincipal[[#This Row],[ITEM]],TabelaModelo,3,FALSE)</f>
        <v>Comprimido</v>
      </c>
      <c r="D80" s="1">
        <f>VLOOKUP(TabelaPrincipal[[#This Row],[ITEM]],TabelaModelo,4,FALSE)</f>
        <v>1440</v>
      </c>
      <c r="E80" s="1" t="s">
        <v>801</v>
      </c>
      <c r="F80" s="23">
        <v>0.83</v>
      </c>
      <c r="G80" s="8">
        <f>IF(_xlfn.ISFORMULA(TabelaPrincipal[[#This Row],[CUSTO + PERCENTUAL DE ENTRADA]]),0.4,(TabelaPrincipal[[#This Row],[CUSTO + PERCENTUAL DE ENTRADA]]-TabelaPrincipal[[#This Row],[VALOR DE CUSTO]])/TabelaPrincipal[[#This Row],[VALOR DE CUSTO]])</f>
        <v>0.65060240963855442</v>
      </c>
      <c r="H80" s="2">
        <v>1.37</v>
      </c>
      <c r="I80" s="5">
        <f t="shared" si="1"/>
        <v>1972.8000000000002</v>
      </c>
      <c r="J80" s="8">
        <v>0</v>
      </c>
      <c r="K80" s="2">
        <f>ROUND(F80+(F80*TabelaPrincipal[[#This Row],[PERCENTUAL MÍNIMO]]), 2)</f>
        <v>0.83</v>
      </c>
      <c r="L80" s="24">
        <v>0.83</v>
      </c>
      <c r="M80" s="25"/>
      <c r="N80" s="23">
        <f>TabelaPrincipal[[#This Row],[LANCE ATUAL]]*TabelaPrincipal[[#This Row],[QTD]]</f>
        <v>1195.2</v>
      </c>
      <c r="O80" s="41" t="str">
        <f>IF(TabelaPrincipal[[#This Row],[LANCE ATUAL]]&lt;=(VLOOKUP(TabelaPrincipal[[#This Row],[ITEM]],TabelaModelo,5,FALSE)*0.5),"Inexequível","")</f>
        <v/>
      </c>
    </row>
    <row r="81" spans="1:15" ht="15" customHeight="1" x14ac:dyDescent="0.25">
      <c r="A81" s="4">
        <v>113</v>
      </c>
      <c r="B81" s="3" t="str">
        <f>VLOOKUP(TabelaPrincipal[[#This Row],[ITEM]],TabelaModelo,2,FALSE)</f>
        <v>Levanlodipino besilato, concentração 2,5 mg</v>
      </c>
      <c r="C81" s="1" t="str">
        <f>VLOOKUP(TabelaPrincipal[[#This Row],[ITEM]],TabelaModelo,3,FALSE)</f>
        <v>Comprimido</v>
      </c>
      <c r="D81" s="1">
        <f>VLOOKUP(TabelaPrincipal[[#This Row],[ITEM]],TabelaModelo,4,FALSE)</f>
        <v>1440</v>
      </c>
      <c r="E81" s="1" t="s">
        <v>843</v>
      </c>
      <c r="F81" s="23">
        <v>1.5</v>
      </c>
      <c r="G81" s="8">
        <f>IF(_xlfn.ISFORMULA(TabelaPrincipal[[#This Row],[CUSTO + PERCENTUAL DE ENTRADA]]),0.4,(TabelaPrincipal[[#This Row],[CUSTO + PERCENTUAL DE ENTRADA]]-TabelaPrincipal[[#This Row],[VALOR DE CUSTO]])/TabelaPrincipal[[#This Row],[VALOR DE CUSTO]])</f>
        <v>1.58</v>
      </c>
      <c r="H81" s="2">
        <v>3.87</v>
      </c>
      <c r="I81" s="5">
        <f t="shared" si="1"/>
        <v>5572.8</v>
      </c>
      <c r="J81" s="8">
        <v>0</v>
      </c>
      <c r="K81" s="2">
        <f>ROUND(F81+(F81*TabelaPrincipal[[#This Row],[PERCENTUAL MÍNIMO]]), 2)</f>
        <v>1.5</v>
      </c>
      <c r="L81" s="24">
        <v>1.5</v>
      </c>
      <c r="M81" s="25"/>
      <c r="N81" s="23">
        <f>TabelaPrincipal[[#This Row],[LANCE ATUAL]]*TabelaPrincipal[[#This Row],[QTD]]</f>
        <v>2160</v>
      </c>
      <c r="O81" s="41" t="str">
        <f>IF(TabelaPrincipal[[#This Row],[LANCE ATUAL]]&lt;=(VLOOKUP(TabelaPrincipal[[#This Row],[ITEM]],TabelaModelo,5,FALSE)*0.5),"Inexequível","")</f>
        <v>Inexequível</v>
      </c>
    </row>
    <row r="82" spans="1:15" ht="15" customHeight="1" x14ac:dyDescent="0.25">
      <c r="A82" s="4">
        <v>114</v>
      </c>
      <c r="B82" s="3" t="str">
        <f>VLOOKUP(TabelaPrincipal[[#This Row],[ITEM]],TabelaModelo,2,FALSE)</f>
        <v>Rosuvastatina cálcica, concentração 20 mg</v>
      </c>
      <c r="C82" s="1" t="str">
        <f>VLOOKUP(TabelaPrincipal[[#This Row],[ITEM]],TabelaModelo,3,FALSE)</f>
        <v>Comprimido</v>
      </c>
      <c r="D82" s="1">
        <f>VLOOKUP(TabelaPrincipal[[#This Row],[ITEM]],TabelaModelo,4,FALSE)</f>
        <v>1440</v>
      </c>
      <c r="E82" s="1" t="s">
        <v>803</v>
      </c>
      <c r="F82" s="23">
        <v>0.37</v>
      </c>
      <c r="G82" s="8">
        <f>IF(_xlfn.ISFORMULA(TabelaPrincipal[[#This Row],[CUSTO + PERCENTUAL DE ENTRADA]]),0.4,(TabelaPrincipal[[#This Row],[CUSTO + PERCENTUAL DE ENTRADA]]-TabelaPrincipal[[#This Row],[VALOR DE CUSTO]])/TabelaPrincipal[[#This Row],[VALOR DE CUSTO]])</f>
        <v>5.9459459459459456</v>
      </c>
      <c r="H82" s="2">
        <v>2.57</v>
      </c>
      <c r="I82" s="5">
        <f t="shared" si="1"/>
        <v>3700.7999999999997</v>
      </c>
      <c r="J82" s="8">
        <v>0</v>
      </c>
      <c r="K82" s="2">
        <f>ROUND(F82+(F82*TabelaPrincipal[[#This Row],[PERCENTUAL MÍNIMO]]), 2)</f>
        <v>0.37</v>
      </c>
      <c r="L82" s="24">
        <v>0.4</v>
      </c>
      <c r="M82" s="25"/>
      <c r="N82" s="23">
        <f>TabelaPrincipal[[#This Row],[LANCE ATUAL]]*TabelaPrincipal[[#This Row],[QTD]]</f>
        <v>576</v>
      </c>
      <c r="O82" s="41" t="str">
        <f>IF(TabelaPrincipal[[#This Row],[LANCE ATUAL]]&lt;=(VLOOKUP(TabelaPrincipal[[#This Row],[ITEM]],TabelaModelo,5,FALSE)*0.5),"Inexequível","")</f>
        <v>Inexequível</v>
      </c>
    </row>
    <row r="83" spans="1:15" ht="15" customHeight="1" x14ac:dyDescent="0.25">
      <c r="A83" s="4">
        <v>126</v>
      </c>
      <c r="B83" s="3" t="str">
        <f>VLOOKUP(TabelaPrincipal[[#This Row],[ITEM]],TabelaModelo,2,FALSE)</f>
        <v>Lençol Descartável Uso Hospitalar. Matéria Prima: 100% Polipropileno, Não Tecido TNT. Gramatura 1: Cerca De 30 G/M2. Dimensões: Cerca De 100 X 200 cm. Apresentação 1: C/ Elástico.</v>
      </c>
      <c r="C83" s="1" t="str">
        <f>VLOOKUP(TabelaPrincipal[[#This Row],[ITEM]],TabelaModelo,3,FALSE)</f>
        <v>Unidade</v>
      </c>
      <c r="D83" s="1">
        <f>VLOOKUP(TabelaPrincipal[[#This Row],[ITEM]],TabelaModelo,4,FALSE)</f>
        <v>300</v>
      </c>
      <c r="E83" s="1" t="s">
        <v>844</v>
      </c>
      <c r="F83" s="23">
        <v>2.9</v>
      </c>
      <c r="G83" s="8">
        <f>IF(_xlfn.ISFORMULA(TabelaPrincipal[[#This Row],[CUSTO + PERCENTUAL DE ENTRADA]]),0.4,(TabelaPrincipal[[#This Row],[CUSTO + PERCENTUAL DE ENTRADA]]-TabelaPrincipal[[#This Row],[VALOR DE CUSTO]])/TabelaPrincipal[[#This Row],[VALOR DE CUSTO]])</f>
        <v>1.9103448275862067</v>
      </c>
      <c r="H83" s="2">
        <v>8.44</v>
      </c>
      <c r="I83" s="5">
        <f t="shared" si="1"/>
        <v>2532</v>
      </c>
      <c r="J83" s="8">
        <v>0</v>
      </c>
      <c r="K83" s="2">
        <f>ROUND(F83+(F83*TabelaPrincipal[[#This Row],[PERCENTUAL MÍNIMO]]), 2)</f>
        <v>2.9</v>
      </c>
      <c r="L83" s="24">
        <v>2.9</v>
      </c>
      <c r="M83" s="25"/>
      <c r="N83" s="23">
        <f>TabelaPrincipal[[#This Row],[LANCE ATUAL]]*TabelaPrincipal[[#This Row],[QTD]]</f>
        <v>870</v>
      </c>
      <c r="O83" s="41" t="str">
        <f>IF(TabelaPrincipal[[#This Row],[LANCE ATUAL]]&lt;=(VLOOKUP(TabelaPrincipal[[#This Row],[ITEM]],TabelaModelo,5,FALSE)*0.5),"Inexequível","")</f>
        <v>Inexequível</v>
      </c>
    </row>
    <row r="84" spans="1:15" ht="15" customHeight="1" x14ac:dyDescent="0.25">
      <c r="A84" s="4">
        <v>127</v>
      </c>
      <c r="B84" s="3" t="str">
        <f>VLOOKUP(TabelaPrincipal[[#This Row],[ITEM]],TabelaModelo,2,FALSE)</f>
        <v>Reanimador adulto / Ambu. Reanimador manual, material balão: silicone, capacidade balão: cerca 1,5 L, componente 1: máscara plástico rígido com coxim silicone, tipo válvula: válvula unidirecional pop off cerca 60 CMH2, componente 2: reservatório de oxigênio em plástico c, válvula, componentes 3: entrada de oxigênio e extensor pvc, tamanhos: adulto. Descrição Complementar: Confeccionado em silicone transparente, de alta qualidade. Autolavável. Bolsa reservatório de oxigênio com capacidade mínima de 2,5 litros.
Tubo extensor de oxigênio de no mínimo 150 cm. Todo o conjunto deve ser desmontável, os diafragmas, válvulas e demais peças que compõem o reanimador ofertado devem ser vendidas no mercado de forma avulsa. Possuir registro no Ministério da Saúde / ANVISA.</v>
      </c>
      <c r="C84" s="1" t="str">
        <f>VLOOKUP(TabelaPrincipal[[#This Row],[ITEM]],TabelaModelo,3,FALSE)</f>
        <v>Unidade</v>
      </c>
      <c r="D84" s="1">
        <f>VLOOKUP(TabelaPrincipal[[#This Row],[ITEM]],TabelaModelo,4,FALSE)</f>
        <v>10</v>
      </c>
      <c r="E84" s="1" t="s">
        <v>845</v>
      </c>
      <c r="F84" s="23">
        <v>200</v>
      </c>
      <c r="G84" s="8">
        <f>IF(_xlfn.ISFORMULA(TabelaPrincipal[[#This Row],[CUSTO + PERCENTUAL DE ENTRADA]]),0.4,(TabelaPrincipal[[#This Row],[CUSTO + PERCENTUAL DE ENTRADA]]-TabelaPrincipal[[#This Row],[VALOR DE CUSTO]])/TabelaPrincipal[[#This Row],[VALOR DE CUSTO]])</f>
        <v>0.4</v>
      </c>
      <c r="H84" s="2">
        <f>ROUND(F84+(F84*TabelaPrincipal[[#This Row],[PERCENTUAL DE ENTRADA]]), 2)</f>
        <v>280</v>
      </c>
      <c r="I84" s="5">
        <f t="shared" si="1"/>
        <v>2800</v>
      </c>
      <c r="J84" s="8">
        <v>0</v>
      </c>
      <c r="K84" s="2">
        <f>ROUND(F84+(F84*TabelaPrincipal[[#This Row],[PERCENTUAL MÍNIMO]]), 2)</f>
        <v>200</v>
      </c>
      <c r="L84" s="24">
        <v>200</v>
      </c>
      <c r="M84" s="25"/>
      <c r="N84" s="23">
        <f>TabelaPrincipal[[#This Row],[LANCE ATUAL]]*TabelaPrincipal[[#This Row],[QTD]]</f>
        <v>2000</v>
      </c>
      <c r="O84" s="41" t="str">
        <f>IF(TabelaPrincipal[[#This Row],[LANCE ATUAL]]&lt;=(VLOOKUP(TabelaPrincipal[[#This Row],[ITEM]],TabelaModelo,5,FALSE)*0.5),"Inexequível","")</f>
        <v/>
      </c>
    </row>
    <row r="85" spans="1:15" ht="15" customHeight="1" x14ac:dyDescent="0.25">
      <c r="A85" s="4">
        <v>129</v>
      </c>
      <c r="B85" s="3" t="str">
        <f>VLOOKUP(TabelaPrincipal[[#This Row],[ITEM]],TabelaModelo,2,FALSE)</f>
        <v>Saco plástico lixo, capacidade: 50 litros, cor: branco leitoso, largura: 63 cm, altura: 80 cm, características adicionais: com simbologia de substância infectante, normas técnicas: classe II - NBR 9191, material: resina termoplástica</v>
      </c>
      <c r="C85" s="1" t="str">
        <f>VLOOKUP(TabelaPrincipal[[#This Row],[ITEM]],TabelaModelo,3,FALSE)</f>
        <v>Pacote 100 unidades</v>
      </c>
      <c r="D85" s="1">
        <f>VLOOKUP(TabelaPrincipal[[#This Row],[ITEM]],TabelaModelo,4,FALSE)</f>
        <v>400</v>
      </c>
      <c r="E85" s="1" t="s">
        <v>846</v>
      </c>
      <c r="F85" s="23">
        <v>44.78</v>
      </c>
      <c r="G85" s="8">
        <v>0</v>
      </c>
      <c r="H85" s="2">
        <f>ROUND(F85+(F85*TabelaPrincipal[[#This Row],[PERCENTUAL DE ENTRADA]]), 2)</f>
        <v>44.78</v>
      </c>
      <c r="I85" s="5">
        <f t="shared" si="1"/>
        <v>17912</v>
      </c>
      <c r="J85" s="8">
        <f>IF(TabelaPrincipal[[#This Row],[PERCENTUAL DE ENTRADA]]&gt;0,0.15,0)</f>
        <v>0</v>
      </c>
      <c r="K85" s="2">
        <f>ROUND(F85+(F85*TabelaPrincipal[[#This Row],[PERCENTUAL MÍNIMO]]), 2)</f>
        <v>44.78</v>
      </c>
      <c r="L85" s="24">
        <f>IF(TabelaPrincipal[[#This Row],[PERCENTUAL DE ENTRADA]]=0,TabelaPrincipal[[#This Row],[VALOR MÍNIMO]],0)</f>
        <v>44.78</v>
      </c>
      <c r="M85" s="25"/>
      <c r="N85" s="23">
        <f>TabelaPrincipal[[#This Row],[LANCE ATUAL]]*TabelaPrincipal[[#This Row],[QTD]]</f>
        <v>17912</v>
      </c>
      <c r="O85" s="41" t="str">
        <f>IF(TabelaPrincipal[[#This Row],[LANCE ATUAL]]&lt;=(VLOOKUP(TabelaPrincipal[[#This Row],[ITEM]],TabelaModelo,5,FALSE)*0.5),"Inexequível","")</f>
        <v/>
      </c>
    </row>
    <row r="86" spans="1:15" ht="15" customHeight="1" x14ac:dyDescent="0.25">
      <c r="A86" s="4">
        <v>138</v>
      </c>
      <c r="B86" s="3" t="str">
        <f>VLOOKUP(TabelaPrincipal[[#This Row],[ITEM]],TabelaModelo,2,FALSE)</f>
        <v>Compressa gaze, material: tecido 100% algodão, modelo: cor branca, isenta de impurezas, camadas: 8 camadas, quantidade fios: 13 fios/cm2, largura: 7,50 cm, comprimento: 7,50 cm, dobras: 5 dobras, características adicionais: com fio radiopaco, descartável. Descrição Complementar: não estéril, isenta de resíduo e impurezas e produtos tóxicos, deve promover absorção segura, trama regular e sem desprendimento de fios. Embalagem resistente, segura, de fácil abertura, contendo identificação do produto, validade e lote fácil visualização. Registro no Ministério da Saúde
/ANVISA. (Modelo: CREMER 3M QUALIDADE SIMILAR OU SUPERIOR)</v>
      </c>
      <c r="C86" s="1" t="str">
        <f>VLOOKUP(TabelaPrincipal[[#This Row],[ITEM]],TabelaModelo,3,FALSE)</f>
        <v>Pacote com 500
unidades</v>
      </c>
      <c r="D86" s="1">
        <f>VLOOKUP(TabelaPrincipal[[#This Row],[ITEM]],TabelaModelo,4,FALSE)</f>
        <v>30</v>
      </c>
      <c r="E86" s="1" t="s">
        <v>847</v>
      </c>
      <c r="F86" s="23">
        <v>24</v>
      </c>
      <c r="G86" s="8">
        <f>IF(_xlfn.ISFORMULA(TabelaPrincipal[[#This Row],[CUSTO + PERCENTUAL DE ENTRADA]]),0.4,(TabelaPrincipal[[#This Row],[CUSTO + PERCENTUAL DE ENTRADA]]-TabelaPrincipal[[#This Row],[VALOR DE CUSTO]])/TabelaPrincipal[[#This Row],[VALOR DE CUSTO]])</f>
        <v>0.4</v>
      </c>
      <c r="H86" s="2">
        <f>ROUND(F86+(F86*TabelaPrincipal[[#This Row],[PERCENTUAL DE ENTRADA]]), 2)</f>
        <v>33.6</v>
      </c>
      <c r="I86" s="5">
        <f t="shared" si="1"/>
        <v>1008</v>
      </c>
      <c r="J86" s="8">
        <v>0</v>
      </c>
      <c r="K86" s="2">
        <f>ROUND(F86+(F86*TabelaPrincipal[[#This Row],[PERCENTUAL MÍNIMO]]), 2)</f>
        <v>24</v>
      </c>
      <c r="L86" s="24">
        <v>24</v>
      </c>
      <c r="M86" s="25"/>
      <c r="N86" s="23">
        <f>TabelaPrincipal[[#This Row],[LANCE ATUAL]]*TabelaPrincipal[[#This Row],[QTD]]</f>
        <v>720</v>
      </c>
      <c r="O86" s="41" t="str">
        <f>IF(TabelaPrincipal[[#This Row],[LANCE ATUAL]]&lt;=(VLOOKUP(TabelaPrincipal[[#This Row],[ITEM]],TabelaModelo,5,FALSE)*0.5),"Inexequível","")</f>
        <v/>
      </c>
    </row>
    <row r="87" spans="1:15" ht="15" customHeight="1" x14ac:dyDescent="0.25">
      <c r="A87" s="4">
        <v>139</v>
      </c>
      <c r="B87" s="3" t="str">
        <f>VLOOKUP(TabelaPrincipal[[#This Row],[ITEM]],TabelaModelo,2,FALSE)</f>
        <v>Compressa gaze, material: tecido 100% algodão, tipo: 13 fios,cm2, modelo: cor branca, isenta de impurezas, camadas: 8 camadas, largura: 7,50 cm, comprimento: 7,50 cm, dobras: 5 dobras, características adicionais: estéril, descartável.
Descrição Complementar: 7,50 x 7,50cm quando fechadas e 15 x 30cm quando abertas. Estéril.
Embalagem resistente, segura, de fácil abertura, contendo identificação do produto, validade e lote fácil visualização. Registro no Ministério da Saúde
/ANVISA. (Modelo: CREMER 3M QUALIDADE SIMILAR OU SUPERIOR)</v>
      </c>
      <c r="C87" s="1" t="str">
        <f>VLOOKUP(TabelaPrincipal[[#This Row],[ITEM]],TabelaModelo,3,FALSE)</f>
        <v>Pacote com 5 unidades</v>
      </c>
      <c r="D87" s="1">
        <f>VLOOKUP(TabelaPrincipal[[#This Row],[ITEM]],TabelaModelo,4,FALSE)</f>
        <v>1000</v>
      </c>
      <c r="E87" s="1" t="s">
        <v>848</v>
      </c>
      <c r="F87" s="23">
        <v>1.54</v>
      </c>
      <c r="G87" s="8">
        <v>0</v>
      </c>
      <c r="H87" s="2">
        <f>ROUND(F87+(F87*TabelaPrincipal[[#This Row],[PERCENTUAL DE ENTRADA]]), 2)</f>
        <v>1.54</v>
      </c>
      <c r="I87" s="5">
        <f t="shared" si="1"/>
        <v>1540</v>
      </c>
      <c r="J87" s="8">
        <f>IF(TabelaPrincipal[[#This Row],[PERCENTUAL DE ENTRADA]]&gt;0,0.15,0)</f>
        <v>0</v>
      </c>
      <c r="K87" s="2">
        <f>ROUND(F87+(F87*TabelaPrincipal[[#This Row],[PERCENTUAL MÍNIMO]]), 2)</f>
        <v>1.54</v>
      </c>
      <c r="L87" s="24">
        <f>IF(TabelaPrincipal[[#This Row],[PERCENTUAL DE ENTRADA]]=0,TabelaPrincipal[[#This Row],[VALOR MÍNIMO]],0)</f>
        <v>1.54</v>
      </c>
      <c r="M87" s="25"/>
      <c r="N87" s="23">
        <f>TabelaPrincipal[[#This Row],[LANCE ATUAL]]*TabelaPrincipal[[#This Row],[QTD]]</f>
        <v>1540</v>
      </c>
      <c r="O87" s="41" t="str">
        <f>IF(TabelaPrincipal[[#This Row],[LANCE ATUAL]]&lt;=(VLOOKUP(TabelaPrincipal[[#This Row],[ITEM]],TabelaModelo,5,FALSE)*0.5),"Inexequível","")</f>
        <v/>
      </c>
    </row>
    <row r="88" spans="1:15" ht="15" customHeight="1" x14ac:dyDescent="0.25">
      <c r="A88" s="4">
        <v>146</v>
      </c>
      <c r="B88" s="3" t="str">
        <f>VLOOKUP(TabelaPrincipal[[#This Row],[ITEM]],TabelaModelo,2,FALSE)</f>
        <v>Espéculo Uso Médico. Aplicação: Nasal. Tamanho: Adulto. Ponta Ativa: Lâminas Cerca De 25 mm. Travamento: S/ Trava. Comprimento Total: Cerca De 14 cm. Material: Polímero.
Esterilidade: Não Estéril, Uso Único. Embalagem:
Embalagem Individual.</v>
      </c>
      <c r="C88" s="1" t="str">
        <f>VLOOKUP(TabelaPrincipal[[#This Row],[ITEM]],TabelaModelo,3,FALSE)</f>
        <v>Unidade</v>
      </c>
      <c r="D88" s="1">
        <f>VLOOKUP(TabelaPrincipal[[#This Row],[ITEM]],TabelaModelo,4,FALSE)</f>
        <v>500</v>
      </c>
      <c r="E88" s="1" t="s">
        <v>849</v>
      </c>
      <c r="F88" s="23">
        <v>4.5999999999999996</v>
      </c>
      <c r="G88" s="8">
        <f>IF(_xlfn.ISFORMULA(TabelaPrincipal[[#This Row],[CUSTO + PERCENTUAL DE ENTRADA]]),0.4,(TabelaPrincipal[[#This Row],[CUSTO + PERCENTUAL DE ENTRADA]]-TabelaPrincipal[[#This Row],[VALOR DE CUSTO]])/TabelaPrincipal[[#This Row],[VALOR DE CUSTO]])</f>
        <v>0.4</v>
      </c>
      <c r="H88" s="2">
        <f>ROUND(F88+(F88*TabelaPrincipal[[#This Row],[PERCENTUAL DE ENTRADA]]), 2)</f>
        <v>6.44</v>
      </c>
      <c r="I88" s="5">
        <f t="shared" si="1"/>
        <v>3220</v>
      </c>
      <c r="J88" s="8">
        <v>0</v>
      </c>
      <c r="K88" s="2">
        <f>ROUND(F88+(F88*TabelaPrincipal[[#This Row],[PERCENTUAL MÍNIMO]]), 2)</f>
        <v>4.5999999999999996</v>
      </c>
      <c r="L88" s="24">
        <v>4.5999999999999996</v>
      </c>
      <c r="M88" s="25"/>
      <c r="N88" s="23">
        <f>TabelaPrincipal[[#This Row],[LANCE ATUAL]]*TabelaPrincipal[[#This Row],[QTD]]</f>
        <v>2300</v>
      </c>
      <c r="O88" s="41" t="str">
        <f>IF(TabelaPrincipal[[#This Row],[LANCE ATUAL]]&lt;=(VLOOKUP(TabelaPrincipal[[#This Row],[ITEM]],TabelaModelo,5,FALSE)*0.5),"Inexequível","")</f>
        <v/>
      </c>
    </row>
    <row r="89" spans="1:15" ht="15" customHeight="1" x14ac:dyDescent="0.25">
      <c r="A89" s="4">
        <v>163</v>
      </c>
      <c r="B89" s="3" t="str">
        <f>VLOOKUP(TabelaPrincipal[[#This Row],[ITEM]],TabelaModelo,2,FALSE)</f>
        <v>Cloreto de sódio, princípio ativo: 0,9%_ solução injetável, aplicação: sistema fechado 100 ml</v>
      </c>
      <c r="C89" s="1" t="str">
        <f>VLOOKUP(TabelaPrincipal[[#This Row],[ITEM]],TabelaModelo,3,FALSE)</f>
        <v>Frasco 100 ml</v>
      </c>
      <c r="D89" s="1">
        <f>VLOOKUP(TabelaPrincipal[[#This Row],[ITEM]],TabelaModelo,4,FALSE)</f>
        <v>800</v>
      </c>
      <c r="E89" s="1" t="s">
        <v>824</v>
      </c>
      <c r="F89" s="23">
        <v>4.99</v>
      </c>
      <c r="G89" s="8">
        <f>IF(_xlfn.ISFORMULA(TabelaPrincipal[[#This Row],[CUSTO + PERCENTUAL DE ENTRADA]]),0.4,(TabelaPrincipal[[#This Row],[CUSTO + PERCENTUAL DE ENTRADA]]-TabelaPrincipal[[#This Row],[VALOR DE CUSTO]])/TabelaPrincipal[[#This Row],[VALOR DE CUSTO]])</f>
        <v>0.4</v>
      </c>
      <c r="H89" s="2">
        <f>ROUND(F89+(F89*TabelaPrincipal[[#This Row],[PERCENTUAL DE ENTRADA]]), 2)</f>
        <v>6.99</v>
      </c>
      <c r="I89" s="5">
        <f t="shared" si="1"/>
        <v>5592</v>
      </c>
      <c r="J89" s="8">
        <v>0</v>
      </c>
      <c r="K89" s="2">
        <f>ROUND(F89+(F89*TabelaPrincipal[[#This Row],[PERCENTUAL MÍNIMO]]), 2)</f>
        <v>4.99</v>
      </c>
      <c r="L89" s="24">
        <v>4.99</v>
      </c>
      <c r="M89" s="25"/>
      <c r="N89" s="23">
        <f>TabelaPrincipal[[#This Row],[LANCE ATUAL]]*TabelaPrincipal[[#This Row],[QTD]]</f>
        <v>3992</v>
      </c>
      <c r="O89" s="41" t="str">
        <f>IF(TabelaPrincipal[[#This Row],[LANCE ATUAL]]&lt;=(VLOOKUP(TabelaPrincipal[[#This Row],[ITEM]],TabelaModelo,5,FALSE)*0.5),"Inexequível","")</f>
        <v/>
      </c>
    </row>
    <row r="90" spans="1:15" ht="15" customHeight="1" x14ac:dyDescent="0.25">
      <c r="A90" s="4">
        <v>164</v>
      </c>
      <c r="B90" s="3" t="str">
        <f>VLOOKUP(TabelaPrincipal[[#This Row],[ITEM]],TabelaModelo,2,FALSE)</f>
        <v>Cloreto de sódio, princípio ativo: 0,9%_ solução injetável, aplicação: sistema fechado 500 ml</v>
      </c>
      <c r="C90" s="1" t="str">
        <f>VLOOKUP(TabelaPrincipal[[#This Row],[ITEM]],TabelaModelo,3,FALSE)</f>
        <v>Frasco 500 ml</v>
      </c>
      <c r="D90" s="1">
        <f>VLOOKUP(TabelaPrincipal[[#This Row],[ITEM]],TabelaModelo,4,FALSE)</f>
        <v>400</v>
      </c>
      <c r="E90" s="1" t="s">
        <v>824</v>
      </c>
      <c r="F90" s="23">
        <v>6.99</v>
      </c>
      <c r="G90" s="8">
        <f>IF(_xlfn.ISFORMULA(TabelaPrincipal[[#This Row],[CUSTO + PERCENTUAL DE ENTRADA]]),0.4,(TabelaPrincipal[[#This Row],[CUSTO + PERCENTUAL DE ENTRADA]]-TabelaPrincipal[[#This Row],[VALOR DE CUSTO]])/TabelaPrincipal[[#This Row],[VALOR DE CUSTO]])</f>
        <v>0.4</v>
      </c>
      <c r="H90" s="2">
        <f>ROUND(F90+(F90*TabelaPrincipal[[#This Row],[PERCENTUAL DE ENTRADA]]), 2)</f>
        <v>9.7899999999999991</v>
      </c>
      <c r="I90" s="5">
        <f t="shared" si="1"/>
        <v>3915.9999999999995</v>
      </c>
      <c r="J90" s="8">
        <v>0</v>
      </c>
      <c r="K90" s="2">
        <f>ROUND(F90+(F90*TabelaPrincipal[[#This Row],[PERCENTUAL MÍNIMO]]), 2)</f>
        <v>6.99</v>
      </c>
      <c r="L90" s="24">
        <v>6.95</v>
      </c>
      <c r="M90" s="25"/>
      <c r="N90" s="23">
        <f>TabelaPrincipal[[#This Row],[LANCE ATUAL]]*TabelaPrincipal[[#This Row],[QTD]]</f>
        <v>2780</v>
      </c>
      <c r="O90" s="41" t="str">
        <f>IF(TabelaPrincipal[[#This Row],[LANCE ATUAL]]&lt;=(VLOOKUP(TabelaPrincipal[[#This Row],[ITEM]],TabelaModelo,5,FALSE)*0.5),"Inexequível","")</f>
        <v/>
      </c>
    </row>
    <row r="91" spans="1:15" ht="15" customHeight="1" x14ac:dyDescent="0.25">
      <c r="A91" s="4">
        <v>165</v>
      </c>
      <c r="B91" s="3" t="str">
        <f>VLOOKUP(TabelaPrincipal[[#This Row],[ITEM]],TabelaModelo,2,FALSE)</f>
        <v>Cloreto de sódio, princípio ativo: 0,9%_ solução injetável, aplicação: sistema fechado 10 ml</v>
      </c>
      <c r="C91" s="1" t="str">
        <f>VLOOKUP(TabelaPrincipal[[#This Row],[ITEM]],TabelaModelo,3,FALSE)</f>
        <v>Ampola 10 ml</v>
      </c>
      <c r="D91" s="1">
        <f>VLOOKUP(TabelaPrincipal[[#This Row],[ITEM]],TabelaModelo,4,FALSE)</f>
        <v>1000</v>
      </c>
      <c r="E91" s="1" t="s">
        <v>809</v>
      </c>
      <c r="F91" s="23">
        <v>0.63</v>
      </c>
      <c r="G91" s="8">
        <v>0</v>
      </c>
      <c r="H91" s="2">
        <f>ROUND(F91+(F91*TabelaPrincipal[[#This Row],[PERCENTUAL DE ENTRADA]]), 2)</f>
        <v>0.63</v>
      </c>
      <c r="I91" s="5">
        <f t="shared" si="1"/>
        <v>630</v>
      </c>
      <c r="J91" s="8">
        <f>IF(TabelaPrincipal[[#This Row],[PERCENTUAL DE ENTRADA]]&gt;0,0.15,0)</f>
        <v>0</v>
      </c>
      <c r="K91" s="2">
        <f>ROUND(F91+(F91*TabelaPrincipal[[#This Row],[PERCENTUAL MÍNIMO]]), 2)</f>
        <v>0.63</v>
      </c>
      <c r="L91" s="24">
        <f>IF(TabelaPrincipal[[#This Row],[PERCENTUAL DE ENTRADA]]=0,TabelaPrincipal[[#This Row],[VALOR MÍNIMO]],0)</f>
        <v>0.63</v>
      </c>
      <c r="M91" s="25">
        <v>1</v>
      </c>
      <c r="N91" s="23">
        <f>TabelaPrincipal[[#This Row],[LANCE ATUAL]]*TabelaPrincipal[[#This Row],[QTD]]</f>
        <v>630</v>
      </c>
      <c r="O91" s="41" t="str">
        <f>IF(TabelaPrincipal[[#This Row],[LANCE ATUAL]]&lt;=(VLOOKUP(TabelaPrincipal[[#This Row],[ITEM]],TabelaModelo,5,FALSE)*0.5),"Inexequível","")</f>
        <v/>
      </c>
    </row>
    <row r="92" spans="1:15" ht="15" customHeight="1" x14ac:dyDescent="0.25">
      <c r="A92" s="4">
        <v>166</v>
      </c>
      <c r="B92" s="3" t="str">
        <f>VLOOKUP(TabelaPrincipal[[#This Row],[ITEM]],TabelaModelo,2,FALSE)</f>
        <v>Paracetamol, apresentação: associado com codeína, dosagem: 500 mg + 30 mg</v>
      </c>
      <c r="C92" s="1" t="str">
        <f>VLOOKUP(TabelaPrincipal[[#This Row],[ITEM]],TabelaModelo,3,FALSE)</f>
        <v>Comprimido</v>
      </c>
      <c r="D92" s="1">
        <f>VLOOKUP(TabelaPrincipal[[#This Row],[ITEM]],TabelaModelo,4,FALSE)</f>
        <v>2400</v>
      </c>
      <c r="E92" s="1" t="s">
        <v>803</v>
      </c>
      <c r="F92" s="23">
        <v>0.65</v>
      </c>
      <c r="G92" s="8">
        <f>IF(_xlfn.ISFORMULA(TabelaPrincipal[[#This Row],[CUSTO + PERCENTUAL DE ENTRADA]]),0.4,(TabelaPrincipal[[#This Row],[CUSTO + PERCENTUAL DE ENTRADA]]-TabelaPrincipal[[#This Row],[VALOR DE CUSTO]])/TabelaPrincipal[[#This Row],[VALOR DE CUSTO]])</f>
        <v>0.63076923076923075</v>
      </c>
      <c r="H92" s="2">
        <v>1.06</v>
      </c>
      <c r="I92" s="5">
        <f t="shared" si="1"/>
        <v>2544</v>
      </c>
      <c r="J92" s="8">
        <v>0</v>
      </c>
      <c r="K92" s="2">
        <f>ROUND(F92+(F92*TabelaPrincipal[[#This Row],[PERCENTUAL MÍNIMO]]), 2)</f>
        <v>0.65</v>
      </c>
      <c r="L92" s="24">
        <v>0.65</v>
      </c>
      <c r="M92" s="25">
        <v>1</v>
      </c>
      <c r="N92" s="23">
        <f>TabelaPrincipal[[#This Row],[LANCE ATUAL]]*TabelaPrincipal[[#This Row],[QTD]]</f>
        <v>1560</v>
      </c>
      <c r="O92" s="41" t="str">
        <f>IF(TabelaPrincipal[[#This Row],[LANCE ATUAL]]&lt;=(VLOOKUP(TabelaPrincipal[[#This Row],[ITEM]],TabelaModelo,5,FALSE)*0.5),"Inexequível","")</f>
        <v/>
      </c>
    </row>
    <row r="93" spans="1:15" ht="15" customHeight="1" x14ac:dyDescent="0.25">
      <c r="A93" s="4">
        <v>167</v>
      </c>
      <c r="B93" s="3" t="str">
        <f>VLOOKUP(TabelaPrincipal[[#This Row],[ITEM]],TabelaModelo,2,FALSE)</f>
        <v>Dexclorfeniramina 2 mg comprimido</v>
      </c>
      <c r="C93" s="1" t="str">
        <f>VLOOKUP(TabelaPrincipal[[#This Row],[ITEM]],TabelaModelo,3,FALSE)</f>
        <v>Comprimido</v>
      </c>
      <c r="D93" s="1">
        <f>VLOOKUP(TabelaPrincipal[[#This Row],[ITEM]],TabelaModelo,4,FALSE)</f>
        <v>4000</v>
      </c>
      <c r="E93" s="1" t="s">
        <v>803</v>
      </c>
      <c r="F93" s="23">
        <v>0.1</v>
      </c>
      <c r="G93" s="8">
        <f>IF(_xlfn.ISFORMULA(TabelaPrincipal[[#This Row],[CUSTO + PERCENTUAL DE ENTRADA]]),0.4,(TabelaPrincipal[[#This Row],[CUSTO + PERCENTUAL DE ENTRADA]]-TabelaPrincipal[[#This Row],[VALOR DE CUSTO]])/TabelaPrincipal[[#This Row],[VALOR DE CUSTO]])</f>
        <v>0.4</v>
      </c>
      <c r="H93" s="2">
        <f>ROUND(F93+(F93*TabelaPrincipal[[#This Row],[PERCENTUAL DE ENTRADA]]), 2)</f>
        <v>0.14000000000000001</v>
      </c>
      <c r="I93" s="5">
        <f t="shared" si="1"/>
        <v>560</v>
      </c>
      <c r="J93" s="8">
        <v>0</v>
      </c>
      <c r="K93" s="2">
        <f>ROUND(F93+(F93*TabelaPrincipal[[#This Row],[PERCENTUAL MÍNIMO]]), 2)</f>
        <v>0.1</v>
      </c>
      <c r="L93" s="24">
        <v>0.12</v>
      </c>
      <c r="M93" s="25"/>
      <c r="N93" s="23">
        <f>TabelaPrincipal[[#This Row],[LANCE ATUAL]]*TabelaPrincipal[[#This Row],[QTD]]</f>
        <v>480</v>
      </c>
      <c r="O93" s="41" t="str">
        <f>IF(TabelaPrincipal[[#This Row],[LANCE ATUAL]]&lt;=(VLOOKUP(TabelaPrincipal[[#This Row],[ITEM]],TabelaModelo,5,FALSE)*0.5),"Inexequível","")</f>
        <v/>
      </c>
    </row>
    <row r="94" spans="1:15" ht="15" customHeight="1" x14ac:dyDescent="0.25">
      <c r="A94" s="4">
        <v>168</v>
      </c>
      <c r="B94" s="3" t="str">
        <f>VLOOKUP(TabelaPrincipal[[#This Row],[ITEM]],TabelaModelo,2,FALSE)</f>
        <v>Loratadina 10 mg comprimido</v>
      </c>
      <c r="C94" s="1" t="str">
        <f>VLOOKUP(TabelaPrincipal[[#This Row],[ITEM]],TabelaModelo,3,FALSE)</f>
        <v>Comprimido</v>
      </c>
      <c r="D94" s="1">
        <f>VLOOKUP(TabelaPrincipal[[#This Row],[ITEM]],TabelaModelo,4,FALSE)</f>
        <v>10000</v>
      </c>
      <c r="E94" s="1" t="s">
        <v>811</v>
      </c>
      <c r="F94" s="23">
        <v>0.13200000000000001</v>
      </c>
      <c r="G94" s="8">
        <f>IF(_xlfn.ISFORMULA(TabelaPrincipal[[#This Row],[CUSTO + PERCENTUAL DE ENTRADA]]),0.4,(TabelaPrincipal[[#This Row],[CUSTO + PERCENTUAL DE ENTRADA]]-TabelaPrincipal[[#This Row],[VALOR DE CUSTO]])/TabelaPrincipal[[#This Row],[VALOR DE CUSTO]])</f>
        <v>0.66666666666666663</v>
      </c>
      <c r="H94" s="2">
        <v>0.22</v>
      </c>
      <c r="I94" s="5">
        <f t="shared" si="1"/>
        <v>2200</v>
      </c>
      <c r="J94" s="8">
        <v>0</v>
      </c>
      <c r="K94" s="2">
        <f>ROUND(F94+(F94*TabelaPrincipal[[#This Row],[PERCENTUAL MÍNIMO]]), 2)</f>
        <v>0.13</v>
      </c>
      <c r="L94" s="24">
        <v>0.22</v>
      </c>
      <c r="M94" s="25"/>
      <c r="N94" s="23">
        <f>TabelaPrincipal[[#This Row],[LANCE ATUAL]]*TabelaPrincipal[[#This Row],[QTD]]</f>
        <v>2200</v>
      </c>
      <c r="O94" s="41" t="str">
        <f>IF(TabelaPrincipal[[#This Row],[LANCE ATUAL]]&lt;=(VLOOKUP(TabelaPrincipal[[#This Row],[ITEM]],TabelaModelo,5,FALSE)*0.5),"Inexequível","")</f>
        <v/>
      </c>
    </row>
    <row r="95" spans="1:15" ht="15" customHeight="1" x14ac:dyDescent="0.25">
      <c r="A95" s="4">
        <v>169</v>
      </c>
      <c r="B95" s="3" t="str">
        <f>VLOOKUP(TabelaPrincipal[[#This Row],[ITEM]],TabelaModelo,2,FALSE)</f>
        <v>Tramadol 50mg/ml solução injetável</v>
      </c>
      <c r="C95" s="1" t="str">
        <f>VLOOKUP(TabelaPrincipal[[#This Row],[ITEM]],TabelaModelo,3,FALSE)</f>
        <v>Ampola 2 ml</v>
      </c>
      <c r="D95" s="1">
        <f>VLOOKUP(TabelaPrincipal[[#This Row],[ITEM]],TabelaModelo,4,FALSE)</f>
        <v>250</v>
      </c>
      <c r="E95" s="1" t="s">
        <v>796</v>
      </c>
      <c r="F95" s="23">
        <v>1.8</v>
      </c>
      <c r="G95" s="8">
        <f>IF(_xlfn.ISFORMULA(TabelaPrincipal[[#This Row],[CUSTO + PERCENTUAL DE ENTRADA]]),0.4,(TabelaPrincipal[[#This Row],[CUSTO + PERCENTUAL DE ENTRADA]]-TabelaPrincipal[[#This Row],[VALOR DE CUSTO]])/TabelaPrincipal[[#This Row],[VALOR DE CUSTO]])</f>
        <v>0.4</v>
      </c>
      <c r="H95" s="2">
        <f>ROUND(F95+(F95*TabelaPrincipal[[#This Row],[PERCENTUAL DE ENTRADA]]), 2)</f>
        <v>2.52</v>
      </c>
      <c r="I95" s="5">
        <f t="shared" si="1"/>
        <v>630</v>
      </c>
      <c r="J95" s="8">
        <v>0</v>
      </c>
      <c r="K95" s="2">
        <f>ROUND(F95+(F95*TabelaPrincipal[[#This Row],[PERCENTUAL MÍNIMO]]), 2)</f>
        <v>1.8</v>
      </c>
      <c r="L95" s="24">
        <v>2</v>
      </c>
      <c r="M95" s="25"/>
      <c r="N95" s="23">
        <f>TabelaPrincipal[[#This Row],[LANCE ATUAL]]*TabelaPrincipal[[#This Row],[QTD]]</f>
        <v>500</v>
      </c>
      <c r="O95" s="41" t="str">
        <f>IF(TabelaPrincipal[[#This Row],[LANCE ATUAL]]&lt;=(VLOOKUP(TabelaPrincipal[[#This Row],[ITEM]],TabelaModelo,5,FALSE)*0.5),"Inexequível","")</f>
        <v/>
      </c>
    </row>
    <row r="96" spans="1:15" ht="15" customHeight="1" x14ac:dyDescent="0.25">
      <c r="A96" s="4">
        <v>170</v>
      </c>
      <c r="B96" s="3" t="str">
        <f>VLOOKUP(TabelaPrincipal[[#This Row],[ITEM]],TabelaModelo,2,FALSE)</f>
        <v>Glicose 25% solução injetável</v>
      </c>
      <c r="C96" s="1" t="str">
        <f>VLOOKUP(TabelaPrincipal[[#This Row],[ITEM]],TabelaModelo,3,FALSE)</f>
        <v>Ampola 10 ml</v>
      </c>
      <c r="D96" s="1">
        <f>VLOOKUP(TabelaPrincipal[[#This Row],[ITEM]],TabelaModelo,4,FALSE)</f>
        <v>200</v>
      </c>
      <c r="E96" s="1" t="s">
        <v>809</v>
      </c>
      <c r="F96" s="23">
        <v>0.61</v>
      </c>
      <c r="G96" s="8">
        <v>0</v>
      </c>
      <c r="H96" s="2">
        <f>ROUND(F96+(F96*TabelaPrincipal[[#This Row],[PERCENTUAL DE ENTRADA]]), 2)</f>
        <v>0.61</v>
      </c>
      <c r="I96" s="5">
        <f t="shared" si="1"/>
        <v>122</v>
      </c>
      <c r="J96" s="8">
        <f>IF(TabelaPrincipal[[#This Row],[PERCENTUAL DE ENTRADA]]&gt;0,0.15,0)</f>
        <v>0</v>
      </c>
      <c r="K96" s="2">
        <f>ROUND(F96+(F96*TabelaPrincipal[[#This Row],[PERCENTUAL MÍNIMO]]), 2)</f>
        <v>0.61</v>
      </c>
      <c r="L96" s="24">
        <f>IF(TabelaPrincipal[[#This Row],[PERCENTUAL DE ENTRADA]]=0,TabelaPrincipal[[#This Row],[VALOR MÍNIMO]],0)</f>
        <v>0.61</v>
      </c>
      <c r="M96" s="25">
        <v>1</v>
      </c>
      <c r="N96" s="23">
        <f>TabelaPrincipal[[#This Row],[LANCE ATUAL]]*TabelaPrincipal[[#This Row],[QTD]]</f>
        <v>122</v>
      </c>
      <c r="O96" s="41" t="str">
        <f>IF(TabelaPrincipal[[#This Row],[LANCE ATUAL]]&lt;=(VLOOKUP(TabelaPrincipal[[#This Row],[ITEM]],TabelaModelo,5,FALSE)*0.5),"Inexequível","")</f>
        <v/>
      </c>
    </row>
    <row r="97" spans="1:15" ht="15" customHeight="1" x14ac:dyDescent="0.25">
      <c r="A97" s="4">
        <v>171</v>
      </c>
      <c r="B97" s="3" t="str">
        <f>VLOOKUP(TabelaPrincipal[[#This Row],[ITEM]],TabelaModelo,2,FALSE)</f>
        <v>Ipratrópio brometo, dosagem: 0,25 mg/ml, uso: solução para inalação</v>
      </c>
      <c r="C97" s="1" t="str">
        <f>VLOOKUP(TabelaPrincipal[[#This Row],[ITEM]],TabelaModelo,3,FALSE)</f>
        <v>Frasco 20 mL</v>
      </c>
      <c r="D97" s="1">
        <f>VLOOKUP(TabelaPrincipal[[#This Row],[ITEM]],TabelaModelo,4,FALSE)</f>
        <v>100</v>
      </c>
      <c r="E97" s="1" t="s">
        <v>801</v>
      </c>
      <c r="F97" s="23">
        <v>3.91</v>
      </c>
      <c r="G97" s="8">
        <f>IF(_xlfn.ISFORMULA(TabelaPrincipal[[#This Row],[CUSTO + PERCENTUAL DE ENTRADA]]),0.4,(TabelaPrincipal[[#This Row],[CUSTO + PERCENTUAL DE ENTRADA]]-TabelaPrincipal[[#This Row],[VALOR DE CUSTO]])/TabelaPrincipal[[#This Row],[VALOR DE CUSTO]])</f>
        <v>0.4</v>
      </c>
      <c r="H97" s="2">
        <f>ROUND(F97+(F97*TabelaPrincipal[[#This Row],[PERCENTUAL DE ENTRADA]]), 2)</f>
        <v>5.47</v>
      </c>
      <c r="I97" s="5">
        <f t="shared" si="1"/>
        <v>547</v>
      </c>
      <c r="J97" s="8">
        <v>0</v>
      </c>
      <c r="K97" s="2">
        <f>ROUND(F97+(F97*TabelaPrincipal[[#This Row],[PERCENTUAL MÍNIMO]]), 2)</f>
        <v>3.91</v>
      </c>
      <c r="L97" s="24">
        <v>3.91</v>
      </c>
      <c r="M97" s="25"/>
      <c r="N97" s="23">
        <f>TabelaPrincipal[[#This Row],[LANCE ATUAL]]*TabelaPrincipal[[#This Row],[QTD]]</f>
        <v>391</v>
      </c>
      <c r="O97" s="41" t="str">
        <f>IF(TabelaPrincipal[[#This Row],[LANCE ATUAL]]&lt;=(VLOOKUP(TabelaPrincipal[[#This Row],[ITEM]],TabelaModelo,5,FALSE)*0.5),"Inexequível","")</f>
        <v/>
      </c>
    </row>
    <row r="98" spans="1:15" ht="15" customHeight="1" x14ac:dyDescent="0.25">
      <c r="A98" s="4">
        <v>173</v>
      </c>
      <c r="B98" s="3" t="str">
        <f>VLOOKUP(TabelaPrincipal[[#This Row],[ITEM]],TabelaModelo,2,FALSE)</f>
        <v>Dexametasona 1 mg/mL (0,1%) solução oftálmica</v>
      </c>
      <c r="C98" s="1" t="str">
        <f>VLOOKUP(TabelaPrincipal[[#This Row],[ITEM]],TabelaModelo,3,FALSE)</f>
        <v>Frasco 5 ml</v>
      </c>
      <c r="D98" s="1">
        <f>VLOOKUP(TabelaPrincipal[[#This Row],[ITEM]],TabelaModelo,4,FALSE)</f>
        <v>120</v>
      </c>
      <c r="E98" s="1" t="s">
        <v>815</v>
      </c>
      <c r="F98" s="23">
        <v>8.9499999999999993</v>
      </c>
      <c r="G98" s="8">
        <f>IF(_xlfn.ISFORMULA(TabelaPrincipal[[#This Row],[CUSTO + PERCENTUAL DE ENTRADA]]),0.4,(TabelaPrincipal[[#This Row],[CUSTO + PERCENTUAL DE ENTRADA]]-TabelaPrincipal[[#This Row],[VALOR DE CUSTO]])/TabelaPrincipal[[#This Row],[VALOR DE CUSTO]])</f>
        <v>0.4</v>
      </c>
      <c r="H98" s="2">
        <f>ROUND(F98+(F98*TabelaPrincipal[[#This Row],[PERCENTUAL DE ENTRADA]]), 2)</f>
        <v>12.53</v>
      </c>
      <c r="I98" s="5">
        <f t="shared" si="1"/>
        <v>1503.6</v>
      </c>
      <c r="J98" s="8">
        <v>0</v>
      </c>
      <c r="K98" s="2">
        <f>ROUND(F98+(F98*TabelaPrincipal[[#This Row],[PERCENTUAL MÍNIMO]]), 2)</f>
        <v>8.9499999999999993</v>
      </c>
      <c r="L98" s="24">
        <v>9</v>
      </c>
      <c r="M98" s="25">
        <v>1</v>
      </c>
      <c r="N98" s="23">
        <f>TabelaPrincipal[[#This Row],[LANCE ATUAL]]*TabelaPrincipal[[#This Row],[QTD]]</f>
        <v>1080</v>
      </c>
      <c r="O98" s="41" t="str">
        <f>IF(TabelaPrincipal[[#This Row],[LANCE ATUAL]]&lt;=(VLOOKUP(TabelaPrincipal[[#This Row],[ITEM]],TabelaModelo,5,FALSE)*0.5),"Inexequível","")</f>
        <v/>
      </c>
    </row>
    <row r="99" spans="1:15" ht="15" customHeight="1" x14ac:dyDescent="0.25">
      <c r="A99" s="4">
        <v>174</v>
      </c>
      <c r="B99" s="3" t="str">
        <f>VLOOKUP(TabelaPrincipal[[#This Row],[ITEM]],TabelaModelo,2,FALSE)</f>
        <v>Morfina, apresentação: sulfato, concentração: 1mg
/ml, forma farmacêutica: solução injetável</v>
      </c>
      <c r="C99" s="1" t="str">
        <f>VLOOKUP(TabelaPrincipal[[#This Row],[ITEM]],TabelaModelo,3,FALSE)</f>
        <v>Ampola 1 ml</v>
      </c>
      <c r="D99" s="1">
        <f>VLOOKUP(TabelaPrincipal[[#This Row],[ITEM]],TabelaModelo,4,FALSE)</f>
        <v>200</v>
      </c>
      <c r="E99" s="1" t="s">
        <v>797</v>
      </c>
      <c r="F99" s="23">
        <v>5.69</v>
      </c>
      <c r="G99" s="8">
        <v>0</v>
      </c>
      <c r="H99" s="2">
        <f>ROUND(F99+(F99*TabelaPrincipal[[#This Row],[PERCENTUAL DE ENTRADA]]), 2)</f>
        <v>5.69</v>
      </c>
      <c r="I99" s="5">
        <f t="shared" si="1"/>
        <v>1138</v>
      </c>
      <c r="J99" s="8">
        <f>IF(TabelaPrincipal[[#This Row],[PERCENTUAL DE ENTRADA]]&gt;0,0.15,0)</f>
        <v>0</v>
      </c>
      <c r="K99" s="2">
        <f>ROUND(F99+(F99*TabelaPrincipal[[#This Row],[PERCENTUAL MÍNIMO]]), 2)</f>
        <v>5.69</v>
      </c>
      <c r="L99" s="24">
        <f>IF(TabelaPrincipal[[#This Row],[PERCENTUAL DE ENTRADA]]=0,TabelaPrincipal[[#This Row],[VALOR MÍNIMO]],0)</f>
        <v>5.69</v>
      </c>
      <c r="M99" s="25"/>
      <c r="N99" s="23">
        <f>TabelaPrincipal[[#This Row],[LANCE ATUAL]]*TabelaPrincipal[[#This Row],[QTD]]</f>
        <v>1138</v>
      </c>
      <c r="O99" s="41" t="str">
        <f>IF(TabelaPrincipal[[#This Row],[LANCE ATUAL]]&lt;=(VLOOKUP(TabelaPrincipal[[#This Row],[ITEM]],TabelaModelo,5,FALSE)*0.5),"Inexequível","")</f>
        <v/>
      </c>
    </row>
    <row r="100" spans="1:15" ht="15" customHeight="1" x14ac:dyDescent="0.25">
      <c r="A100" s="4">
        <v>175</v>
      </c>
      <c r="B100" s="3" t="str">
        <f>VLOOKUP(TabelaPrincipal[[#This Row],[ITEM]],TabelaModelo,2,FALSE)</f>
        <v>Morfina, apresentação: sulfato, concentração: 10mg/ml, forma farmacêutica: solução injetável</v>
      </c>
      <c r="C100" s="1" t="str">
        <f>VLOOKUP(TabelaPrincipal[[#This Row],[ITEM]],TabelaModelo,3,FALSE)</f>
        <v>Ampola 1 ml</v>
      </c>
      <c r="D100" s="1">
        <f>VLOOKUP(TabelaPrincipal[[#This Row],[ITEM]],TabelaModelo,4,FALSE)</f>
        <v>200</v>
      </c>
      <c r="E100" s="1" t="s">
        <v>797</v>
      </c>
      <c r="F100" s="23">
        <v>3.8</v>
      </c>
      <c r="G100" s="8">
        <f>IF(_xlfn.ISFORMULA(TabelaPrincipal[[#This Row],[CUSTO + PERCENTUAL DE ENTRADA]]),0.4,(TabelaPrincipal[[#This Row],[CUSTO + PERCENTUAL DE ENTRADA]]-TabelaPrincipal[[#This Row],[VALOR DE CUSTO]])/TabelaPrincipal[[#This Row],[VALOR DE CUSTO]])</f>
        <v>0.4</v>
      </c>
      <c r="H100" s="2">
        <f>ROUND(F100+(F100*TabelaPrincipal[[#This Row],[PERCENTUAL DE ENTRADA]]), 2)</f>
        <v>5.32</v>
      </c>
      <c r="I100" s="5">
        <f t="shared" si="1"/>
        <v>1064</v>
      </c>
      <c r="J100" s="8">
        <v>0</v>
      </c>
      <c r="K100" s="2">
        <f>ROUND(F100+(F100*TabelaPrincipal[[#This Row],[PERCENTUAL MÍNIMO]]), 2)</f>
        <v>3.8</v>
      </c>
      <c r="L100" s="24">
        <v>3.8</v>
      </c>
      <c r="M100" s="25"/>
      <c r="N100" s="23">
        <f>TabelaPrincipal[[#This Row],[LANCE ATUAL]]*TabelaPrincipal[[#This Row],[QTD]]</f>
        <v>760</v>
      </c>
      <c r="O100" s="41" t="str">
        <f>IF(TabelaPrincipal[[#This Row],[LANCE ATUAL]]&lt;=(VLOOKUP(TabelaPrincipal[[#This Row],[ITEM]],TabelaModelo,5,FALSE)*0.5),"Inexequível","")</f>
        <v/>
      </c>
    </row>
    <row r="101" spans="1:15" ht="15" customHeight="1" x14ac:dyDescent="0.25">
      <c r="A101" s="4">
        <v>176</v>
      </c>
      <c r="B101" s="3" t="str">
        <f>VLOOKUP(TabelaPrincipal[[#This Row],[ITEM]],TabelaModelo,2,FALSE)</f>
        <v>Naloxona 0,4 mg/mL solução injetável</v>
      </c>
      <c r="C101" s="1" t="str">
        <f>VLOOKUP(TabelaPrincipal[[#This Row],[ITEM]],TabelaModelo,3,FALSE)</f>
        <v>Ampola</v>
      </c>
      <c r="D101" s="1">
        <f>VLOOKUP(TabelaPrincipal[[#This Row],[ITEM]],TabelaModelo,4,FALSE)</f>
        <v>100</v>
      </c>
      <c r="E101" s="1" t="s">
        <v>807</v>
      </c>
      <c r="F101" s="23">
        <v>12.51</v>
      </c>
      <c r="G101" s="8">
        <v>0</v>
      </c>
      <c r="H101" s="2">
        <f>ROUND(F101+(F101*TabelaPrincipal[[#This Row],[PERCENTUAL DE ENTRADA]]), 2)</f>
        <v>12.51</v>
      </c>
      <c r="I101" s="5">
        <f t="shared" si="1"/>
        <v>1251</v>
      </c>
      <c r="J101" s="8">
        <f>IF(TabelaPrincipal[[#This Row],[PERCENTUAL DE ENTRADA]]&gt;0,0.15,0)</f>
        <v>0</v>
      </c>
      <c r="K101" s="2">
        <f>ROUND(F101+(F101*TabelaPrincipal[[#This Row],[PERCENTUAL MÍNIMO]]), 2)</f>
        <v>12.51</v>
      </c>
      <c r="L101" s="24">
        <f>IF(TabelaPrincipal[[#This Row],[PERCENTUAL DE ENTRADA]]=0,TabelaPrincipal[[#This Row],[VALOR MÍNIMO]],0)</f>
        <v>12.51</v>
      </c>
      <c r="M101" s="25"/>
      <c r="N101" s="23">
        <f>TabelaPrincipal[[#This Row],[LANCE ATUAL]]*TabelaPrincipal[[#This Row],[QTD]]</f>
        <v>1251</v>
      </c>
      <c r="O101" s="41" t="str">
        <f>IF(TabelaPrincipal[[#This Row],[LANCE ATUAL]]&lt;=(VLOOKUP(TabelaPrincipal[[#This Row],[ITEM]],TabelaModelo,5,FALSE)*0.5),"Inexequível","")</f>
        <v/>
      </c>
    </row>
    <row r="102" spans="1:15" ht="15" customHeight="1" x14ac:dyDescent="0.25">
      <c r="A102" s="4">
        <v>177</v>
      </c>
      <c r="B102" s="3" t="str">
        <f>VLOOKUP(TabelaPrincipal[[#This Row],[ITEM]],TabelaModelo,2,FALSE)</f>
        <v>Ceftriaxona sódica, concentração: 1 g, forma farmaceutica: pó p, solução injetável</v>
      </c>
      <c r="C102" s="1" t="str">
        <f>VLOOKUP(TabelaPrincipal[[#This Row],[ITEM]],TabelaModelo,3,FALSE)</f>
        <v>Frasco- ampola</v>
      </c>
      <c r="D102" s="1">
        <f>VLOOKUP(TabelaPrincipal[[#This Row],[ITEM]],TabelaModelo,4,FALSE)</f>
        <v>200</v>
      </c>
      <c r="E102" s="1" t="s">
        <v>796</v>
      </c>
      <c r="F102" s="23">
        <v>4.9000000000000004</v>
      </c>
      <c r="G102" s="8">
        <f>IF(_xlfn.ISFORMULA(TabelaPrincipal[[#This Row],[CUSTO + PERCENTUAL DE ENTRADA]]),0.4,(TabelaPrincipal[[#This Row],[CUSTO + PERCENTUAL DE ENTRADA]]-TabelaPrincipal[[#This Row],[VALOR DE CUSTO]])/TabelaPrincipal[[#This Row],[VALOR DE CUSTO]])</f>
        <v>1.2408163265306122</v>
      </c>
      <c r="H102" s="2">
        <v>10.98</v>
      </c>
      <c r="I102" s="5">
        <f t="shared" si="1"/>
        <v>2196</v>
      </c>
      <c r="J102" s="8">
        <v>0</v>
      </c>
      <c r="K102" s="2">
        <f>ROUND(F102+(F102*TabelaPrincipal[[#This Row],[PERCENTUAL MÍNIMO]]), 2)</f>
        <v>4.9000000000000004</v>
      </c>
      <c r="L102" s="24">
        <v>4.3</v>
      </c>
      <c r="M102" s="25">
        <v>1</v>
      </c>
      <c r="N102" s="23">
        <f>TabelaPrincipal[[#This Row],[LANCE ATUAL]]*TabelaPrincipal[[#This Row],[QTD]]</f>
        <v>860</v>
      </c>
      <c r="O102" s="41" t="str">
        <f>IF(TabelaPrincipal[[#This Row],[LANCE ATUAL]]&lt;=(VLOOKUP(TabelaPrincipal[[#This Row],[ITEM]],TabelaModelo,5,FALSE)*0.5),"Inexequível","")</f>
        <v>Inexequível</v>
      </c>
    </row>
    <row r="103" spans="1:15" ht="15" customHeight="1" x14ac:dyDescent="0.25">
      <c r="A103" s="4">
        <v>178</v>
      </c>
      <c r="B103" s="3" t="str">
        <f>VLOOKUP(TabelaPrincipal[[#This Row],[ITEM]],TabelaModelo,2,FALSE)</f>
        <v>Midazolam 1 mg/mL solução injetável</v>
      </c>
      <c r="C103" s="1" t="str">
        <f>VLOOKUP(TabelaPrincipal[[#This Row],[ITEM]],TabelaModelo,3,FALSE)</f>
        <v>Ampola 5 ml</v>
      </c>
      <c r="D103" s="1">
        <f>VLOOKUP(TabelaPrincipal[[#This Row],[ITEM]],TabelaModelo,4,FALSE)</f>
        <v>100</v>
      </c>
      <c r="E103" s="1" t="s">
        <v>807</v>
      </c>
      <c r="F103" s="23">
        <v>6.98</v>
      </c>
      <c r="G103" s="8">
        <v>0</v>
      </c>
      <c r="H103" s="2">
        <f>ROUND(F103+(F103*TabelaPrincipal[[#This Row],[PERCENTUAL DE ENTRADA]]), 2)</f>
        <v>6.98</v>
      </c>
      <c r="I103" s="5">
        <f t="shared" si="1"/>
        <v>698</v>
      </c>
      <c r="J103" s="8">
        <f>IF(TabelaPrincipal[[#This Row],[PERCENTUAL DE ENTRADA]]&gt;0,0.15,0)</f>
        <v>0</v>
      </c>
      <c r="K103" s="2">
        <f>ROUND(F103+(F103*TabelaPrincipal[[#This Row],[PERCENTUAL MÍNIMO]]), 2)</f>
        <v>6.98</v>
      </c>
      <c r="L103" s="24">
        <f>IF(TabelaPrincipal[[#This Row],[PERCENTUAL DE ENTRADA]]=0,TabelaPrincipal[[#This Row],[VALOR MÍNIMO]],0)</f>
        <v>6.98</v>
      </c>
      <c r="M103" s="25"/>
      <c r="N103" s="23">
        <f>TabelaPrincipal[[#This Row],[LANCE ATUAL]]*TabelaPrincipal[[#This Row],[QTD]]</f>
        <v>698</v>
      </c>
      <c r="O103" s="41" t="str">
        <f>IF(TabelaPrincipal[[#This Row],[LANCE ATUAL]]&lt;=(VLOOKUP(TabelaPrincipal[[#This Row],[ITEM]],TabelaModelo,5,FALSE)*0.5),"Inexequível","")</f>
        <v/>
      </c>
    </row>
    <row r="104" spans="1:15" ht="15" customHeight="1" x14ac:dyDescent="0.25">
      <c r="A104" s="4">
        <v>179</v>
      </c>
      <c r="B104" s="3" t="str">
        <f>VLOOKUP(TabelaPrincipal[[#This Row],[ITEM]],TabelaModelo,2,FALSE)</f>
        <v>Midazolam 5 mg/mL solução injetável</v>
      </c>
      <c r="C104" s="1" t="str">
        <f>VLOOKUP(TabelaPrincipal[[#This Row],[ITEM]],TabelaModelo,3,FALSE)</f>
        <v>Ampola 10 ml</v>
      </c>
      <c r="D104" s="1">
        <f>VLOOKUP(TabelaPrincipal[[#This Row],[ITEM]],TabelaModelo,4,FALSE)</f>
        <v>500</v>
      </c>
      <c r="E104" s="1" t="s">
        <v>796</v>
      </c>
      <c r="F104" s="23">
        <v>3.9</v>
      </c>
      <c r="G104" s="8">
        <f>IF(_xlfn.ISFORMULA(TabelaPrincipal[[#This Row],[CUSTO + PERCENTUAL DE ENTRADA]]),0.4,(TabelaPrincipal[[#This Row],[CUSTO + PERCENTUAL DE ENTRADA]]-TabelaPrincipal[[#This Row],[VALOR DE CUSTO]])/TabelaPrincipal[[#This Row],[VALOR DE CUSTO]])</f>
        <v>2.141025641025641</v>
      </c>
      <c r="H104" s="2">
        <v>12.25</v>
      </c>
      <c r="I104" s="5">
        <f t="shared" si="1"/>
        <v>6125</v>
      </c>
      <c r="J104" s="8">
        <v>0</v>
      </c>
      <c r="K104" s="2">
        <f>ROUND(F104+(F104*TabelaPrincipal[[#This Row],[PERCENTUAL MÍNIMO]]), 2)</f>
        <v>3.9</v>
      </c>
      <c r="L104" s="24">
        <v>3.9</v>
      </c>
      <c r="M104" s="25"/>
      <c r="N104" s="23">
        <f>TabelaPrincipal[[#This Row],[LANCE ATUAL]]*TabelaPrincipal[[#This Row],[QTD]]</f>
        <v>1950</v>
      </c>
      <c r="O104" s="41" t="str">
        <f>IF(TabelaPrincipal[[#This Row],[LANCE ATUAL]]&lt;=(VLOOKUP(TabelaPrincipal[[#This Row],[ITEM]],TabelaModelo,5,FALSE)*0.5),"Inexequível","")</f>
        <v>Inexequível</v>
      </c>
    </row>
    <row r="105" spans="1:15" ht="15" customHeight="1" x14ac:dyDescent="0.25">
      <c r="A105" s="4">
        <v>180</v>
      </c>
      <c r="B105" s="3" t="str">
        <f>VLOOKUP(TabelaPrincipal[[#This Row],[ITEM]],TabelaModelo,2,FALSE)</f>
        <v>Fentanila, apresentação: sal citrato, dosagem: 0,05 mg/ml, indicação: solução injetável</v>
      </c>
      <c r="C105" s="1" t="str">
        <f>VLOOKUP(TabelaPrincipal[[#This Row],[ITEM]],TabelaModelo,3,FALSE)</f>
        <v>Ampola 10 ml</v>
      </c>
      <c r="D105" s="1">
        <f>VLOOKUP(TabelaPrincipal[[#This Row],[ITEM]],TabelaModelo,4,FALSE)</f>
        <v>500</v>
      </c>
      <c r="E105" s="1" t="s">
        <v>807</v>
      </c>
      <c r="F105" s="23">
        <v>6.9</v>
      </c>
      <c r="G105" s="8">
        <f>IF(_xlfn.ISFORMULA(TabelaPrincipal[[#This Row],[CUSTO + PERCENTUAL DE ENTRADA]]),0.4,(TabelaPrincipal[[#This Row],[CUSTO + PERCENTUAL DE ENTRADA]]-TabelaPrincipal[[#This Row],[VALOR DE CUSTO]])/TabelaPrincipal[[#This Row],[VALOR DE CUSTO]])</f>
        <v>1.0840579710144929</v>
      </c>
      <c r="H105" s="2">
        <v>14.38</v>
      </c>
      <c r="I105" s="5">
        <f t="shared" si="1"/>
        <v>7190</v>
      </c>
      <c r="J105" s="8">
        <v>0</v>
      </c>
      <c r="K105" s="2">
        <f>ROUND(F105+(F105*TabelaPrincipal[[#This Row],[PERCENTUAL MÍNIMO]]), 2)</f>
        <v>6.9</v>
      </c>
      <c r="L105" s="24">
        <v>6.9</v>
      </c>
      <c r="M105" s="25"/>
      <c r="N105" s="23">
        <f>TabelaPrincipal[[#This Row],[LANCE ATUAL]]*TabelaPrincipal[[#This Row],[QTD]]</f>
        <v>3450</v>
      </c>
      <c r="O105" s="41" t="str">
        <f>IF(TabelaPrincipal[[#This Row],[LANCE ATUAL]]&lt;=(VLOOKUP(TabelaPrincipal[[#This Row],[ITEM]],TabelaModelo,5,FALSE)*0.5),"Inexequível","")</f>
        <v>Inexequível</v>
      </c>
    </row>
    <row r="106" spans="1:15" ht="15" customHeight="1" x14ac:dyDescent="0.25">
      <c r="A106" s="4">
        <v>181</v>
      </c>
      <c r="B106" s="3" t="str">
        <f>VLOOKUP(TabelaPrincipal[[#This Row],[ITEM]],TabelaModelo,2,FALSE)</f>
        <v>Ondansetrona 2 mg/mL solução injetável</v>
      </c>
      <c r="C106" s="1" t="str">
        <f>VLOOKUP(TabelaPrincipal[[#This Row],[ITEM]],TabelaModelo,3,FALSE)</f>
        <v>Ampola 2 ml</v>
      </c>
      <c r="D106" s="1">
        <f>VLOOKUP(TabelaPrincipal[[#This Row],[ITEM]],TabelaModelo,4,FALSE)</f>
        <v>200</v>
      </c>
      <c r="E106" s="1" t="s">
        <v>850</v>
      </c>
      <c r="F106" s="23">
        <v>1.4</v>
      </c>
      <c r="G106" s="8">
        <f>IF(_xlfn.ISFORMULA(TabelaPrincipal[[#This Row],[CUSTO + PERCENTUAL DE ENTRADA]]),0.4,(TabelaPrincipal[[#This Row],[CUSTO + PERCENTUAL DE ENTRADA]]-TabelaPrincipal[[#This Row],[VALOR DE CUSTO]])/TabelaPrincipal[[#This Row],[VALOR DE CUSTO]])</f>
        <v>0.60714285714285721</v>
      </c>
      <c r="H106" s="2">
        <v>2.25</v>
      </c>
      <c r="I106" s="5">
        <f t="shared" si="1"/>
        <v>450</v>
      </c>
      <c r="J106" s="8">
        <v>0</v>
      </c>
      <c r="K106" s="2">
        <f>ROUND(F106+(F106*TabelaPrincipal[[#This Row],[PERCENTUAL MÍNIMO]]), 2)</f>
        <v>1.4</v>
      </c>
      <c r="L106" s="24">
        <v>1.4</v>
      </c>
      <c r="M106" s="25">
        <v>1</v>
      </c>
      <c r="N106" s="23">
        <f>TabelaPrincipal[[#This Row],[LANCE ATUAL]]*TabelaPrincipal[[#This Row],[QTD]]</f>
        <v>280</v>
      </c>
      <c r="O106" s="41" t="str">
        <f>IF(TabelaPrincipal[[#This Row],[LANCE ATUAL]]&lt;=(VLOOKUP(TabelaPrincipal[[#This Row],[ITEM]],TabelaModelo,5,FALSE)*0.5),"Inexequível","")</f>
        <v/>
      </c>
    </row>
    <row r="107" spans="1:15" ht="15" customHeight="1" x14ac:dyDescent="0.25">
      <c r="A107" s="4">
        <v>182</v>
      </c>
      <c r="B107" s="3" t="str">
        <f>VLOOKUP(TabelaPrincipal[[#This Row],[ITEM]],TabelaModelo,2,FALSE)</f>
        <v>Ondansetrona 4 mg comprimido</v>
      </c>
      <c r="C107" s="1" t="str">
        <f>VLOOKUP(TabelaPrincipal[[#This Row],[ITEM]],TabelaModelo,3,FALSE)</f>
        <v>Comprimido</v>
      </c>
      <c r="D107" s="1">
        <f>VLOOKUP(TabelaPrincipal[[#This Row],[ITEM]],TabelaModelo,4,FALSE)</f>
        <v>3000</v>
      </c>
      <c r="E107" s="1" t="s">
        <v>803</v>
      </c>
      <c r="F107" s="23">
        <v>0.57999999999999996</v>
      </c>
      <c r="G107" s="8">
        <f>IF(_xlfn.ISFORMULA(TabelaPrincipal[[#This Row],[CUSTO + PERCENTUAL DE ENTRADA]]),0.4,(TabelaPrincipal[[#This Row],[CUSTO + PERCENTUAL DE ENTRADA]]-TabelaPrincipal[[#This Row],[VALOR DE CUSTO]])/TabelaPrincipal[[#This Row],[VALOR DE CUSTO]])</f>
        <v>2.862068965517242</v>
      </c>
      <c r="H107" s="2">
        <v>2.2400000000000002</v>
      </c>
      <c r="I107" s="5">
        <f t="shared" si="1"/>
        <v>6720.0000000000009</v>
      </c>
      <c r="J107" s="8">
        <v>0</v>
      </c>
      <c r="K107" s="2">
        <f>ROUND(F107+(F107*TabelaPrincipal[[#This Row],[PERCENTUAL MÍNIMO]]), 2)</f>
        <v>0.57999999999999996</v>
      </c>
      <c r="L107" s="24">
        <v>0.57999999999999996</v>
      </c>
      <c r="M107" s="25"/>
      <c r="N107" s="23">
        <f>TabelaPrincipal[[#This Row],[LANCE ATUAL]]*TabelaPrincipal[[#This Row],[QTD]]</f>
        <v>1739.9999999999998</v>
      </c>
      <c r="O107" s="41" t="str">
        <f>IF(TabelaPrincipal[[#This Row],[LANCE ATUAL]]&lt;=(VLOOKUP(TabelaPrincipal[[#This Row],[ITEM]],TabelaModelo,5,FALSE)*0.5),"Inexequível","")</f>
        <v>Inexequível</v>
      </c>
    </row>
    <row r="108" spans="1:15" ht="15" customHeight="1" x14ac:dyDescent="0.25">
      <c r="A108" s="4">
        <v>183</v>
      </c>
      <c r="B108" s="3" t="str">
        <f>VLOOKUP(TabelaPrincipal[[#This Row],[ITEM]],TabelaModelo,2,FALSE)</f>
        <v>Terbutalina 0,5mg/mL solução injetável</v>
      </c>
      <c r="C108" s="1" t="str">
        <f>VLOOKUP(TabelaPrincipal[[#This Row],[ITEM]],TabelaModelo,3,FALSE)</f>
        <v>Ampola</v>
      </c>
      <c r="D108" s="1">
        <f>VLOOKUP(TabelaPrincipal[[#This Row],[ITEM]],TabelaModelo,4,FALSE)</f>
        <v>200</v>
      </c>
      <c r="E108" s="1" t="s">
        <v>807</v>
      </c>
      <c r="F108" s="23">
        <v>2.16</v>
      </c>
      <c r="G108" s="8">
        <v>0</v>
      </c>
      <c r="H108" s="2">
        <f>ROUND(F108+(F108*TabelaPrincipal[[#This Row],[PERCENTUAL DE ENTRADA]]), 2)</f>
        <v>2.16</v>
      </c>
      <c r="I108" s="5">
        <f t="shared" si="1"/>
        <v>432</v>
      </c>
      <c r="J108" s="8">
        <f>IF(TabelaPrincipal[[#This Row],[PERCENTUAL DE ENTRADA]]&gt;0,0.15,0)</f>
        <v>0</v>
      </c>
      <c r="K108" s="2">
        <f>ROUND(F108+(F108*TabelaPrincipal[[#This Row],[PERCENTUAL MÍNIMO]]), 2)</f>
        <v>2.16</v>
      </c>
      <c r="L108" s="24">
        <f>IF(TabelaPrincipal[[#This Row],[PERCENTUAL DE ENTRADA]]=0,TabelaPrincipal[[#This Row],[VALOR MÍNIMO]],0)</f>
        <v>2.16</v>
      </c>
      <c r="M108" s="25">
        <v>1</v>
      </c>
      <c r="N108" s="23">
        <f>TabelaPrincipal[[#This Row],[LANCE ATUAL]]*TabelaPrincipal[[#This Row],[QTD]]</f>
        <v>432</v>
      </c>
      <c r="O108" s="41" t="str">
        <f>IF(TabelaPrincipal[[#This Row],[LANCE ATUAL]]&lt;=(VLOOKUP(TabelaPrincipal[[#This Row],[ITEM]],TabelaModelo,5,FALSE)*0.5),"Inexequível","")</f>
        <v/>
      </c>
    </row>
    <row r="109" spans="1:15" ht="15" customHeight="1" x14ac:dyDescent="0.25">
      <c r="A109" s="4">
        <v>184</v>
      </c>
      <c r="B109" s="3" t="str">
        <f>VLOOKUP(TabelaPrincipal[[#This Row],[ITEM]],TabelaModelo,2,FALSE)</f>
        <v>Flumazenil 0,1mg/ml solução Injetável</v>
      </c>
      <c r="C109" s="1" t="str">
        <f>VLOOKUP(TabelaPrincipal[[#This Row],[ITEM]],TabelaModelo,3,FALSE)</f>
        <v>Ampola</v>
      </c>
      <c r="D109" s="1">
        <f>VLOOKUP(TabelaPrincipal[[#This Row],[ITEM]],TabelaModelo,4,FALSE)</f>
        <v>50</v>
      </c>
      <c r="E109" s="1" t="s">
        <v>796</v>
      </c>
      <c r="F109" s="23">
        <v>12.16</v>
      </c>
      <c r="G109" s="8">
        <v>0</v>
      </c>
      <c r="H109" s="2">
        <f>ROUND(F109+(F109*TabelaPrincipal[[#This Row],[PERCENTUAL DE ENTRADA]]), 2)</f>
        <v>12.16</v>
      </c>
      <c r="I109" s="5">
        <f t="shared" si="1"/>
        <v>608</v>
      </c>
      <c r="J109" s="8">
        <f>IF(TabelaPrincipal[[#This Row],[PERCENTUAL DE ENTRADA]]&gt;0,0.15,0)</f>
        <v>0</v>
      </c>
      <c r="K109" s="2">
        <f>ROUND(F109+(F109*TabelaPrincipal[[#This Row],[PERCENTUAL MÍNIMO]]), 2)</f>
        <v>12.16</v>
      </c>
      <c r="L109" s="24">
        <f>IF(TabelaPrincipal[[#This Row],[PERCENTUAL DE ENTRADA]]=0,TabelaPrincipal[[#This Row],[VALOR MÍNIMO]],0)</f>
        <v>12.16</v>
      </c>
      <c r="M109" s="25"/>
      <c r="N109" s="23">
        <f>TabelaPrincipal[[#This Row],[LANCE ATUAL]]*TabelaPrincipal[[#This Row],[QTD]]</f>
        <v>608</v>
      </c>
      <c r="O109" s="41" t="str">
        <f>IF(TabelaPrincipal[[#This Row],[LANCE ATUAL]]&lt;=(VLOOKUP(TabelaPrincipal[[#This Row],[ITEM]],TabelaModelo,5,FALSE)*0.5),"Inexequível","")</f>
        <v/>
      </c>
    </row>
    <row r="110" spans="1:15" ht="15" customHeight="1" x14ac:dyDescent="0.25">
      <c r="A110" s="4">
        <v>185</v>
      </c>
      <c r="B110" s="3" t="str">
        <f>VLOOKUP(TabelaPrincipal[[#This Row],[ITEM]],TabelaModelo,2,FALSE)</f>
        <v>Neostigminametilsulfato, dosagem: 0,5 mg/ml, apresentação: solução injetável</v>
      </c>
      <c r="C110" s="1" t="str">
        <f>VLOOKUP(TabelaPrincipal[[#This Row],[ITEM]],TabelaModelo,3,FALSE)</f>
        <v>Ampola</v>
      </c>
      <c r="D110" s="1">
        <f>VLOOKUP(TabelaPrincipal[[#This Row],[ITEM]],TabelaModelo,4,FALSE)</f>
        <v>100</v>
      </c>
      <c r="E110" s="1" t="s">
        <v>814</v>
      </c>
      <c r="F110" s="23">
        <v>2.27</v>
      </c>
      <c r="G110" s="8">
        <v>0</v>
      </c>
      <c r="H110" s="2">
        <f>ROUND(F110+(F110*TabelaPrincipal[[#This Row],[PERCENTUAL DE ENTRADA]]), 2)</f>
        <v>2.27</v>
      </c>
      <c r="I110" s="5">
        <f t="shared" si="1"/>
        <v>227</v>
      </c>
      <c r="J110" s="8">
        <f>IF(TabelaPrincipal[[#This Row],[PERCENTUAL DE ENTRADA]]&gt;0,0.15,0)</f>
        <v>0</v>
      </c>
      <c r="K110" s="2">
        <f>ROUND(F110+(F110*TabelaPrincipal[[#This Row],[PERCENTUAL MÍNIMO]]), 2)</f>
        <v>2.27</v>
      </c>
      <c r="L110" s="24">
        <f>IF(TabelaPrincipal[[#This Row],[PERCENTUAL DE ENTRADA]]=0,TabelaPrincipal[[#This Row],[VALOR MÍNIMO]],0)</f>
        <v>2.27</v>
      </c>
      <c r="M110" s="25">
        <v>1</v>
      </c>
      <c r="N110" s="23">
        <f>TabelaPrincipal[[#This Row],[LANCE ATUAL]]*TabelaPrincipal[[#This Row],[QTD]]</f>
        <v>227</v>
      </c>
      <c r="O110" s="41" t="str">
        <f>IF(TabelaPrincipal[[#This Row],[LANCE ATUAL]]&lt;=(VLOOKUP(TabelaPrincipal[[#This Row],[ITEM]],TabelaModelo,5,FALSE)*0.5),"Inexequível","")</f>
        <v/>
      </c>
    </row>
    <row r="111" spans="1:15" ht="15" customHeight="1" x14ac:dyDescent="0.25">
      <c r="A111" s="1">
        <v>186</v>
      </c>
      <c r="B111" s="3" t="str">
        <f>VLOOKUP(TabelaPrincipal[[#This Row],[ITEM]],TabelaModelo,2,FALSE)</f>
        <v>Nitroglicerina, dosagem: 5 mg/ml, aplicação: injetável</v>
      </c>
      <c r="C111" s="1" t="str">
        <f>VLOOKUP(TabelaPrincipal[[#This Row],[ITEM]],TabelaModelo,3,FALSE)</f>
        <v>Ampola 5 ml</v>
      </c>
      <c r="D111" s="1">
        <f>VLOOKUP(TabelaPrincipal[[#This Row],[ITEM]],TabelaModelo,4,FALSE)</f>
        <v>50</v>
      </c>
      <c r="E111" s="1" t="s">
        <v>797</v>
      </c>
      <c r="F111" s="23">
        <v>36</v>
      </c>
      <c r="G111" s="8">
        <f>IF(_xlfn.ISFORMULA(TabelaPrincipal[[#This Row],[CUSTO + PERCENTUAL DE ENTRADA]]),0.4,(TabelaPrincipal[[#This Row],[CUSTO + PERCENTUAL DE ENTRADA]]-TabelaPrincipal[[#This Row],[VALOR DE CUSTO]])/TabelaPrincipal[[#This Row],[VALOR DE CUSTO]])</f>
        <v>0.4</v>
      </c>
      <c r="H111" s="2">
        <f>ROUND(F111+(F111*TabelaPrincipal[[#This Row],[PERCENTUAL DE ENTRADA]]), 2)</f>
        <v>50.4</v>
      </c>
      <c r="I111" s="5">
        <f t="shared" si="1"/>
        <v>2520</v>
      </c>
      <c r="J111" s="8">
        <v>0</v>
      </c>
      <c r="K111" s="2">
        <f>ROUND(F111+(F111*TabelaPrincipal[[#This Row],[PERCENTUAL MÍNIMO]]), 2)</f>
        <v>36</v>
      </c>
      <c r="L111" s="24">
        <v>41.91</v>
      </c>
      <c r="M111" s="25">
        <v>1</v>
      </c>
      <c r="N111" s="23">
        <f>TabelaPrincipal[[#This Row],[LANCE ATUAL]]*TabelaPrincipal[[#This Row],[QTD]]</f>
        <v>2095.5</v>
      </c>
      <c r="O111" s="41" t="str">
        <f>IF(TabelaPrincipal[[#This Row],[LANCE ATUAL]]&lt;=(VLOOKUP(TabelaPrincipal[[#This Row],[ITEM]],TabelaModelo,5,FALSE)*0.5),"Inexequível","")</f>
        <v/>
      </c>
    </row>
    <row r="112" spans="1:15" ht="15" customHeight="1" x14ac:dyDescent="0.25">
      <c r="A112" s="4">
        <v>187</v>
      </c>
      <c r="B112" s="3" t="str">
        <f>VLOOKUP(TabelaPrincipal[[#This Row],[ITEM]],TabelaModelo,2,FALSE)</f>
        <v>Nitroprusseto de sódio, concentração: 25 mg/ml, forma farmacêutica: solução injetável</v>
      </c>
      <c r="C112" s="1" t="str">
        <f>VLOOKUP(TabelaPrincipal[[#This Row],[ITEM]],TabelaModelo,3,FALSE)</f>
        <v>Ampola 2 ml</v>
      </c>
      <c r="D112" s="1">
        <f>VLOOKUP(TabelaPrincipal[[#This Row],[ITEM]],TabelaModelo,4,FALSE)</f>
        <v>50</v>
      </c>
      <c r="E112" s="1" t="s">
        <v>850</v>
      </c>
      <c r="F112" s="23">
        <v>15.56</v>
      </c>
      <c r="G112" s="8">
        <v>0</v>
      </c>
      <c r="H112" s="2">
        <f>ROUND(F112+(F112*TabelaPrincipal[[#This Row],[PERCENTUAL DE ENTRADA]]), 2)</f>
        <v>15.56</v>
      </c>
      <c r="I112" s="5">
        <f t="shared" si="1"/>
        <v>778</v>
      </c>
      <c r="J112" s="8">
        <f>IF(TabelaPrincipal[[#This Row],[PERCENTUAL DE ENTRADA]]&gt;0,0.15,0)</f>
        <v>0</v>
      </c>
      <c r="K112" s="2">
        <f>ROUND(F112+(F112*TabelaPrincipal[[#This Row],[PERCENTUAL MÍNIMO]]), 2)</f>
        <v>15.56</v>
      </c>
      <c r="L112" s="24">
        <f>IF(TabelaPrincipal[[#This Row],[PERCENTUAL DE ENTRADA]]=0,TabelaPrincipal[[#This Row],[VALOR MÍNIMO]],0)</f>
        <v>15.56</v>
      </c>
      <c r="M112" s="25">
        <v>1</v>
      </c>
      <c r="N112" s="23">
        <f>TabelaPrincipal[[#This Row],[LANCE ATUAL]]*TabelaPrincipal[[#This Row],[QTD]]</f>
        <v>778</v>
      </c>
      <c r="O112" s="41" t="str">
        <f>IF(TabelaPrincipal[[#This Row],[LANCE ATUAL]]&lt;=(VLOOKUP(TabelaPrincipal[[#This Row],[ITEM]],TabelaModelo,5,FALSE)*0.5),"Inexequível","")</f>
        <v/>
      </c>
    </row>
    <row r="113" spans="1:15" ht="15" customHeight="1" x14ac:dyDescent="0.25">
      <c r="A113" s="4">
        <v>188</v>
      </c>
      <c r="B113" s="3" t="str">
        <f>VLOOKUP(TabelaPrincipal[[#This Row],[ITEM]],TabelaModelo,2,FALSE)</f>
        <v>Bromoprida 10 mg comprimido</v>
      </c>
      <c r="C113" s="1" t="str">
        <f>VLOOKUP(TabelaPrincipal[[#This Row],[ITEM]],TabelaModelo,3,FALSE)</f>
        <v>Comprimido</v>
      </c>
      <c r="D113" s="1">
        <f>VLOOKUP(TabelaPrincipal[[#This Row],[ITEM]],TabelaModelo,4,FALSE)</f>
        <v>2500</v>
      </c>
      <c r="E113" s="1" t="s">
        <v>823</v>
      </c>
      <c r="F113" s="23">
        <v>0.42</v>
      </c>
      <c r="G113" s="8">
        <f>IF(_xlfn.ISFORMULA(TabelaPrincipal[[#This Row],[CUSTO + PERCENTUAL DE ENTRADA]]),0.4,(TabelaPrincipal[[#This Row],[CUSTO + PERCENTUAL DE ENTRADA]]-TabelaPrincipal[[#This Row],[VALOR DE CUSTO]])/TabelaPrincipal[[#This Row],[VALOR DE CUSTO]])</f>
        <v>0.4</v>
      </c>
      <c r="H113" s="2">
        <f>ROUND(F113+(F113*TabelaPrincipal[[#This Row],[PERCENTUAL DE ENTRADA]]), 2)</f>
        <v>0.59</v>
      </c>
      <c r="I113" s="5">
        <f t="shared" si="1"/>
        <v>1475</v>
      </c>
      <c r="J113" s="8">
        <v>0</v>
      </c>
      <c r="K113" s="2">
        <f>ROUND(F113+(F113*TabelaPrincipal[[#This Row],[PERCENTUAL MÍNIMO]]), 2)</f>
        <v>0.42</v>
      </c>
      <c r="L113" s="24">
        <v>0.42</v>
      </c>
      <c r="M113" s="25"/>
      <c r="N113" s="23">
        <f>TabelaPrincipal[[#This Row],[LANCE ATUAL]]*TabelaPrincipal[[#This Row],[QTD]]</f>
        <v>1050</v>
      </c>
      <c r="O113" s="41" t="str">
        <f>IF(TabelaPrincipal[[#This Row],[LANCE ATUAL]]&lt;=(VLOOKUP(TabelaPrincipal[[#This Row],[ITEM]],TabelaModelo,5,FALSE)*0.5),"Inexequível","")</f>
        <v/>
      </c>
    </row>
    <row r="114" spans="1:15" ht="15" customHeight="1" x14ac:dyDescent="0.25">
      <c r="A114" s="4">
        <v>189</v>
      </c>
      <c r="B114" s="3" t="str">
        <f>VLOOKUP(TabelaPrincipal[[#This Row],[ITEM]],TabelaModelo,2,FALSE)</f>
        <v>Bromoprida 5 mg/mL solução injetável</v>
      </c>
      <c r="C114" s="1" t="str">
        <f>VLOOKUP(TabelaPrincipal[[#This Row],[ITEM]],TabelaModelo,3,FALSE)</f>
        <v>Ampola 2 ml</v>
      </c>
      <c r="D114" s="1">
        <f>VLOOKUP(TabelaPrincipal[[#This Row],[ITEM]],TabelaModelo,4,FALSE)</f>
        <v>100</v>
      </c>
      <c r="E114" s="1" t="s">
        <v>807</v>
      </c>
      <c r="F114" s="23">
        <v>1.5</v>
      </c>
      <c r="G114" s="8">
        <f>IF(_xlfn.ISFORMULA(TabelaPrincipal[[#This Row],[CUSTO + PERCENTUAL DE ENTRADA]]),0.4,(TabelaPrincipal[[#This Row],[CUSTO + PERCENTUAL DE ENTRADA]]-TabelaPrincipal[[#This Row],[VALOR DE CUSTO]])/TabelaPrincipal[[#This Row],[VALOR DE CUSTO]])</f>
        <v>0.4</v>
      </c>
      <c r="H114" s="2">
        <f>ROUND(F114+(F114*TabelaPrincipal[[#This Row],[PERCENTUAL DE ENTRADA]]), 2)</f>
        <v>2.1</v>
      </c>
      <c r="I114" s="5">
        <f t="shared" si="1"/>
        <v>210</v>
      </c>
      <c r="J114" s="8">
        <v>0</v>
      </c>
      <c r="K114" s="2">
        <f>ROUND(F114+(F114*TabelaPrincipal[[#This Row],[PERCENTUAL MÍNIMO]]), 2)</f>
        <v>1.5</v>
      </c>
      <c r="L114" s="24">
        <v>1.9</v>
      </c>
      <c r="M114" s="25">
        <v>1</v>
      </c>
      <c r="N114" s="23">
        <f>TabelaPrincipal[[#This Row],[LANCE ATUAL]]*TabelaPrincipal[[#This Row],[QTD]]</f>
        <v>190</v>
      </c>
      <c r="O114" s="41" t="str">
        <f>IF(TabelaPrincipal[[#This Row],[LANCE ATUAL]]&lt;=(VLOOKUP(TabelaPrincipal[[#This Row],[ITEM]],TabelaModelo,5,FALSE)*0.5),"Inexequível","")</f>
        <v/>
      </c>
    </row>
    <row r="115" spans="1:15" ht="15" customHeight="1" x14ac:dyDescent="0.25">
      <c r="A115" s="4">
        <v>190</v>
      </c>
      <c r="B115" s="3" t="str">
        <f>VLOOKUP(TabelaPrincipal[[#This Row],[ITEM]],TabelaModelo,2,FALSE)</f>
        <v>Vitaminas do complexo b, composição básica: b1, b2,b3,b5,b6solução injetável</v>
      </c>
      <c r="C115" s="1" t="str">
        <f>VLOOKUP(TabelaPrincipal[[#This Row],[ITEM]],TabelaModelo,3,FALSE)</f>
        <v>Ampola 2 ml</v>
      </c>
      <c r="D115" s="1">
        <f>VLOOKUP(TabelaPrincipal[[#This Row],[ITEM]],TabelaModelo,4,FALSE)</f>
        <v>2000</v>
      </c>
      <c r="E115" s="1" t="s">
        <v>850</v>
      </c>
      <c r="F115" s="23">
        <v>1.29</v>
      </c>
      <c r="G115" s="8">
        <f>IF(_xlfn.ISFORMULA(TabelaPrincipal[[#This Row],[CUSTO + PERCENTUAL DE ENTRADA]]),0.4,(TabelaPrincipal[[#This Row],[CUSTO + PERCENTUAL DE ENTRADA]]-TabelaPrincipal[[#This Row],[VALOR DE CUSTO]])/TabelaPrincipal[[#This Row],[VALOR DE CUSTO]])</f>
        <v>0.88372093023255827</v>
      </c>
      <c r="H115" s="2">
        <v>2.4300000000000002</v>
      </c>
      <c r="I115" s="5">
        <f t="shared" si="1"/>
        <v>4860</v>
      </c>
      <c r="J115" s="8">
        <v>0</v>
      </c>
      <c r="K115" s="2">
        <f>ROUND(F115+(F115*TabelaPrincipal[[#This Row],[PERCENTUAL MÍNIMO]]), 2)</f>
        <v>1.29</v>
      </c>
      <c r="L115" s="24">
        <v>1.29</v>
      </c>
      <c r="M115" s="25"/>
      <c r="N115" s="23">
        <f>TabelaPrincipal[[#This Row],[LANCE ATUAL]]*TabelaPrincipal[[#This Row],[QTD]]</f>
        <v>2580</v>
      </c>
      <c r="O115" s="41" t="str">
        <f>IF(TabelaPrincipal[[#This Row],[LANCE ATUAL]]&lt;=(VLOOKUP(TabelaPrincipal[[#This Row],[ITEM]],TabelaModelo,5,FALSE)*0.5),"Inexequível","")</f>
        <v/>
      </c>
    </row>
    <row r="116" spans="1:15" ht="15" customHeight="1" x14ac:dyDescent="0.25">
      <c r="A116" s="4">
        <v>191</v>
      </c>
      <c r="B116" s="3" t="str">
        <f>VLOOKUP(TabelaPrincipal[[#This Row],[ITEM]],TabelaModelo,2,FALSE)</f>
        <v>Tobramicina, composição: associada a dexametasona, concentraçao: 3 mg + 1 mg,ml, forma farmaceutica: suspensão oftálmica</v>
      </c>
      <c r="C116" s="1" t="str">
        <f>VLOOKUP(TabelaPrincipal[[#This Row],[ITEM]],TabelaModelo,3,FALSE)</f>
        <v>Frasco 5 ml</v>
      </c>
      <c r="D116" s="1">
        <f>VLOOKUP(TabelaPrincipal[[#This Row],[ITEM]],TabelaModelo,4,FALSE)</f>
        <v>200</v>
      </c>
      <c r="E116" s="1" t="s">
        <v>851</v>
      </c>
      <c r="F116" s="23">
        <v>32.6</v>
      </c>
      <c r="G116" s="8">
        <f>IF(_xlfn.ISFORMULA(TabelaPrincipal[[#This Row],[CUSTO + PERCENTUAL DE ENTRADA]]),0.4,(TabelaPrincipal[[#This Row],[CUSTO + PERCENTUAL DE ENTRADA]]-TabelaPrincipal[[#This Row],[VALOR DE CUSTO]])/TabelaPrincipal[[#This Row],[VALOR DE CUSTO]])</f>
        <v>0.4</v>
      </c>
      <c r="H116" s="2">
        <f>ROUND(F116+(F116*TabelaPrincipal[[#This Row],[PERCENTUAL DE ENTRADA]]), 2)</f>
        <v>45.64</v>
      </c>
      <c r="I116" s="5">
        <f t="shared" si="1"/>
        <v>9128</v>
      </c>
      <c r="J116" s="8">
        <v>0</v>
      </c>
      <c r="K116" s="2">
        <f>ROUND(F116+(F116*TabelaPrincipal[[#This Row],[PERCENTUAL MÍNIMO]]), 2)</f>
        <v>32.6</v>
      </c>
      <c r="L116" s="24">
        <v>32.47</v>
      </c>
      <c r="M116" s="25">
        <v>1</v>
      </c>
      <c r="N116" s="23">
        <f>TabelaPrincipal[[#This Row],[LANCE ATUAL]]*TabelaPrincipal[[#This Row],[QTD]]</f>
        <v>6494</v>
      </c>
      <c r="O116" s="41" t="str">
        <f>IF(TabelaPrincipal[[#This Row],[LANCE ATUAL]]&lt;=(VLOOKUP(TabelaPrincipal[[#This Row],[ITEM]],TabelaModelo,5,FALSE)*0.5),"Inexequível","")</f>
        <v/>
      </c>
    </row>
    <row r="117" spans="1:15" ht="15" customHeight="1" x14ac:dyDescent="0.25">
      <c r="A117" s="4">
        <v>192</v>
      </c>
      <c r="B117" s="3" t="str">
        <f>VLOOKUP(TabelaPrincipal[[#This Row],[ITEM]],TabelaModelo,2,FALSE)</f>
        <v>Hialuronato de sódio, c: 2 mg/ml, forma farmacêutica: solução oftálmica</v>
      </c>
      <c r="C117" s="1" t="str">
        <f>VLOOKUP(TabelaPrincipal[[#This Row],[ITEM]],TabelaModelo,3,FALSE)</f>
        <v>Frasco 10 ml</v>
      </c>
      <c r="D117" s="1">
        <f>VLOOKUP(TabelaPrincipal[[#This Row],[ITEM]],TabelaModelo,4,FALSE)</f>
        <v>200</v>
      </c>
      <c r="E117" s="1" t="s">
        <v>852</v>
      </c>
      <c r="F117" s="23">
        <v>51.65</v>
      </c>
      <c r="G117" s="8">
        <f>IF(_xlfn.ISFORMULA(TabelaPrincipal[[#This Row],[CUSTO + PERCENTUAL DE ENTRADA]]),0.4,(TabelaPrincipal[[#This Row],[CUSTO + PERCENTUAL DE ENTRADA]]-TabelaPrincipal[[#This Row],[VALOR DE CUSTO]])/TabelaPrincipal[[#This Row],[VALOR DE CUSTO]])</f>
        <v>1.7099709583736689</v>
      </c>
      <c r="H117" s="2">
        <v>139.97</v>
      </c>
      <c r="I117" s="5">
        <f t="shared" si="1"/>
        <v>27994</v>
      </c>
      <c r="J117" s="8">
        <v>0</v>
      </c>
      <c r="K117" s="2">
        <f>ROUND(F117+(F117*TabelaPrincipal[[#This Row],[PERCENTUAL MÍNIMO]]), 2)</f>
        <v>51.65</v>
      </c>
      <c r="L117" s="24">
        <v>119</v>
      </c>
      <c r="M117" s="25">
        <v>1</v>
      </c>
      <c r="N117" s="23">
        <f>TabelaPrincipal[[#This Row],[LANCE ATUAL]]*TabelaPrincipal[[#This Row],[QTD]]</f>
        <v>23800</v>
      </c>
      <c r="O117" s="41" t="str">
        <f>IF(TabelaPrincipal[[#This Row],[LANCE ATUAL]]&lt;=(VLOOKUP(TabelaPrincipal[[#This Row],[ITEM]],TabelaModelo,5,FALSE)*0.5),"Inexequível","")</f>
        <v/>
      </c>
    </row>
    <row r="118" spans="1:15" ht="15" customHeight="1" x14ac:dyDescent="0.25">
      <c r="A118" s="4">
        <v>193</v>
      </c>
      <c r="B118" s="3" t="str">
        <f>VLOOKUP(TabelaPrincipal[[#This Row],[ITEM]],TabelaModelo,2,FALSE)</f>
        <v>Hialuronato de sódio, c: 1 mg/ml, forma farmacêutica: solução oftálmica</v>
      </c>
      <c r="C118" s="1" t="str">
        <f>VLOOKUP(TabelaPrincipal[[#This Row],[ITEM]],TabelaModelo,3,FALSE)</f>
        <v>Frasco 10 ml</v>
      </c>
      <c r="D118" s="1">
        <f>VLOOKUP(TabelaPrincipal[[#This Row],[ITEM]],TabelaModelo,4,FALSE)</f>
        <v>200</v>
      </c>
      <c r="E118" s="1" t="s">
        <v>820</v>
      </c>
      <c r="F118" s="23">
        <v>34</v>
      </c>
      <c r="G118" s="8">
        <f>IF(_xlfn.ISFORMULA(TabelaPrincipal[[#This Row],[CUSTO + PERCENTUAL DE ENTRADA]]),0.4,(TabelaPrincipal[[#This Row],[CUSTO + PERCENTUAL DE ENTRADA]]-TabelaPrincipal[[#This Row],[VALOR DE CUSTO]])/TabelaPrincipal[[#This Row],[VALOR DE CUSTO]])</f>
        <v>2.5502941176470588</v>
      </c>
      <c r="H118" s="2">
        <v>120.71</v>
      </c>
      <c r="I118" s="5">
        <f t="shared" si="1"/>
        <v>24142</v>
      </c>
      <c r="J118" s="8">
        <v>0</v>
      </c>
      <c r="K118" s="2">
        <f>ROUND(F118+(F118*TabelaPrincipal[[#This Row],[PERCENTUAL MÍNIMO]]), 2)</f>
        <v>34</v>
      </c>
      <c r="L118" s="24">
        <v>100</v>
      </c>
      <c r="M118" s="25">
        <v>1</v>
      </c>
      <c r="N118" s="23">
        <f>TabelaPrincipal[[#This Row],[LANCE ATUAL]]*TabelaPrincipal[[#This Row],[QTD]]</f>
        <v>20000</v>
      </c>
      <c r="O118" s="41" t="str">
        <f>IF(TabelaPrincipal[[#This Row],[LANCE ATUAL]]&lt;=(VLOOKUP(TabelaPrincipal[[#This Row],[ITEM]],TabelaModelo,5,FALSE)*0.5),"Inexequível","")</f>
        <v/>
      </c>
    </row>
    <row r="119" spans="1:15" ht="15" customHeight="1" x14ac:dyDescent="0.25">
      <c r="A119" s="4">
        <v>194</v>
      </c>
      <c r="B119" s="3" t="str">
        <f>VLOOKUP(TabelaPrincipal[[#This Row],[ITEM]],TabelaModelo,2,FALSE)</f>
        <v>Carmelose sódica, concentração: 5 mg/ml, forma farmacêutica: solução oftálmica</v>
      </c>
      <c r="C119" s="1" t="str">
        <f>VLOOKUP(TabelaPrincipal[[#This Row],[ITEM]],TabelaModelo,3,FALSE)</f>
        <v>Frasco 15 ml</v>
      </c>
      <c r="D119" s="1">
        <f>VLOOKUP(TabelaPrincipal[[#This Row],[ITEM]],TabelaModelo,4,FALSE)</f>
        <v>300</v>
      </c>
      <c r="E119" s="1" t="s">
        <v>812</v>
      </c>
      <c r="F119" s="23">
        <v>24.8</v>
      </c>
      <c r="G119" s="8">
        <f>IF(_xlfn.ISFORMULA(TabelaPrincipal[[#This Row],[CUSTO + PERCENTUAL DE ENTRADA]]),0.4,(TabelaPrincipal[[#This Row],[CUSTO + PERCENTUAL DE ENTRADA]]-TabelaPrincipal[[#This Row],[VALOR DE CUSTO]])/TabelaPrincipal[[#This Row],[VALOR DE CUSTO]])</f>
        <v>0.4</v>
      </c>
      <c r="H119" s="2">
        <f>ROUND(F119+(F119*TabelaPrincipal[[#This Row],[PERCENTUAL DE ENTRADA]]), 2)</f>
        <v>34.72</v>
      </c>
      <c r="I119" s="5">
        <f t="shared" si="1"/>
        <v>10416</v>
      </c>
      <c r="J119" s="8">
        <v>0</v>
      </c>
      <c r="K119" s="2">
        <f>ROUND(F119+(F119*TabelaPrincipal[[#This Row],[PERCENTUAL MÍNIMO]]), 2)</f>
        <v>24.8</v>
      </c>
      <c r="L119" s="24">
        <v>24.8</v>
      </c>
      <c r="M119" s="25"/>
      <c r="N119" s="23">
        <f>TabelaPrincipal[[#This Row],[LANCE ATUAL]]*TabelaPrincipal[[#This Row],[QTD]]</f>
        <v>7440</v>
      </c>
      <c r="O119" s="41" t="str">
        <f>IF(TabelaPrincipal[[#This Row],[LANCE ATUAL]]&lt;=(VLOOKUP(TabelaPrincipal[[#This Row],[ITEM]],TabelaModelo,5,FALSE)*0.5),"Inexequível","")</f>
        <v/>
      </c>
    </row>
    <row r="120" spans="1:15" ht="15" customHeight="1" x14ac:dyDescent="0.25">
      <c r="A120" s="4">
        <v>195</v>
      </c>
      <c r="B120" s="3" t="str">
        <f>VLOOKUP(TabelaPrincipal[[#This Row],[ITEM]],TabelaModelo,2,FALSE)</f>
        <v>Norepinefrina, concentração: 2 mg/ml, forma farmacêutica: solução injetável</v>
      </c>
      <c r="C120" s="1" t="str">
        <f>VLOOKUP(TabelaPrincipal[[#This Row],[ITEM]],TabelaModelo,3,FALSE)</f>
        <v>Ampola 4 ml</v>
      </c>
      <c r="D120" s="1">
        <f>VLOOKUP(TabelaPrincipal[[#This Row],[ITEM]],TabelaModelo,4,FALSE)</f>
        <v>100</v>
      </c>
      <c r="E120" s="1" t="s">
        <v>853</v>
      </c>
      <c r="F120" s="23">
        <v>4.2</v>
      </c>
      <c r="G120" s="8">
        <f>IF(_xlfn.ISFORMULA(TabelaPrincipal[[#This Row],[CUSTO + PERCENTUAL DE ENTRADA]]),0.4,(TabelaPrincipal[[#This Row],[CUSTO + PERCENTUAL DE ENTRADA]]-TabelaPrincipal[[#This Row],[VALOR DE CUSTO]])/TabelaPrincipal[[#This Row],[VALOR DE CUSTO]])</f>
        <v>1.180952380952381</v>
      </c>
      <c r="H120" s="2">
        <v>9.16</v>
      </c>
      <c r="I120" s="5">
        <f t="shared" si="1"/>
        <v>916</v>
      </c>
      <c r="J120" s="8">
        <v>0</v>
      </c>
      <c r="K120" s="2">
        <f>ROUND(F120+(F120*TabelaPrincipal[[#This Row],[PERCENTUAL MÍNIMO]]), 2)</f>
        <v>4.2</v>
      </c>
      <c r="L120" s="24">
        <v>4.4000000000000004</v>
      </c>
      <c r="M120" s="25"/>
      <c r="N120" s="23">
        <f>TabelaPrincipal[[#This Row],[LANCE ATUAL]]*TabelaPrincipal[[#This Row],[QTD]]</f>
        <v>440.00000000000006</v>
      </c>
      <c r="O120" s="41" t="str">
        <f>IF(TabelaPrincipal[[#This Row],[LANCE ATUAL]]&lt;=(VLOOKUP(TabelaPrincipal[[#This Row],[ITEM]],TabelaModelo,5,FALSE)*0.5),"Inexequível","")</f>
        <v>Inexequível</v>
      </c>
    </row>
    <row r="121" spans="1:15" ht="15" customHeight="1" x14ac:dyDescent="0.25">
      <c r="A121" s="4">
        <v>196</v>
      </c>
      <c r="B121" s="3" t="str">
        <f>VLOOKUP(TabelaPrincipal[[#This Row],[ITEM]],TabelaModelo,2,FALSE)</f>
        <v>Salicilato de metila, composição: associada à cânfora, mentol, e ess. deterebentina, concentração: 0,0333 ml + 0,0333 g + 0,0083 g + 0,0833 ml,ml, forma farmacêutica: solução tópica, embalagem: frasco aerossol</v>
      </c>
      <c r="C121" s="1" t="str">
        <f>VLOOKUP(TabelaPrincipal[[#This Row],[ITEM]],TabelaModelo,3,FALSE)</f>
        <v>Frasco 120 ml</v>
      </c>
      <c r="D121" s="1">
        <f>VLOOKUP(TabelaPrincipal[[#This Row],[ITEM]],TabelaModelo,4,FALSE)</f>
        <v>2000</v>
      </c>
      <c r="E121" s="1" t="s">
        <v>854</v>
      </c>
      <c r="F121" s="23">
        <v>14.9</v>
      </c>
      <c r="G121" s="8">
        <f>IF(_xlfn.ISFORMULA(TabelaPrincipal[[#This Row],[CUSTO + PERCENTUAL DE ENTRADA]]),0.4,(TabelaPrincipal[[#This Row],[CUSTO + PERCENTUAL DE ENTRADA]]-TabelaPrincipal[[#This Row],[VALOR DE CUSTO]])/TabelaPrincipal[[#This Row],[VALOR DE CUSTO]])</f>
        <v>0.4</v>
      </c>
      <c r="H121" s="2">
        <f>ROUND(F121+(F121*TabelaPrincipal[[#This Row],[PERCENTUAL DE ENTRADA]]), 2)</f>
        <v>20.86</v>
      </c>
      <c r="I121" s="5">
        <f t="shared" si="1"/>
        <v>41720</v>
      </c>
      <c r="J121" s="8">
        <v>0</v>
      </c>
      <c r="K121" s="2">
        <f>ROUND(F121+(F121*TabelaPrincipal[[#This Row],[PERCENTUAL MÍNIMO]]), 2)</f>
        <v>14.9</v>
      </c>
      <c r="L121" s="24">
        <v>14.9</v>
      </c>
      <c r="M121" s="25"/>
      <c r="N121" s="23">
        <f>TabelaPrincipal[[#This Row],[LANCE ATUAL]]*TabelaPrincipal[[#This Row],[QTD]]</f>
        <v>29800</v>
      </c>
      <c r="O121" s="41" t="str">
        <f>IF(TabelaPrincipal[[#This Row],[LANCE ATUAL]]&lt;=(VLOOKUP(TabelaPrincipal[[#This Row],[ITEM]],TabelaModelo,5,FALSE)*0.5),"Inexequível","")</f>
        <v/>
      </c>
    </row>
    <row r="122" spans="1:15" ht="15" customHeight="1" x14ac:dyDescent="0.25">
      <c r="A122" s="4">
        <v>197</v>
      </c>
      <c r="B122" s="3" t="str">
        <f>VLOOKUP(TabelaPrincipal[[#This Row],[ITEM]],TabelaModelo,2,FALSE)</f>
        <v>Salicilato de metila, composição: associado à ess. terebentina, cânfora e mentol, concentração: 0,02 ml + 0,05 ml + 30 mg + 5 mg,g, forma farmacêutica: pomada</v>
      </c>
      <c r="C122" s="1" t="str">
        <f>VLOOKUP(TabelaPrincipal[[#This Row],[ITEM]],TabelaModelo,3,FALSE)</f>
        <v>Bisnaga 30 g</v>
      </c>
      <c r="D122" s="1">
        <f>VLOOKUP(TabelaPrincipal[[#This Row],[ITEM]],TabelaModelo,4,FALSE)</f>
        <v>2000</v>
      </c>
      <c r="E122" s="1" t="s">
        <v>854</v>
      </c>
      <c r="F122" s="23">
        <v>6.4</v>
      </c>
      <c r="G122" s="8">
        <f>IF(_xlfn.ISFORMULA(TabelaPrincipal[[#This Row],[CUSTO + PERCENTUAL DE ENTRADA]]),0.4,(TabelaPrincipal[[#This Row],[CUSTO + PERCENTUAL DE ENTRADA]]-TabelaPrincipal[[#This Row],[VALOR DE CUSTO]])/TabelaPrincipal[[#This Row],[VALOR DE CUSTO]])</f>
        <v>0.5078125</v>
      </c>
      <c r="H122" s="2">
        <v>9.65</v>
      </c>
      <c r="I122" s="5">
        <f t="shared" si="1"/>
        <v>19300</v>
      </c>
      <c r="J122" s="8">
        <v>0</v>
      </c>
      <c r="K122" s="2">
        <f>ROUND(F122+(F122*TabelaPrincipal[[#This Row],[PERCENTUAL MÍNIMO]]), 2)</f>
        <v>6.4</v>
      </c>
      <c r="L122" s="24">
        <v>6.65</v>
      </c>
      <c r="M122" s="25">
        <v>1</v>
      </c>
      <c r="N122" s="23">
        <f>TabelaPrincipal[[#This Row],[LANCE ATUAL]]*TabelaPrincipal[[#This Row],[QTD]]</f>
        <v>13300</v>
      </c>
      <c r="O122" s="41" t="str">
        <f>IF(TabelaPrincipal[[#This Row],[LANCE ATUAL]]&lt;=(VLOOKUP(TabelaPrincipal[[#This Row],[ITEM]],TabelaModelo,5,FALSE)*0.5),"Inexequível","")</f>
        <v/>
      </c>
    </row>
    <row r="123" spans="1:15" ht="15" customHeight="1" x14ac:dyDescent="0.25">
      <c r="A123" s="4">
        <v>198</v>
      </c>
      <c r="B123" s="3" t="str">
        <f>VLOOKUP(TabelaPrincipal[[#This Row],[ITEM]],TabelaModelo,2,FALSE)</f>
        <v>Nimesulida 100 mg comprimido</v>
      </c>
      <c r="C123" s="1" t="str">
        <f>VLOOKUP(TabelaPrincipal[[#This Row],[ITEM]],TabelaModelo,3,FALSE)</f>
        <v>Comprimido</v>
      </c>
      <c r="D123" s="1">
        <f>VLOOKUP(TabelaPrincipal[[#This Row],[ITEM]],TabelaModelo,4,FALSE)</f>
        <v>12000</v>
      </c>
      <c r="E123" s="1" t="s">
        <v>820</v>
      </c>
      <c r="F123" s="23">
        <v>0.14000000000000001</v>
      </c>
      <c r="G123" s="8">
        <f>IF(_xlfn.ISFORMULA(TabelaPrincipal[[#This Row],[CUSTO + PERCENTUAL DE ENTRADA]]),0.4,(TabelaPrincipal[[#This Row],[CUSTO + PERCENTUAL DE ENTRADA]]-TabelaPrincipal[[#This Row],[VALOR DE CUSTO]])/TabelaPrincipal[[#This Row],[VALOR DE CUSTO]])</f>
        <v>0.4</v>
      </c>
      <c r="H123" s="2">
        <f>ROUND(F123+(F123*TabelaPrincipal[[#This Row],[PERCENTUAL DE ENTRADA]]), 2)</f>
        <v>0.2</v>
      </c>
      <c r="I123" s="5">
        <f t="shared" si="1"/>
        <v>2400</v>
      </c>
      <c r="J123" s="8">
        <v>0</v>
      </c>
      <c r="K123" s="2">
        <f>ROUND(F123+(F123*TabelaPrincipal[[#This Row],[PERCENTUAL MÍNIMO]]), 2)</f>
        <v>0.14000000000000001</v>
      </c>
      <c r="L123" s="24">
        <v>0.14000000000000001</v>
      </c>
      <c r="M123" s="25"/>
      <c r="N123" s="23">
        <f>TabelaPrincipal[[#This Row],[LANCE ATUAL]]*TabelaPrincipal[[#This Row],[QTD]]</f>
        <v>1680.0000000000002</v>
      </c>
      <c r="O123" s="41" t="str">
        <f>IF(TabelaPrincipal[[#This Row],[LANCE ATUAL]]&lt;=(VLOOKUP(TabelaPrincipal[[#This Row],[ITEM]],TabelaModelo,5,FALSE)*0.5),"Inexequível","")</f>
        <v/>
      </c>
    </row>
    <row r="124" spans="1:15" ht="15" customHeight="1" x14ac:dyDescent="0.25">
      <c r="A124" s="4">
        <v>199</v>
      </c>
      <c r="B124" s="3" t="str">
        <f>VLOOKUP(TabelaPrincipal[[#This Row],[ITEM]],TabelaModelo,2,FALSE)</f>
        <v>Triancinolona, composição: acetonida, concentração: 1 mg/g, forma farmacêutica: pasta oral</v>
      </c>
      <c r="C124" s="1" t="str">
        <f>VLOOKUP(TabelaPrincipal[[#This Row],[ITEM]],TabelaModelo,3,FALSE)</f>
        <v>Bisnaga 10 g</v>
      </c>
      <c r="D124" s="1">
        <f>VLOOKUP(TabelaPrincipal[[#This Row],[ITEM]],TabelaModelo,4,FALSE)</f>
        <v>1000</v>
      </c>
      <c r="E124" s="1" t="s">
        <v>801</v>
      </c>
      <c r="F124" s="23">
        <v>4.7</v>
      </c>
      <c r="G124" s="8">
        <f>IF(_xlfn.ISFORMULA(TabelaPrincipal[[#This Row],[CUSTO + PERCENTUAL DE ENTRADA]]),0.4,(TabelaPrincipal[[#This Row],[CUSTO + PERCENTUAL DE ENTRADA]]-TabelaPrincipal[[#This Row],[VALOR DE CUSTO]])/TabelaPrincipal[[#This Row],[VALOR DE CUSTO]])</f>
        <v>0.65531914893617016</v>
      </c>
      <c r="H124" s="2">
        <v>7.78</v>
      </c>
      <c r="I124" s="5">
        <f t="shared" si="1"/>
        <v>7780</v>
      </c>
      <c r="J124" s="8">
        <v>0</v>
      </c>
      <c r="K124" s="2">
        <f>ROUND(F124+(F124*TabelaPrincipal[[#This Row],[PERCENTUAL MÍNIMO]]), 2)</f>
        <v>4.7</v>
      </c>
      <c r="L124" s="24">
        <v>4.9000000000000004</v>
      </c>
      <c r="M124" s="25">
        <v>1</v>
      </c>
      <c r="N124" s="23">
        <f>TabelaPrincipal[[#This Row],[LANCE ATUAL]]*TabelaPrincipal[[#This Row],[QTD]]</f>
        <v>4900</v>
      </c>
      <c r="O124" s="41" t="str">
        <f>IF(TabelaPrincipal[[#This Row],[LANCE ATUAL]]&lt;=(VLOOKUP(TabelaPrincipal[[#This Row],[ITEM]],TabelaModelo,5,FALSE)*0.5),"Inexequível","")</f>
        <v/>
      </c>
    </row>
    <row r="125" spans="1:15" ht="15" customHeight="1" x14ac:dyDescent="0.25">
      <c r="A125" s="4">
        <v>200</v>
      </c>
      <c r="B125" s="3" t="str">
        <f>VLOOKUP(TabelaPrincipal[[#This Row],[ITEM]],TabelaModelo,2,FALSE)</f>
        <v>Betametasona, composição: dipropionato, associada ao cetoconazol e neomicina, concentração: 0,5 mg,g + 20 mg,g + 1,5 mg,g, forma farmaceutica: creme</v>
      </c>
      <c r="C125" s="1" t="str">
        <f>VLOOKUP(TabelaPrincipal[[#This Row],[ITEM]],TabelaModelo,3,FALSE)</f>
        <v>Bisnaga 30 g</v>
      </c>
      <c r="D125" s="1">
        <f>VLOOKUP(TabelaPrincipal[[#This Row],[ITEM]],TabelaModelo,4,FALSE)</f>
        <v>1000</v>
      </c>
      <c r="E125" s="1" t="s">
        <v>803</v>
      </c>
      <c r="F125" s="23">
        <v>6.05</v>
      </c>
      <c r="G125" s="8">
        <f>IF(_xlfn.ISFORMULA(TabelaPrincipal[[#This Row],[CUSTO + PERCENTUAL DE ENTRADA]]),0.4,(TabelaPrincipal[[#This Row],[CUSTO + PERCENTUAL DE ENTRADA]]-TabelaPrincipal[[#This Row],[VALOR DE CUSTO]])/TabelaPrincipal[[#This Row],[VALOR DE CUSTO]])</f>
        <v>0.77024793388429769</v>
      </c>
      <c r="H125" s="2">
        <v>10.71</v>
      </c>
      <c r="I125" s="5">
        <f t="shared" si="1"/>
        <v>10710</v>
      </c>
      <c r="J125" s="8">
        <v>0</v>
      </c>
      <c r="K125" s="2">
        <f>ROUND(F125+(F125*TabelaPrincipal[[#This Row],[PERCENTUAL MÍNIMO]]), 2)</f>
        <v>6.05</v>
      </c>
      <c r="L125" s="24">
        <v>6.05</v>
      </c>
      <c r="M125" s="25"/>
      <c r="N125" s="23">
        <f>TabelaPrincipal[[#This Row],[LANCE ATUAL]]*TabelaPrincipal[[#This Row],[QTD]]</f>
        <v>6050</v>
      </c>
      <c r="O125" s="41" t="str">
        <f>IF(TabelaPrincipal[[#This Row],[LANCE ATUAL]]&lt;=(VLOOKUP(TabelaPrincipal[[#This Row],[ITEM]],TabelaModelo,5,FALSE)*0.5),"Inexequível","")</f>
        <v/>
      </c>
    </row>
    <row r="126" spans="1:15" ht="15" customHeight="1" x14ac:dyDescent="0.25">
      <c r="A126" s="4">
        <v>201</v>
      </c>
      <c r="B126" s="3" t="str">
        <f>VLOOKUP(TabelaPrincipal[[#This Row],[ITEM]],TabelaModelo,2,FALSE)</f>
        <v>Aripiprazol 1 mg/mL suspensão oral</v>
      </c>
      <c r="C126" s="1" t="str">
        <f>VLOOKUP(TabelaPrincipal[[#This Row],[ITEM]],TabelaModelo,3,FALSE)</f>
        <v>Frasco 150 mL</v>
      </c>
      <c r="D126" s="1">
        <f>VLOOKUP(TabelaPrincipal[[#This Row],[ITEM]],TabelaModelo,4,FALSE)</f>
        <v>60</v>
      </c>
      <c r="E126" s="1" t="s">
        <v>855</v>
      </c>
      <c r="F126" s="23">
        <v>168.2</v>
      </c>
      <c r="G126" s="8">
        <f>IF(_xlfn.ISFORMULA(TabelaPrincipal[[#This Row],[CUSTO + PERCENTUAL DE ENTRADA]]),0.4,(TabelaPrincipal[[#This Row],[CUSTO + PERCENTUAL DE ENTRADA]]-TabelaPrincipal[[#This Row],[VALOR DE CUSTO]])/TabelaPrincipal[[#This Row],[VALOR DE CUSTO]])</f>
        <v>0.4</v>
      </c>
      <c r="H126" s="2">
        <f>ROUND(F126+(F126*TabelaPrincipal[[#This Row],[PERCENTUAL DE ENTRADA]]), 2)</f>
        <v>235.48</v>
      </c>
      <c r="I126" s="5">
        <f t="shared" si="1"/>
        <v>14128.8</v>
      </c>
      <c r="J126" s="8">
        <v>0</v>
      </c>
      <c r="K126" s="2">
        <f>ROUND(F126+(F126*TabelaPrincipal[[#This Row],[PERCENTUAL MÍNIMO]]), 2)</f>
        <v>168.2</v>
      </c>
      <c r="L126" s="24">
        <v>145.01</v>
      </c>
      <c r="M126" s="25">
        <v>1</v>
      </c>
      <c r="N126" s="23">
        <f>TabelaPrincipal[[#This Row],[LANCE ATUAL]]*TabelaPrincipal[[#This Row],[QTD]]</f>
        <v>8700.5999999999985</v>
      </c>
      <c r="O126" s="41" t="str">
        <f>IF(TabelaPrincipal[[#This Row],[LANCE ATUAL]]&lt;=(VLOOKUP(TabelaPrincipal[[#This Row],[ITEM]],TabelaModelo,5,FALSE)*0.5),"Inexequível","")</f>
        <v/>
      </c>
    </row>
    <row r="127" spans="1:15" ht="15" customHeight="1" x14ac:dyDescent="0.25">
      <c r="A127" s="4">
        <v>202</v>
      </c>
      <c r="B127" s="3" t="str">
        <f>VLOOKUP(TabelaPrincipal[[#This Row],[ITEM]],TabelaModelo,2,FALSE)</f>
        <v>Alfaepoetina seringa preenchida de 0,4 mL com 4.000 UI/0,4 mL (10.000 UI/mL)</v>
      </c>
      <c r="C127" s="1" t="str">
        <f>VLOOKUP(TabelaPrincipal[[#This Row],[ITEM]],TabelaModelo,3,FALSE)</f>
        <v>Seringa preenchida 0,4 mL</v>
      </c>
      <c r="D127" s="1">
        <f>VLOOKUP(TabelaPrincipal[[#This Row],[ITEM]],TabelaModelo,4,FALSE)</f>
        <v>480</v>
      </c>
      <c r="E127" s="1" t="s">
        <v>856</v>
      </c>
      <c r="F127" s="23">
        <v>158.66999999999999</v>
      </c>
      <c r="G127" s="8">
        <v>0</v>
      </c>
      <c r="H127" s="2">
        <f>ROUND(F127+(F127*TabelaPrincipal[[#This Row],[PERCENTUAL DE ENTRADA]]), 2)</f>
        <v>158.66999999999999</v>
      </c>
      <c r="I127" s="5">
        <f t="shared" si="1"/>
        <v>76161.599999999991</v>
      </c>
      <c r="J127" s="8">
        <f>IF(TabelaPrincipal[[#This Row],[PERCENTUAL DE ENTRADA]]&gt;0,0.15,0)</f>
        <v>0</v>
      </c>
      <c r="K127" s="2">
        <f>ROUND(F127+(F127*TabelaPrincipal[[#This Row],[PERCENTUAL MÍNIMO]]), 2)</f>
        <v>158.66999999999999</v>
      </c>
      <c r="L127" s="24">
        <v>155.66999999999999</v>
      </c>
      <c r="M127" s="25"/>
      <c r="N127" s="23">
        <f>TabelaPrincipal[[#This Row],[LANCE ATUAL]]*TabelaPrincipal[[#This Row],[QTD]]</f>
        <v>74721.599999999991</v>
      </c>
      <c r="O127" s="41" t="str">
        <f>IF(TabelaPrincipal[[#This Row],[LANCE ATUAL]]&lt;=(VLOOKUP(TabelaPrincipal[[#This Row],[ITEM]],TabelaModelo,5,FALSE)*0.5),"Inexequível","")</f>
        <v/>
      </c>
    </row>
    <row r="128" spans="1:15" ht="15" customHeight="1" x14ac:dyDescent="0.25">
      <c r="A128" s="4">
        <v>206</v>
      </c>
      <c r="B128" s="3" t="str">
        <f>VLOOKUP(TabelaPrincipal[[#This Row],[ITEM]],TabelaModelo,2,FALSE)</f>
        <v>Dipirona sódica 500 mg/mL solução oral, frasco 10 mL</v>
      </c>
      <c r="C128" s="1" t="str">
        <f>VLOOKUP(TabelaPrincipal[[#This Row],[ITEM]],TabelaModelo,3,FALSE)</f>
        <v>Frasco 10 mL</v>
      </c>
      <c r="D128" s="1">
        <f>VLOOKUP(TabelaPrincipal[[#This Row],[ITEM]],TabelaModelo,4,FALSE)</f>
        <v>100</v>
      </c>
      <c r="E128" s="1" t="s">
        <v>857</v>
      </c>
      <c r="F128" s="23">
        <v>2</v>
      </c>
      <c r="G128" s="8">
        <f>IF(_xlfn.ISFORMULA(TabelaPrincipal[[#This Row],[CUSTO + PERCENTUAL DE ENTRADA]]),0.4,(TabelaPrincipal[[#This Row],[CUSTO + PERCENTUAL DE ENTRADA]]-TabelaPrincipal[[#This Row],[VALOR DE CUSTO]])/TabelaPrincipal[[#This Row],[VALOR DE CUSTO]])</f>
        <v>2.0249999999999999</v>
      </c>
      <c r="H128" s="2">
        <v>6.05</v>
      </c>
      <c r="I128" s="5">
        <f t="shared" si="1"/>
        <v>605</v>
      </c>
      <c r="J128" s="8">
        <v>0</v>
      </c>
      <c r="K128" s="2">
        <f>ROUND(F128+(F128*TabelaPrincipal[[#This Row],[PERCENTUAL MÍNIMO]]), 2)</f>
        <v>2</v>
      </c>
      <c r="L128" s="24">
        <v>2</v>
      </c>
      <c r="M128" s="25"/>
      <c r="N128" s="23">
        <f>TabelaPrincipal[[#This Row],[LANCE ATUAL]]*TabelaPrincipal[[#This Row],[QTD]]</f>
        <v>200</v>
      </c>
      <c r="O128" s="41" t="str">
        <f>IF(TabelaPrincipal[[#This Row],[LANCE ATUAL]]&lt;=(VLOOKUP(TabelaPrincipal[[#This Row],[ITEM]],TabelaModelo,5,FALSE)*0.5),"Inexequível","")</f>
        <v>Inexequível</v>
      </c>
    </row>
    <row r="129" spans="1:15" ht="15" customHeight="1" x14ac:dyDescent="0.25">
      <c r="A129" s="4">
        <v>207</v>
      </c>
      <c r="B129" s="3" t="str">
        <f>VLOOKUP(TabelaPrincipal[[#This Row],[ITEM]],TabelaModelo,2,FALSE)</f>
        <v>Omeprazol 40 mg pó para solução injetável</v>
      </c>
      <c r="C129" s="1" t="str">
        <f>VLOOKUP(TabelaPrincipal[[#This Row],[ITEM]],TabelaModelo,3,FALSE)</f>
        <v>Frasco- ampola</v>
      </c>
      <c r="D129" s="1">
        <f>VLOOKUP(TabelaPrincipal[[#This Row],[ITEM]],TabelaModelo,4,FALSE)</f>
        <v>150</v>
      </c>
      <c r="E129" s="1" t="s">
        <v>795</v>
      </c>
      <c r="F129" s="23">
        <v>6.99</v>
      </c>
      <c r="G129" s="8">
        <f>IF(_xlfn.ISFORMULA(TabelaPrincipal[[#This Row],[CUSTO + PERCENTUAL DE ENTRADA]]),0.4,(TabelaPrincipal[[#This Row],[CUSTO + PERCENTUAL DE ENTRADA]]-TabelaPrincipal[[#This Row],[VALOR DE CUSTO]])/TabelaPrincipal[[#This Row],[VALOR DE CUSTO]])</f>
        <v>5.6251788268955654</v>
      </c>
      <c r="H129" s="2">
        <v>46.31</v>
      </c>
      <c r="I129" s="5">
        <f t="shared" si="1"/>
        <v>6946.5</v>
      </c>
      <c r="J129" s="8">
        <v>0</v>
      </c>
      <c r="K129" s="2">
        <f>ROUND(F129+(F129*TabelaPrincipal[[#This Row],[PERCENTUAL MÍNIMO]]), 2)</f>
        <v>6.99</v>
      </c>
      <c r="L129" s="24">
        <v>6.99</v>
      </c>
      <c r="M129" s="25">
        <v>1</v>
      </c>
      <c r="N129" s="23">
        <f>TabelaPrincipal[[#This Row],[LANCE ATUAL]]*TabelaPrincipal[[#This Row],[QTD]]</f>
        <v>1048.5</v>
      </c>
      <c r="O129" s="41" t="str">
        <f>IF(TabelaPrincipal[[#This Row],[LANCE ATUAL]]&lt;=(VLOOKUP(TabelaPrincipal[[#This Row],[ITEM]],TabelaModelo,5,FALSE)*0.5),"Inexequível","")</f>
        <v>Inexequível</v>
      </c>
    </row>
    <row r="130" spans="1:15" ht="15" customHeight="1" x14ac:dyDescent="0.25">
      <c r="A130" s="4">
        <v>208</v>
      </c>
      <c r="B130" s="3" t="str">
        <f>VLOOKUP(TabelaPrincipal[[#This Row],[ITEM]],TabelaModelo,2,FALSE)</f>
        <v>Cetoconazol 20 mg/g (2%) creme</v>
      </c>
      <c r="C130" s="1" t="str">
        <f>VLOOKUP(TabelaPrincipal[[#This Row],[ITEM]],TabelaModelo,3,FALSE)</f>
        <v>Bisnaga 30g</v>
      </c>
      <c r="D130" s="1">
        <f>VLOOKUP(TabelaPrincipal[[#This Row],[ITEM]],TabelaModelo,4,FALSE)</f>
        <v>320</v>
      </c>
      <c r="E130" s="1" t="s">
        <v>819</v>
      </c>
      <c r="F130" s="23">
        <v>5.8</v>
      </c>
      <c r="G130" s="8">
        <f>IF(_xlfn.ISFORMULA(TabelaPrincipal[[#This Row],[CUSTO + PERCENTUAL DE ENTRADA]]),0.4,(TabelaPrincipal[[#This Row],[CUSTO + PERCENTUAL DE ENTRADA]]-TabelaPrincipal[[#This Row],[VALOR DE CUSTO]])/TabelaPrincipal[[#This Row],[VALOR DE CUSTO]])</f>
        <v>0.4</v>
      </c>
      <c r="H130" s="2">
        <f>ROUND(F130+(F130*TabelaPrincipal[[#This Row],[PERCENTUAL DE ENTRADA]]), 2)</f>
        <v>8.1199999999999992</v>
      </c>
      <c r="I130" s="5">
        <f t="shared" ref="I130:I193" si="2">D130*H130</f>
        <v>2598.3999999999996</v>
      </c>
      <c r="J130" s="8">
        <v>0</v>
      </c>
      <c r="K130" s="2">
        <f>ROUND(F130+(F130*TabelaPrincipal[[#This Row],[PERCENTUAL MÍNIMO]]), 2)</f>
        <v>5.8</v>
      </c>
      <c r="L130" s="24">
        <v>5.8</v>
      </c>
      <c r="M130" s="25"/>
      <c r="N130" s="23">
        <f>TabelaPrincipal[[#This Row],[LANCE ATUAL]]*TabelaPrincipal[[#This Row],[QTD]]</f>
        <v>1856</v>
      </c>
      <c r="O130" s="41" t="str">
        <f>IF(TabelaPrincipal[[#This Row],[LANCE ATUAL]]&lt;=(VLOOKUP(TabelaPrincipal[[#This Row],[ITEM]],TabelaModelo,5,FALSE)*0.5),"Inexequível","")</f>
        <v/>
      </c>
    </row>
    <row r="131" spans="1:15" ht="15" customHeight="1" x14ac:dyDescent="0.25">
      <c r="A131" s="4">
        <v>209</v>
      </c>
      <c r="B131" s="3" t="str">
        <f>VLOOKUP(TabelaPrincipal[[#This Row],[ITEM]],TabelaModelo,2,FALSE)</f>
        <v>Colagenase 0,6 UI/g creme</v>
      </c>
      <c r="C131" s="1" t="str">
        <f>VLOOKUP(TabelaPrincipal[[#This Row],[ITEM]],TabelaModelo,3,FALSE)</f>
        <v>Bisnaga 30g</v>
      </c>
      <c r="D131" s="1">
        <f>VLOOKUP(TabelaPrincipal[[#This Row],[ITEM]],TabelaModelo,4,FALSE)</f>
        <v>220</v>
      </c>
      <c r="E131" s="1" t="s">
        <v>797</v>
      </c>
      <c r="F131" s="23">
        <v>22</v>
      </c>
      <c r="G131" s="8">
        <f>IF(_xlfn.ISFORMULA(TabelaPrincipal[[#This Row],[CUSTO + PERCENTUAL DE ENTRADA]]),0.4,(TabelaPrincipal[[#This Row],[CUSTO + PERCENTUAL DE ENTRADA]]-TabelaPrincipal[[#This Row],[VALOR DE CUSTO]])/TabelaPrincipal[[#This Row],[VALOR DE CUSTO]])</f>
        <v>0.4</v>
      </c>
      <c r="H131" s="2">
        <f>ROUND(F131+(F131*TabelaPrincipal[[#This Row],[PERCENTUAL DE ENTRADA]]), 2)</f>
        <v>30.8</v>
      </c>
      <c r="I131" s="5">
        <f t="shared" si="2"/>
        <v>6776</v>
      </c>
      <c r="J131" s="8">
        <v>0</v>
      </c>
      <c r="K131" s="2">
        <f>ROUND(F131+(F131*TabelaPrincipal[[#This Row],[PERCENTUAL MÍNIMO]]), 2)</f>
        <v>22</v>
      </c>
      <c r="L131" s="24">
        <v>22</v>
      </c>
      <c r="M131" s="25"/>
      <c r="N131" s="23">
        <f>TabelaPrincipal[[#This Row],[LANCE ATUAL]]*TabelaPrincipal[[#This Row],[QTD]]</f>
        <v>4840</v>
      </c>
      <c r="O131" s="41" t="str">
        <f>IF(TabelaPrincipal[[#This Row],[LANCE ATUAL]]&lt;=(VLOOKUP(TabelaPrincipal[[#This Row],[ITEM]],TabelaModelo,5,FALSE)*0.5),"Inexequível","")</f>
        <v/>
      </c>
    </row>
    <row r="132" spans="1:15" ht="15" customHeight="1" x14ac:dyDescent="0.25">
      <c r="A132" s="4">
        <v>210</v>
      </c>
      <c r="B132" s="3" t="str">
        <f>VLOOKUP(TabelaPrincipal[[#This Row],[ITEM]],TabelaModelo,2,FALSE)</f>
        <v>Pregabalina 150 mg</v>
      </c>
      <c r="C132" s="1" t="str">
        <f>VLOOKUP(TabelaPrincipal[[#This Row],[ITEM]],TabelaModelo,3,FALSE)</f>
        <v>Cápsula</v>
      </c>
      <c r="D132" s="1">
        <f>VLOOKUP(TabelaPrincipal[[#This Row],[ITEM]],TabelaModelo,4,FALSE)</f>
        <v>1800</v>
      </c>
      <c r="E132" s="1" t="s">
        <v>820</v>
      </c>
      <c r="F132" s="23">
        <v>0.5</v>
      </c>
      <c r="G132" s="8">
        <f>IF(_xlfn.ISFORMULA(TabelaPrincipal[[#This Row],[CUSTO + PERCENTUAL DE ENTRADA]]),0.4,(TabelaPrincipal[[#This Row],[CUSTO + PERCENTUAL DE ENTRADA]]-TabelaPrincipal[[#This Row],[VALOR DE CUSTO]])/TabelaPrincipal[[#This Row],[VALOR DE CUSTO]])</f>
        <v>5.0999999999999996</v>
      </c>
      <c r="H132" s="2">
        <v>3.05</v>
      </c>
      <c r="I132" s="5">
        <f t="shared" si="2"/>
        <v>5490</v>
      </c>
      <c r="J132" s="8">
        <v>0</v>
      </c>
      <c r="K132" s="2">
        <f>ROUND(F132+(F132*TabelaPrincipal[[#This Row],[PERCENTUAL MÍNIMO]]), 2)</f>
        <v>0.5</v>
      </c>
      <c r="L132" s="24">
        <v>0.5</v>
      </c>
      <c r="M132" s="25"/>
      <c r="N132" s="23">
        <f>TabelaPrincipal[[#This Row],[LANCE ATUAL]]*TabelaPrincipal[[#This Row],[QTD]]</f>
        <v>900</v>
      </c>
      <c r="O132" s="41" t="str">
        <f>IF(TabelaPrincipal[[#This Row],[LANCE ATUAL]]&lt;=(VLOOKUP(TabelaPrincipal[[#This Row],[ITEM]],TabelaModelo,5,FALSE)*0.5),"Inexequível","")</f>
        <v>Inexequível</v>
      </c>
    </row>
    <row r="133" spans="1:15" ht="15" customHeight="1" x14ac:dyDescent="0.25">
      <c r="A133" s="4">
        <v>211</v>
      </c>
      <c r="B133" s="3" t="str">
        <f>VLOOKUP(TabelaPrincipal[[#This Row],[ITEM]],TabelaModelo,2,FALSE)</f>
        <v>Bisoprololfumarato, concentração 5 mg</v>
      </c>
      <c r="C133" s="1" t="str">
        <f>VLOOKUP(TabelaPrincipal[[#This Row],[ITEM]],TabelaModelo,3,FALSE)</f>
        <v>Comprimido</v>
      </c>
      <c r="D133" s="1">
        <f>VLOOKUP(TabelaPrincipal[[#This Row],[ITEM]],TabelaModelo,4,FALSE)</f>
        <v>1440</v>
      </c>
      <c r="E133" s="1" t="s">
        <v>858</v>
      </c>
      <c r="F133" s="23">
        <v>1.05</v>
      </c>
      <c r="G133" s="8">
        <f>IF(_xlfn.ISFORMULA(TabelaPrincipal[[#This Row],[CUSTO + PERCENTUAL DE ENTRADA]]),0.4,(TabelaPrincipal[[#This Row],[CUSTO + PERCENTUAL DE ENTRADA]]-TabelaPrincipal[[#This Row],[VALOR DE CUSTO]])/TabelaPrincipal[[#This Row],[VALOR DE CUSTO]])</f>
        <v>1.5142857142857142</v>
      </c>
      <c r="H133" s="2">
        <v>2.64</v>
      </c>
      <c r="I133" s="5">
        <f t="shared" si="2"/>
        <v>3801.6000000000004</v>
      </c>
      <c r="J133" s="8">
        <v>0</v>
      </c>
      <c r="K133" s="2">
        <f>ROUND(F133+(F133*TabelaPrincipal[[#This Row],[PERCENTUAL MÍNIMO]]), 2)</f>
        <v>1.05</v>
      </c>
      <c r="L133" s="24">
        <v>1.05</v>
      </c>
      <c r="M133" s="25"/>
      <c r="N133" s="23">
        <f>TabelaPrincipal[[#This Row],[LANCE ATUAL]]*TabelaPrincipal[[#This Row],[QTD]]</f>
        <v>1512</v>
      </c>
      <c r="O133" s="41" t="str">
        <f>IF(TabelaPrincipal[[#This Row],[LANCE ATUAL]]&lt;=(VLOOKUP(TabelaPrincipal[[#This Row],[ITEM]],TabelaModelo,5,FALSE)*0.5),"Inexequível","")</f>
        <v>Inexequível</v>
      </c>
    </row>
    <row r="134" spans="1:15" ht="15" customHeight="1" x14ac:dyDescent="0.25">
      <c r="A134" s="4">
        <v>212</v>
      </c>
      <c r="B134" s="3" t="str">
        <f>VLOOKUP(TabelaPrincipal[[#This Row],[ITEM]],TabelaModelo,2,FALSE)</f>
        <v>Ácido acetilsalicílico, dosagem:100 mg, tipo uso: tamponado</v>
      </c>
      <c r="C134" s="1" t="str">
        <f>VLOOKUP(TabelaPrincipal[[#This Row],[ITEM]],TabelaModelo,3,FALSE)</f>
        <v>Comprimido</v>
      </c>
      <c r="D134" s="1">
        <f>VLOOKUP(TabelaPrincipal[[#This Row],[ITEM]],TabelaModelo,4,FALSE)</f>
        <v>1440</v>
      </c>
      <c r="E134" s="1" t="s">
        <v>858</v>
      </c>
      <c r="F134" s="23">
        <v>0.72</v>
      </c>
      <c r="G134" s="8">
        <f>IF(_xlfn.ISFORMULA(TabelaPrincipal[[#This Row],[CUSTO + PERCENTUAL DE ENTRADA]]),0.4,(TabelaPrincipal[[#This Row],[CUSTO + PERCENTUAL DE ENTRADA]]-TabelaPrincipal[[#This Row],[VALOR DE CUSTO]])/TabelaPrincipal[[#This Row],[VALOR DE CUSTO]])</f>
        <v>0.4</v>
      </c>
      <c r="H134" s="2">
        <f>ROUND(F134+(F134*TabelaPrincipal[[#This Row],[PERCENTUAL DE ENTRADA]]), 2)</f>
        <v>1.01</v>
      </c>
      <c r="I134" s="5">
        <f t="shared" si="2"/>
        <v>1454.4</v>
      </c>
      <c r="J134" s="8">
        <v>0</v>
      </c>
      <c r="K134" s="2">
        <f>ROUND(F134+(F134*TabelaPrincipal[[#This Row],[PERCENTUAL MÍNIMO]]), 2)</f>
        <v>0.72</v>
      </c>
      <c r="L134" s="24">
        <v>0.9</v>
      </c>
      <c r="M134" s="25"/>
      <c r="N134" s="23">
        <f>TabelaPrincipal[[#This Row],[LANCE ATUAL]]*TabelaPrincipal[[#This Row],[QTD]]</f>
        <v>1296</v>
      </c>
      <c r="O134" s="41" t="str">
        <f>IF(TabelaPrincipal[[#This Row],[LANCE ATUAL]]&lt;=(VLOOKUP(TabelaPrincipal[[#This Row],[ITEM]],TabelaModelo,5,FALSE)*0.5),"Inexequível","")</f>
        <v/>
      </c>
    </row>
    <row r="135" spans="1:15" ht="15" customHeight="1" x14ac:dyDescent="0.25">
      <c r="A135" s="4">
        <v>213</v>
      </c>
      <c r="B135" s="3" t="str">
        <f>VLOOKUP(TabelaPrincipal[[#This Row],[ITEM]],TabelaModelo,2,FALSE)</f>
        <v>Pioglitazona cloridrato, concentração 30 mg</v>
      </c>
      <c r="C135" s="1" t="str">
        <f>VLOOKUP(TabelaPrincipal[[#This Row],[ITEM]],TabelaModelo,3,FALSE)</f>
        <v>Comprimido</v>
      </c>
      <c r="D135" s="1">
        <f>VLOOKUP(TabelaPrincipal[[#This Row],[ITEM]],TabelaModelo,4,FALSE)</f>
        <v>1440</v>
      </c>
      <c r="E135" s="1" t="s">
        <v>801</v>
      </c>
      <c r="F135" s="23">
        <v>2.4</v>
      </c>
      <c r="G135" s="8">
        <f>IF(_xlfn.ISFORMULA(TabelaPrincipal[[#This Row],[CUSTO + PERCENTUAL DE ENTRADA]]),0.4,(TabelaPrincipal[[#This Row],[CUSTO + PERCENTUAL DE ENTRADA]]-TabelaPrincipal[[#This Row],[VALOR DE CUSTO]])/TabelaPrincipal[[#This Row],[VALOR DE CUSTO]])</f>
        <v>0.69166666666666654</v>
      </c>
      <c r="H135" s="2">
        <v>4.0599999999999996</v>
      </c>
      <c r="I135" s="5">
        <f t="shared" si="2"/>
        <v>5846.4</v>
      </c>
      <c r="J135" s="8">
        <v>0</v>
      </c>
      <c r="K135" s="2">
        <f>ROUND(F135+(F135*TabelaPrincipal[[#This Row],[PERCENTUAL MÍNIMO]]), 2)</f>
        <v>2.4</v>
      </c>
      <c r="L135" s="24">
        <v>2.36</v>
      </c>
      <c r="M135" s="25"/>
      <c r="N135" s="23">
        <f>TabelaPrincipal[[#This Row],[LANCE ATUAL]]*TabelaPrincipal[[#This Row],[QTD]]</f>
        <v>3398.3999999999996</v>
      </c>
      <c r="O135" s="41" t="str">
        <f>IF(TabelaPrincipal[[#This Row],[LANCE ATUAL]]&lt;=(VLOOKUP(TabelaPrincipal[[#This Row],[ITEM]],TabelaModelo,5,FALSE)*0.5),"Inexequível","")</f>
        <v/>
      </c>
    </row>
    <row r="136" spans="1:15" ht="15" customHeight="1" x14ac:dyDescent="0.25">
      <c r="A136" s="4">
        <v>214</v>
      </c>
      <c r="B136" s="3" t="str">
        <f>VLOOKUP(TabelaPrincipal[[#This Row],[ITEM]],TabelaModelo,2,FALSE)</f>
        <v>Paracetamol, apresentação: associado com tramadol cloridrato, dosagem:325mg + 37,5mg</v>
      </c>
      <c r="C136" s="1" t="str">
        <f>VLOOKUP(TabelaPrincipal[[#This Row],[ITEM]],TabelaModelo,3,FALSE)</f>
        <v>Comprimido</v>
      </c>
      <c r="D136" s="1">
        <f>VLOOKUP(TabelaPrincipal[[#This Row],[ITEM]],TabelaModelo,4,FALSE)</f>
        <v>960</v>
      </c>
      <c r="E136" s="1" t="s">
        <v>812</v>
      </c>
      <c r="F136" s="23">
        <v>1.44</v>
      </c>
      <c r="G136" s="8">
        <f>IF(_xlfn.ISFORMULA(TabelaPrincipal[[#This Row],[CUSTO + PERCENTUAL DE ENTRADA]]),0.4,(TabelaPrincipal[[#This Row],[CUSTO + PERCENTUAL DE ENTRADA]]-TabelaPrincipal[[#This Row],[VALOR DE CUSTO]])/TabelaPrincipal[[#This Row],[VALOR DE CUSTO]])</f>
        <v>3.4791666666666665</v>
      </c>
      <c r="H136" s="2">
        <v>6.45</v>
      </c>
      <c r="I136" s="5">
        <f t="shared" si="2"/>
        <v>6192</v>
      </c>
      <c r="J136" s="8">
        <v>0</v>
      </c>
      <c r="K136" s="2">
        <f>ROUND(F136+(F136*TabelaPrincipal[[#This Row],[PERCENTUAL MÍNIMO]]), 2)</f>
        <v>1.44</v>
      </c>
      <c r="L136" s="24">
        <v>2.5</v>
      </c>
      <c r="M136" s="25"/>
      <c r="N136" s="23">
        <f>TabelaPrincipal[[#This Row],[LANCE ATUAL]]*TabelaPrincipal[[#This Row],[QTD]]</f>
        <v>2400</v>
      </c>
      <c r="O136" s="41" t="str">
        <f>IF(TabelaPrincipal[[#This Row],[LANCE ATUAL]]&lt;=(VLOOKUP(TabelaPrincipal[[#This Row],[ITEM]],TabelaModelo,5,FALSE)*0.5),"Inexequível","")</f>
        <v>Inexequível</v>
      </c>
    </row>
    <row r="137" spans="1:15" ht="15" customHeight="1" x14ac:dyDescent="0.25">
      <c r="A137" s="4">
        <v>215</v>
      </c>
      <c r="B137" s="3" t="str">
        <f>VLOOKUP(TabelaPrincipal[[#This Row],[ITEM]],TabelaModelo,2,FALSE)</f>
        <v>Desvenlafaxina, composição: salsuccinato, concentração:50 mg, forma farmacêutica: liberação controlada</v>
      </c>
      <c r="C137" s="1" t="str">
        <f>VLOOKUP(TabelaPrincipal[[#This Row],[ITEM]],TabelaModelo,3,FALSE)</f>
        <v>Comprimido</v>
      </c>
      <c r="D137" s="1">
        <f>VLOOKUP(TabelaPrincipal[[#This Row],[ITEM]],TabelaModelo,4,FALSE)</f>
        <v>1440</v>
      </c>
      <c r="E137" s="1" t="s">
        <v>859</v>
      </c>
      <c r="F137" s="23">
        <v>1</v>
      </c>
      <c r="G137" s="8">
        <f>IF(_xlfn.ISFORMULA(TabelaPrincipal[[#This Row],[CUSTO + PERCENTUAL DE ENTRADA]]),0.4,(TabelaPrincipal[[#This Row],[CUSTO + PERCENTUAL DE ENTRADA]]-TabelaPrincipal[[#This Row],[VALOR DE CUSTO]])/TabelaPrincipal[[#This Row],[VALOR DE CUSTO]])</f>
        <v>1.85</v>
      </c>
      <c r="H137" s="2">
        <v>2.85</v>
      </c>
      <c r="I137" s="5">
        <f t="shared" si="2"/>
        <v>4104</v>
      </c>
      <c r="J137" s="8">
        <v>0</v>
      </c>
      <c r="K137" s="2">
        <f>ROUND(F137+(F137*TabelaPrincipal[[#This Row],[PERCENTUAL MÍNIMO]]), 2)</f>
        <v>1</v>
      </c>
      <c r="L137" s="24">
        <v>1.34</v>
      </c>
      <c r="M137" s="25">
        <v>1</v>
      </c>
      <c r="N137" s="23">
        <f>TabelaPrincipal[[#This Row],[LANCE ATUAL]]*TabelaPrincipal[[#This Row],[QTD]]</f>
        <v>1929.6000000000001</v>
      </c>
      <c r="O137" s="41" t="str">
        <f>IF(TabelaPrincipal[[#This Row],[LANCE ATUAL]]&lt;=(VLOOKUP(TabelaPrincipal[[#This Row],[ITEM]],TabelaModelo,5,FALSE)*0.5),"Inexequível","")</f>
        <v>Inexequível</v>
      </c>
    </row>
    <row r="138" spans="1:15" ht="15" customHeight="1" x14ac:dyDescent="0.25">
      <c r="A138" s="4">
        <v>216</v>
      </c>
      <c r="B138" s="3" t="str">
        <f>VLOOKUP(TabelaPrincipal[[#This Row],[ITEM]],TabelaModelo,2,FALSE)</f>
        <v>Desvenlafaxina, composição:salsuccinato, concentração:100 mg, forma farmacêutica: liberação controlada</v>
      </c>
      <c r="C138" s="1" t="str">
        <f>VLOOKUP(TabelaPrincipal[[#This Row],[ITEM]],TabelaModelo,3,FALSE)</f>
        <v>Comprimido</v>
      </c>
      <c r="D138" s="1">
        <f>VLOOKUP(TabelaPrincipal[[#This Row],[ITEM]],TabelaModelo,4,FALSE)</f>
        <v>1440</v>
      </c>
      <c r="E138" s="1" t="s">
        <v>823</v>
      </c>
      <c r="F138" s="23">
        <v>1.48</v>
      </c>
      <c r="G138" s="8">
        <f>IF(_xlfn.ISFORMULA(TabelaPrincipal[[#This Row],[CUSTO + PERCENTUAL DE ENTRADA]]),0.4,(TabelaPrincipal[[#This Row],[CUSTO + PERCENTUAL DE ENTRADA]]-TabelaPrincipal[[#This Row],[VALOR DE CUSTO]])/TabelaPrincipal[[#This Row],[VALOR DE CUSTO]])</f>
        <v>1.2567567567567568</v>
      </c>
      <c r="H138" s="2">
        <v>3.34</v>
      </c>
      <c r="I138" s="5">
        <f t="shared" si="2"/>
        <v>4809.5999999999995</v>
      </c>
      <c r="J138" s="8">
        <v>0</v>
      </c>
      <c r="K138" s="2">
        <f>ROUND(F138+(F138*TabelaPrincipal[[#This Row],[PERCENTUAL MÍNIMO]]), 2)</f>
        <v>1.48</v>
      </c>
      <c r="L138" s="24">
        <v>1.6</v>
      </c>
      <c r="M138" s="25">
        <v>1</v>
      </c>
      <c r="N138" s="23">
        <f>TabelaPrincipal[[#This Row],[LANCE ATUAL]]*TabelaPrincipal[[#This Row],[QTD]]</f>
        <v>2304</v>
      </c>
      <c r="O138" s="41" t="str">
        <f>IF(TabelaPrincipal[[#This Row],[LANCE ATUAL]]&lt;=(VLOOKUP(TabelaPrincipal[[#This Row],[ITEM]],TabelaModelo,5,FALSE)*0.5),"Inexequível","")</f>
        <v>Inexequível</v>
      </c>
    </row>
    <row r="139" spans="1:15" ht="15" customHeight="1" x14ac:dyDescent="0.25">
      <c r="A139" s="4">
        <v>217</v>
      </c>
      <c r="B139" s="3" t="str">
        <f>VLOOKUP(TabelaPrincipal[[#This Row],[ITEM]],TabelaModelo,2,FALSE)</f>
        <v>Zolpidem, dosagem:10 mg</v>
      </c>
      <c r="C139" s="1" t="str">
        <f>VLOOKUP(TabelaPrincipal[[#This Row],[ITEM]],TabelaModelo,3,FALSE)</f>
        <v>Comprimido</v>
      </c>
      <c r="D139" s="1">
        <f>VLOOKUP(TabelaPrincipal[[#This Row],[ITEM]],TabelaModelo,4,FALSE)</f>
        <v>1440</v>
      </c>
      <c r="E139" s="1" t="s">
        <v>803</v>
      </c>
      <c r="F139" s="23">
        <v>0.17</v>
      </c>
      <c r="G139" s="8">
        <f>IF(_xlfn.ISFORMULA(TabelaPrincipal[[#This Row],[CUSTO + PERCENTUAL DE ENTRADA]]),0.4,(TabelaPrincipal[[#This Row],[CUSTO + PERCENTUAL DE ENTRADA]]-TabelaPrincipal[[#This Row],[VALOR DE CUSTO]])/TabelaPrincipal[[#This Row],[VALOR DE CUSTO]])</f>
        <v>6.2941176470588234</v>
      </c>
      <c r="H139" s="2">
        <v>1.24</v>
      </c>
      <c r="I139" s="5">
        <f t="shared" si="2"/>
        <v>1785.6</v>
      </c>
      <c r="J139" s="8">
        <v>0</v>
      </c>
      <c r="K139" s="2">
        <f>ROUND(F139+(F139*TabelaPrincipal[[#This Row],[PERCENTUAL MÍNIMO]]), 2)</f>
        <v>0.17</v>
      </c>
      <c r="L139" s="24">
        <v>0.17</v>
      </c>
      <c r="M139" s="25">
        <v>1</v>
      </c>
      <c r="N139" s="23">
        <f>TabelaPrincipal[[#This Row],[LANCE ATUAL]]*TabelaPrincipal[[#This Row],[QTD]]</f>
        <v>244.8</v>
      </c>
      <c r="O139" s="41" t="str">
        <f>IF(TabelaPrincipal[[#This Row],[LANCE ATUAL]]&lt;=(VLOOKUP(TabelaPrincipal[[#This Row],[ITEM]],TabelaModelo,5,FALSE)*0.5),"Inexequível","")</f>
        <v>Inexequível</v>
      </c>
    </row>
    <row r="140" spans="1:15" ht="15" customHeight="1" x14ac:dyDescent="0.25">
      <c r="A140" s="4">
        <v>226</v>
      </c>
      <c r="B140" s="3" t="str">
        <f>VLOOKUP(TabelaPrincipal[[#This Row],[ITEM]],TabelaModelo,2,FALSE)</f>
        <v>Oxímetro, tipo dedo, faixa de medição saturação 1: 0 a 100%, faixa de medição pulso 1: cerca de 20 a
250   bpm,   autonomia   sistema   1:   cerca   24h, alimentação:    p    ilha.    Conforme    modelo    de referência (apêndice a) ou superior.</v>
      </c>
      <c r="C140" s="1" t="str">
        <f>VLOOKUP(TabelaPrincipal[[#This Row],[ITEM]],TabelaModelo,3,FALSE)</f>
        <v>Unidade</v>
      </c>
      <c r="D140" s="1">
        <f>VLOOKUP(TabelaPrincipal[[#This Row],[ITEM]],TabelaModelo,4,FALSE)</f>
        <v>20</v>
      </c>
      <c r="E140" s="1" t="s">
        <v>833</v>
      </c>
      <c r="F140" s="23">
        <v>78</v>
      </c>
      <c r="G140" s="8">
        <f>IF(_xlfn.ISFORMULA(TabelaPrincipal[[#This Row],[CUSTO + PERCENTUAL DE ENTRADA]]),0.4,(TabelaPrincipal[[#This Row],[CUSTO + PERCENTUAL DE ENTRADA]]-TabelaPrincipal[[#This Row],[VALOR DE CUSTO]])/TabelaPrincipal[[#This Row],[VALOR DE CUSTO]])</f>
        <v>1.0225641025641024</v>
      </c>
      <c r="H140" s="2">
        <v>157.76</v>
      </c>
      <c r="I140" s="5">
        <f t="shared" si="2"/>
        <v>3155.2</v>
      </c>
      <c r="J140" s="8">
        <v>0</v>
      </c>
      <c r="K140" s="2">
        <f>ROUND(F140+(F140*TabelaPrincipal[[#This Row],[PERCENTUAL MÍNIMO]]), 2)</f>
        <v>78</v>
      </c>
      <c r="L140" s="24">
        <v>78</v>
      </c>
      <c r="M140" s="25"/>
      <c r="N140" s="23">
        <f>TabelaPrincipal[[#This Row],[LANCE ATUAL]]*TabelaPrincipal[[#This Row],[QTD]]</f>
        <v>1560</v>
      </c>
      <c r="O140" s="41" t="str">
        <f>IF(TabelaPrincipal[[#This Row],[LANCE ATUAL]]&lt;=(VLOOKUP(TabelaPrincipal[[#This Row],[ITEM]],TabelaModelo,5,FALSE)*0.5),"Inexequível","")</f>
        <v>Inexequível</v>
      </c>
    </row>
    <row r="141" spans="1:15" ht="15" customHeight="1" x14ac:dyDescent="0.25">
      <c r="A141" s="4">
        <v>227</v>
      </c>
      <c r="B141" s="3" t="str">
        <f>VLOOKUP(TabelaPrincipal[[#This Row],[ITEM]],TabelaModelo,2,FALSE)</f>
        <v>Sonda    trato    digestivo,    aplicação:    oro    ou nasogástrica,    modelo:    levine,    material:    pvc, calibre: nº 22, tamanho: longa, comprimento: cerca
120   cm,   conector:   conector   padrão   c,   tampa, componentes:  ponta  distal  fechada,  c,  orifícios laterais,      esterilidade:      estéril,      descartável, embalagem: embalagem individual</v>
      </c>
      <c r="C141" s="1" t="str">
        <f>VLOOKUP(TabelaPrincipal[[#This Row],[ITEM]],TabelaModelo,3,FALSE)</f>
        <v>Unidade</v>
      </c>
      <c r="D141" s="1">
        <f>VLOOKUP(TabelaPrincipal[[#This Row],[ITEM]],TabelaModelo,4,FALSE)</f>
        <v>20</v>
      </c>
      <c r="E141" s="1" t="s">
        <v>860</v>
      </c>
      <c r="F141" s="23">
        <v>2.5299999999999998</v>
      </c>
      <c r="G141" s="8">
        <v>0</v>
      </c>
      <c r="H141" s="2">
        <f>ROUND(F141+(F141*TabelaPrincipal[[#This Row],[PERCENTUAL DE ENTRADA]]), 2)</f>
        <v>2.5299999999999998</v>
      </c>
      <c r="I141" s="5">
        <f t="shared" si="2"/>
        <v>50.599999999999994</v>
      </c>
      <c r="J141" s="8">
        <f>IF(TabelaPrincipal[[#This Row],[PERCENTUAL DE ENTRADA]]&gt;0,0.15,0)</f>
        <v>0</v>
      </c>
      <c r="K141" s="2">
        <f>ROUND(F141+(F141*TabelaPrincipal[[#This Row],[PERCENTUAL MÍNIMO]]), 2)</f>
        <v>2.5299999999999998</v>
      </c>
      <c r="L141" s="24">
        <f>IF(TabelaPrincipal[[#This Row],[PERCENTUAL DE ENTRADA]]=0,TabelaPrincipal[[#This Row],[VALOR MÍNIMO]],0)</f>
        <v>2.5299999999999998</v>
      </c>
      <c r="M141" s="25">
        <v>1</v>
      </c>
      <c r="N141" s="23">
        <f>TabelaPrincipal[[#This Row],[LANCE ATUAL]]*TabelaPrincipal[[#This Row],[QTD]]</f>
        <v>50.599999999999994</v>
      </c>
      <c r="O141" s="41" t="str">
        <f>IF(TabelaPrincipal[[#This Row],[LANCE ATUAL]]&lt;=(VLOOKUP(TabelaPrincipal[[#This Row],[ITEM]],TabelaModelo,5,FALSE)*0.5),"Inexequível","")</f>
        <v/>
      </c>
    </row>
    <row r="142" spans="1:15" ht="15" customHeight="1" x14ac:dyDescent="0.25">
      <c r="A142" s="4">
        <v>228</v>
      </c>
      <c r="B142" s="3" t="str">
        <f>VLOOKUP(TabelaPrincipal[[#This Row],[ITEM]],TabelaModelo,2,FALSE)</f>
        <v>Sonda    trato    digestivo,    aplicação:    oro    ou nasogástrica,    modelo:    levine,    material:    pvc, calibre: nº 20, tamanho: longa, comprimento: cerca
120   cm,   conector:   conector   padrão   c,   tampa, componentes:  ponta  distal  fechada,  c,  orifícios laterais,      esterilidade:      estéril,      descartável, embalagem: embalagem individual</v>
      </c>
      <c r="C142" s="1" t="str">
        <f>VLOOKUP(TabelaPrincipal[[#This Row],[ITEM]],TabelaModelo,3,FALSE)</f>
        <v>Unidade</v>
      </c>
      <c r="D142" s="1">
        <f>VLOOKUP(TabelaPrincipal[[#This Row],[ITEM]],TabelaModelo,4,FALSE)</f>
        <v>20</v>
      </c>
      <c r="E142" s="1" t="s">
        <v>860</v>
      </c>
      <c r="F142" s="23">
        <v>1.91</v>
      </c>
      <c r="G142" s="8">
        <v>0</v>
      </c>
      <c r="H142" s="2">
        <f>ROUND(F142+(F142*TabelaPrincipal[[#This Row],[PERCENTUAL DE ENTRADA]]), 2)</f>
        <v>1.91</v>
      </c>
      <c r="I142" s="5">
        <f t="shared" si="2"/>
        <v>38.199999999999996</v>
      </c>
      <c r="J142" s="8">
        <f>IF(TabelaPrincipal[[#This Row],[PERCENTUAL DE ENTRADA]]&gt;0,0.15,0)</f>
        <v>0</v>
      </c>
      <c r="K142" s="2">
        <f>ROUND(F142+(F142*TabelaPrincipal[[#This Row],[PERCENTUAL MÍNIMO]]), 2)</f>
        <v>1.91</v>
      </c>
      <c r="L142" s="24">
        <f>IF(TabelaPrincipal[[#This Row],[PERCENTUAL DE ENTRADA]]=0,TabelaPrincipal[[#This Row],[VALOR MÍNIMO]],0)</f>
        <v>1.91</v>
      </c>
      <c r="M142" s="25">
        <v>1</v>
      </c>
      <c r="N142" s="23">
        <f>TabelaPrincipal[[#This Row],[LANCE ATUAL]]*TabelaPrincipal[[#This Row],[QTD]]</f>
        <v>38.199999999999996</v>
      </c>
      <c r="O142" s="41" t="str">
        <f>IF(TabelaPrincipal[[#This Row],[LANCE ATUAL]]&lt;=(VLOOKUP(TabelaPrincipal[[#This Row],[ITEM]],TabelaModelo,5,FALSE)*0.5),"Inexequível","")</f>
        <v/>
      </c>
    </row>
    <row r="143" spans="1:15" ht="15" customHeight="1" x14ac:dyDescent="0.25">
      <c r="A143" s="4">
        <v>229</v>
      </c>
      <c r="B143" s="3" t="str">
        <f>VLOOKUP(TabelaPrincipal[[#This Row],[ITEM]],TabelaModelo,2,FALSE)</f>
        <v>Sonda    trato    digestivo,    aplicação:    oro    ou nasogástrica,  modelo:  levine,  material:  silicone, calibre: nº 18, tamanho: longa, comprimento: cerca
120   cm,   conector:   conector   padrão   c,   tampa, componentes:  ponta  distal  fechada,  c,  orifícios laterais,      esterilidade:      estéril,      descartável, embalagem: embalagem individual</v>
      </c>
      <c r="C143" s="1" t="str">
        <f>VLOOKUP(TabelaPrincipal[[#This Row],[ITEM]],TabelaModelo,3,FALSE)</f>
        <v>Unidade</v>
      </c>
      <c r="D143" s="1">
        <f>VLOOKUP(TabelaPrincipal[[#This Row],[ITEM]],TabelaModelo,4,FALSE)</f>
        <v>20</v>
      </c>
      <c r="E143" s="1" t="s">
        <v>860</v>
      </c>
      <c r="F143" s="23">
        <v>2.0299999999999998</v>
      </c>
      <c r="G143" s="8">
        <v>0</v>
      </c>
      <c r="H143" s="2">
        <f>ROUND(F143+(F143*TabelaPrincipal[[#This Row],[PERCENTUAL DE ENTRADA]]), 2)</f>
        <v>2.0299999999999998</v>
      </c>
      <c r="I143" s="5">
        <f t="shared" si="2"/>
        <v>40.599999999999994</v>
      </c>
      <c r="J143" s="8">
        <f>IF(TabelaPrincipal[[#This Row],[PERCENTUAL DE ENTRADA]]&gt;0,0.15,0)</f>
        <v>0</v>
      </c>
      <c r="K143" s="2">
        <f>ROUND(F143+(F143*TabelaPrincipal[[#This Row],[PERCENTUAL MÍNIMO]]), 2)</f>
        <v>2.0299999999999998</v>
      </c>
      <c r="L143" s="24">
        <f>IF(TabelaPrincipal[[#This Row],[PERCENTUAL DE ENTRADA]]=0,TabelaPrincipal[[#This Row],[VALOR MÍNIMO]],0)</f>
        <v>2.0299999999999998</v>
      </c>
      <c r="M143" s="25">
        <v>1</v>
      </c>
      <c r="N143" s="23">
        <f>TabelaPrincipal[[#This Row],[LANCE ATUAL]]*TabelaPrincipal[[#This Row],[QTD]]</f>
        <v>40.599999999999994</v>
      </c>
      <c r="O143" s="41" t="str">
        <f>IF(TabelaPrincipal[[#This Row],[LANCE ATUAL]]&lt;=(VLOOKUP(TabelaPrincipal[[#This Row],[ITEM]],TabelaModelo,5,FALSE)*0.5),"Inexequível","")</f>
        <v/>
      </c>
    </row>
    <row r="144" spans="1:15" ht="15" customHeight="1" x14ac:dyDescent="0.25">
      <c r="A144" s="4">
        <v>230</v>
      </c>
      <c r="B144" s="3" t="str">
        <f>VLOOKUP(TabelaPrincipal[[#This Row],[ITEM]],TabelaModelo,2,FALSE)</f>
        <v>Sonda    trato    digestivo,    aplicação:    oro    ou nasogástrica,    modelo:    levine,    material:    pvc, calibre: nº 16, tamanho: longa, comprimento: cerca
120   cm,   conector:   conector   padrão   c,   tampa, componentes:  ponta  distal  fechada,  c,  orifícios laterais,      esterilidade:      estéril,      descartável, embalagem: embalagem individual</v>
      </c>
      <c r="C144" s="1" t="str">
        <f>VLOOKUP(TabelaPrincipal[[#This Row],[ITEM]],TabelaModelo,3,FALSE)</f>
        <v>Unidade</v>
      </c>
      <c r="D144" s="1">
        <f>VLOOKUP(TabelaPrincipal[[#This Row],[ITEM]],TabelaModelo,4,FALSE)</f>
        <v>20</v>
      </c>
      <c r="E144" s="1" t="s">
        <v>860</v>
      </c>
      <c r="F144" s="23">
        <v>2.7</v>
      </c>
      <c r="G144" s="8">
        <v>0</v>
      </c>
      <c r="H144" s="2">
        <f>ROUND(F144+(F144*TabelaPrincipal[[#This Row],[PERCENTUAL DE ENTRADA]]), 2)</f>
        <v>2.7</v>
      </c>
      <c r="I144" s="5">
        <f t="shared" si="2"/>
        <v>54</v>
      </c>
      <c r="J144" s="8">
        <f>IF(TabelaPrincipal[[#This Row],[PERCENTUAL DE ENTRADA]]&gt;0,0.15,0)</f>
        <v>0</v>
      </c>
      <c r="K144" s="2">
        <f>ROUND(F144+(F144*TabelaPrincipal[[#This Row],[PERCENTUAL MÍNIMO]]), 2)</f>
        <v>2.7</v>
      </c>
      <c r="L144" s="24">
        <f>IF(TabelaPrincipal[[#This Row],[PERCENTUAL DE ENTRADA]]=0,TabelaPrincipal[[#This Row],[VALOR MÍNIMO]],0)</f>
        <v>2.7</v>
      </c>
      <c r="M144" s="25">
        <v>1</v>
      </c>
      <c r="N144" s="23">
        <f>TabelaPrincipal[[#This Row],[LANCE ATUAL]]*TabelaPrincipal[[#This Row],[QTD]]</f>
        <v>54</v>
      </c>
      <c r="O144" s="41" t="str">
        <f>IF(TabelaPrincipal[[#This Row],[LANCE ATUAL]]&lt;=(VLOOKUP(TabelaPrincipal[[#This Row],[ITEM]],TabelaModelo,5,FALSE)*0.5),"Inexequível","")</f>
        <v/>
      </c>
    </row>
    <row r="145" spans="1:15" ht="15" customHeight="1" x14ac:dyDescent="0.25">
      <c r="A145" s="4">
        <v>231</v>
      </c>
      <c r="B145" s="3" t="str">
        <f>VLOOKUP(TabelaPrincipal[[#This Row],[ITEM]],TabelaModelo,2,FALSE)</f>
        <v>Sonda    trato    digestivo,    aplicação:    oro    ou nasogástrica,    modelo:    levine,    material:    pvc, calibre: nº 14, tamanho: longa, comprimento: cerca
120   cm,   conector:   conector   padrão   c,   tampa, componentes:  ponta  distal  fechada,  c,  orifícios laterais,      esterilidade:      estéril,      descartável, embalagem: embalagem individual</v>
      </c>
      <c r="C145" s="1" t="str">
        <f>VLOOKUP(TabelaPrincipal[[#This Row],[ITEM]],TabelaModelo,3,FALSE)</f>
        <v>Unidade</v>
      </c>
      <c r="D145" s="1">
        <f>VLOOKUP(TabelaPrincipal[[#This Row],[ITEM]],TabelaModelo,4,FALSE)</f>
        <v>20</v>
      </c>
      <c r="E145" s="1" t="s">
        <v>860</v>
      </c>
      <c r="F145" s="23">
        <v>2.99</v>
      </c>
      <c r="G145" s="8">
        <v>0</v>
      </c>
      <c r="H145" s="2">
        <f>ROUND(F145+(F145*TabelaPrincipal[[#This Row],[PERCENTUAL DE ENTRADA]]), 2)</f>
        <v>2.99</v>
      </c>
      <c r="I145" s="5">
        <f t="shared" si="2"/>
        <v>59.800000000000004</v>
      </c>
      <c r="J145" s="8">
        <f>IF(TabelaPrincipal[[#This Row],[PERCENTUAL DE ENTRADA]]&gt;0,0.15,0)</f>
        <v>0</v>
      </c>
      <c r="K145" s="2">
        <f>ROUND(F145+(F145*TabelaPrincipal[[#This Row],[PERCENTUAL MÍNIMO]]), 2)</f>
        <v>2.99</v>
      </c>
      <c r="L145" s="24">
        <f>IF(TabelaPrincipal[[#This Row],[PERCENTUAL DE ENTRADA]]=0,TabelaPrincipal[[#This Row],[VALOR MÍNIMO]],0)</f>
        <v>2.99</v>
      </c>
      <c r="M145" s="25">
        <v>1</v>
      </c>
      <c r="N145" s="23">
        <f>TabelaPrincipal[[#This Row],[LANCE ATUAL]]*TabelaPrincipal[[#This Row],[QTD]]</f>
        <v>59.800000000000004</v>
      </c>
      <c r="O145" s="41" t="str">
        <f>IF(TabelaPrincipal[[#This Row],[LANCE ATUAL]]&lt;=(VLOOKUP(TabelaPrincipal[[#This Row],[ITEM]],TabelaModelo,5,FALSE)*0.5),"Inexequível","")</f>
        <v/>
      </c>
    </row>
    <row r="146" spans="1:15" ht="15" customHeight="1" x14ac:dyDescent="0.25">
      <c r="A146" s="4">
        <v>232</v>
      </c>
      <c r="B146" s="3" t="str">
        <f>VLOOKUP(TabelaPrincipal[[#This Row],[ITEM]],TabelaModelo,2,FALSE)</f>
        <v>Sonda    trato    digestivo,    aplicação:    oro    ou nasogástrica,  modelo:  levine,  material:  silicone, calibre: nº 12, tamanho: longa, comprimento: cerca
120   cm,   conector:   conector   padrão   c,   tampa, componentes:  ponta  distal  fechada,  c,  orifícios laterais,      esterilidade:      estéril,      descartável, embalagem: embalagem individual</v>
      </c>
      <c r="C146" s="1" t="str">
        <f>VLOOKUP(TabelaPrincipal[[#This Row],[ITEM]],TabelaModelo,3,FALSE)</f>
        <v>Unidade</v>
      </c>
      <c r="D146" s="1">
        <f>VLOOKUP(TabelaPrincipal[[#This Row],[ITEM]],TabelaModelo,4,FALSE)</f>
        <v>20</v>
      </c>
      <c r="E146" s="1" t="s">
        <v>860</v>
      </c>
      <c r="F146" s="23">
        <v>1.92</v>
      </c>
      <c r="G146" s="8">
        <v>0</v>
      </c>
      <c r="H146" s="2">
        <f>ROUND(F146+(F146*TabelaPrincipal[[#This Row],[PERCENTUAL DE ENTRADA]]), 2)</f>
        <v>1.92</v>
      </c>
      <c r="I146" s="5">
        <f t="shared" si="2"/>
        <v>38.4</v>
      </c>
      <c r="J146" s="8">
        <f>IF(TabelaPrincipal[[#This Row],[PERCENTUAL DE ENTRADA]]&gt;0,0.15,0)</f>
        <v>0</v>
      </c>
      <c r="K146" s="2">
        <f>ROUND(F146+(F146*TabelaPrincipal[[#This Row],[PERCENTUAL MÍNIMO]]), 2)</f>
        <v>1.92</v>
      </c>
      <c r="L146" s="24">
        <f>IF(TabelaPrincipal[[#This Row],[PERCENTUAL DE ENTRADA]]=0,TabelaPrincipal[[#This Row],[VALOR MÍNIMO]],0)</f>
        <v>1.92</v>
      </c>
      <c r="M146" s="25">
        <v>1</v>
      </c>
      <c r="N146" s="23">
        <f>TabelaPrincipal[[#This Row],[LANCE ATUAL]]*TabelaPrincipal[[#This Row],[QTD]]</f>
        <v>38.4</v>
      </c>
      <c r="O146" s="41" t="str">
        <f>IF(TabelaPrincipal[[#This Row],[LANCE ATUAL]]&lt;=(VLOOKUP(TabelaPrincipal[[#This Row],[ITEM]],TabelaModelo,5,FALSE)*0.5),"Inexequível","")</f>
        <v/>
      </c>
    </row>
    <row r="147" spans="1:15" ht="15" customHeight="1" x14ac:dyDescent="0.25">
      <c r="A147" s="4">
        <v>233</v>
      </c>
      <c r="B147" s="3" t="str">
        <f>VLOOKUP(TabelaPrincipal[[#This Row],[ITEM]],TabelaModelo,2,FALSE)</f>
        <v>Sonda    trato    digestivo,    aplicação:    oro    ou nasogástrica,  modelo:  levine,  material:  silicone, calibre: nº 10, tamanho: longa, comprimento: cerca
120   cm,   conector:   conector   padrão   c,   tampa, componentes:  ponta  distal  fechada,  c,  orifícios laterais,      esterilidade:      estéril,      descartável, embalagem: embalagem individual</v>
      </c>
      <c r="C147" s="1" t="str">
        <f>VLOOKUP(TabelaPrincipal[[#This Row],[ITEM]],TabelaModelo,3,FALSE)</f>
        <v>Unidade</v>
      </c>
      <c r="D147" s="1">
        <f>VLOOKUP(TabelaPrincipal[[#This Row],[ITEM]],TabelaModelo,4,FALSE)</f>
        <v>20</v>
      </c>
      <c r="E147" s="1" t="s">
        <v>860</v>
      </c>
      <c r="F147" s="23">
        <v>1.87</v>
      </c>
      <c r="G147" s="8">
        <v>0</v>
      </c>
      <c r="H147" s="2">
        <f>ROUND(F147+(F147*TabelaPrincipal[[#This Row],[PERCENTUAL DE ENTRADA]]), 2)</f>
        <v>1.87</v>
      </c>
      <c r="I147" s="5">
        <f t="shared" si="2"/>
        <v>37.400000000000006</v>
      </c>
      <c r="J147" s="8">
        <f>IF(TabelaPrincipal[[#This Row],[PERCENTUAL DE ENTRADA]]&gt;0,0.15,0)</f>
        <v>0</v>
      </c>
      <c r="K147" s="2">
        <f>ROUND(F147+(F147*TabelaPrincipal[[#This Row],[PERCENTUAL MÍNIMO]]), 2)</f>
        <v>1.87</v>
      </c>
      <c r="L147" s="24">
        <f>IF(TabelaPrincipal[[#This Row],[PERCENTUAL DE ENTRADA]]=0,TabelaPrincipal[[#This Row],[VALOR MÍNIMO]],0)</f>
        <v>1.87</v>
      </c>
      <c r="M147" s="25">
        <v>1</v>
      </c>
      <c r="N147" s="23">
        <f>TabelaPrincipal[[#This Row],[LANCE ATUAL]]*TabelaPrincipal[[#This Row],[QTD]]</f>
        <v>37.400000000000006</v>
      </c>
      <c r="O147" s="41" t="str">
        <f>IF(TabelaPrincipal[[#This Row],[LANCE ATUAL]]&lt;=(VLOOKUP(TabelaPrincipal[[#This Row],[ITEM]],TabelaModelo,5,FALSE)*0.5),"Inexequível","")</f>
        <v/>
      </c>
    </row>
    <row r="148" spans="1:15" ht="15" customHeight="1" x14ac:dyDescent="0.25">
      <c r="A148" s="4">
        <v>234</v>
      </c>
      <c r="B148" s="3" t="str">
        <f>VLOOKUP(TabelaPrincipal[[#This Row],[ITEM]],TabelaModelo,2,FALSE)</f>
        <v>Sonda    trato    digestivo,    aplicação:    oro    ou nasogástrica,  modelo:  levine,  material:  silicone, calibre: nº 8, tamanho: longa, comprimento: cerca
100   cm,   conector:   conector   padrão   c,   tampa, componentes:  ponta  distal  fechada,  c,  orifícios laterais,      esterilidade:      estéril,      descartável, embalagem: embalagem individual</v>
      </c>
      <c r="C148" s="1" t="str">
        <f>VLOOKUP(TabelaPrincipal[[#This Row],[ITEM]],TabelaModelo,3,FALSE)</f>
        <v>Unidade</v>
      </c>
      <c r="D148" s="1">
        <f>VLOOKUP(TabelaPrincipal[[#This Row],[ITEM]],TabelaModelo,4,FALSE)</f>
        <v>20</v>
      </c>
      <c r="E148" s="1" t="s">
        <v>860</v>
      </c>
      <c r="F148" s="23">
        <v>2.17</v>
      </c>
      <c r="G148" s="8">
        <v>0</v>
      </c>
      <c r="H148" s="2">
        <f>ROUND(F148+(F148*TabelaPrincipal[[#This Row],[PERCENTUAL DE ENTRADA]]), 2)</f>
        <v>2.17</v>
      </c>
      <c r="I148" s="5">
        <f t="shared" si="2"/>
        <v>43.4</v>
      </c>
      <c r="J148" s="8">
        <f>IF(TabelaPrincipal[[#This Row],[PERCENTUAL DE ENTRADA]]&gt;0,0.15,0)</f>
        <v>0</v>
      </c>
      <c r="K148" s="2">
        <f>ROUND(F148+(F148*TabelaPrincipal[[#This Row],[PERCENTUAL MÍNIMO]]), 2)</f>
        <v>2.17</v>
      </c>
      <c r="L148" s="24">
        <f>IF(TabelaPrincipal[[#This Row],[PERCENTUAL DE ENTRADA]]=0,TabelaPrincipal[[#This Row],[VALOR MÍNIMO]],0)</f>
        <v>2.17</v>
      </c>
      <c r="M148" s="25">
        <v>1</v>
      </c>
      <c r="N148" s="23">
        <f>TabelaPrincipal[[#This Row],[LANCE ATUAL]]*TabelaPrincipal[[#This Row],[QTD]]</f>
        <v>43.4</v>
      </c>
      <c r="O148" s="41" t="str">
        <f>IF(TabelaPrincipal[[#This Row],[LANCE ATUAL]]&lt;=(VLOOKUP(TabelaPrincipal[[#This Row],[ITEM]],TabelaModelo,5,FALSE)*0.5),"Inexequível","")</f>
        <v/>
      </c>
    </row>
    <row r="149" spans="1:15" ht="15" customHeight="1" x14ac:dyDescent="0.25">
      <c r="A149" s="4">
        <v>235</v>
      </c>
      <c r="B149" s="3" t="str">
        <f>VLOOKUP(TabelaPrincipal[[#This Row],[ITEM]],TabelaModelo,2,FALSE)</f>
        <v>Cateter  aspiração  traqueal,  material:  pvc  atóxico flexível,   tipo   uso:   descartável,   características adicionais:   ponta   atraumática,   orifícios   distais lateralizados,  tipo  embalagem:  estéril,  embalagem individual, espessura: nº 16</v>
      </c>
      <c r="C149" s="1" t="str">
        <f>VLOOKUP(TabelaPrincipal[[#This Row],[ITEM]],TabelaModelo,3,FALSE)</f>
        <v>Unidade</v>
      </c>
      <c r="D149" s="1">
        <f>VLOOKUP(TabelaPrincipal[[#This Row],[ITEM]],TabelaModelo,4,FALSE)</f>
        <v>20</v>
      </c>
      <c r="E149" s="1" t="s">
        <v>861</v>
      </c>
      <c r="F149" s="23">
        <v>4.41</v>
      </c>
      <c r="G149" s="8">
        <v>0</v>
      </c>
      <c r="H149" s="2">
        <f>ROUND(F149+(F149*TabelaPrincipal[[#This Row],[PERCENTUAL DE ENTRADA]]), 2)</f>
        <v>4.41</v>
      </c>
      <c r="I149" s="5">
        <f t="shared" si="2"/>
        <v>88.2</v>
      </c>
      <c r="J149" s="8">
        <f>IF(TabelaPrincipal[[#This Row],[PERCENTUAL DE ENTRADA]]&gt;0,0.15,0)</f>
        <v>0</v>
      </c>
      <c r="K149" s="2">
        <f>ROUND(F149+(F149*TabelaPrincipal[[#This Row],[PERCENTUAL MÍNIMO]]), 2)</f>
        <v>4.41</v>
      </c>
      <c r="L149" s="24">
        <f>IF(TabelaPrincipal[[#This Row],[PERCENTUAL DE ENTRADA]]=0,TabelaPrincipal[[#This Row],[VALOR MÍNIMO]],0)</f>
        <v>4.41</v>
      </c>
      <c r="M149" s="25">
        <v>1</v>
      </c>
      <c r="N149" s="23">
        <f>TabelaPrincipal[[#This Row],[LANCE ATUAL]]*TabelaPrincipal[[#This Row],[QTD]]</f>
        <v>88.2</v>
      </c>
      <c r="O149" s="41" t="str">
        <f>IF(TabelaPrincipal[[#This Row],[LANCE ATUAL]]&lt;=(VLOOKUP(TabelaPrincipal[[#This Row],[ITEM]],TabelaModelo,5,FALSE)*0.5),"Inexequível","")</f>
        <v/>
      </c>
    </row>
    <row r="150" spans="1:15" ht="15" customHeight="1" x14ac:dyDescent="0.25">
      <c r="A150" s="4">
        <v>236</v>
      </c>
      <c r="B150" s="3" t="str">
        <f>VLOOKUP(TabelaPrincipal[[#This Row],[ITEM]],TabelaModelo,2,FALSE)</f>
        <v>Cateter  aspiração  traqueal,  material:  pvc  atóxico flexível,   tipo   uso:   descartável,   características adicionais:   ponta   atraumática,   orifícios   distais lateralizados,  tipo  embalagem:  estéril,  embalagem individual, espessura: nº 14</v>
      </c>
      <c r="C150" s="1" t="str">
        <f>VLOOKUP(TabelaPrincipal[[#This Row],[ITEM]],TabelaModelo,3,FALSE)</f>
        <v>Unidade</v>
      </c>
      <c r="D150" s="1">
        <f>VLOOKUP(TabelaPrincipal[[#This Row],[ITEM]],TabelaModelo,4,FALSE)</f>
        <v>20</v>
      </c>
      <c r="E150" s="1" t="s">
        <v>861</v>
      </c>
      <c r="F150" s="23">
        <v>1.72</v>
      </c>
      <c r="G150" s="8">
        <v>0</v>
      </c>
      <c r="H150" s="2">
        <f>ROUND(F150+(F150*TabelaPrincipal[[#This Row],[PERCENTUAL DE ENTRADA]]), 2)</f>
        <v>1.72</v>
      </c>
      <c r="I150" s="5">
        <f t="shared" si="2"/>
        <v>34.4</v>
      </c>
      <c r="J150" s="8">
        <f>IF(TabelaPrincipal[[#This Row],[PERCENTUAL DE ENTRADA]]&gt;0,0.15,0)</f>
        <v>0</v>
      </c>
      <c r="K150" s="2">
        <f>ROUND(F150+(F150*TabelaPrincipal[[#This Row],[PERCENTUAL MÍNIMO]]), 2)</f>
        <v>1.72</v>
      </c>
      <c r="L150" s="24">
        <f>IF(TabelaPrincipal[[#This Row],[PERCENTUAL DE ENTRADA]]=0,TabelaPrincipal[[#This Row],[VALOR MÍNIMO]],0)</f>
        <v>1.72</v>
      </c>
      <c r="M150" s="25">
        <v>1</v>
      </c>
      <c r="N150" s="23">
        <f>TabelaPrincipal[[#This Row],[LANCE ATUAL]]*TabelaPrincipal[[#This Row],[QTD]]</f>
        <v>34.4</v>
      </c>
      <c r="O150" s="41" t="str">
        <f>IF(TabelaPrincipal[[#This Row],[LANCE ATUAL]]&lt;=(VLOOKUP(TabelaPrincipal[[#This Row],[ITEM]],TabelaModelo,5,FALSE)*0.5),"Inexequível","")</f>
        <v/>
      </c>
    </row>
    <row r="151" spans="1:15" ht="15" customHeight="1" x14ac:dyDescent="0.25">
      <c r="A151" s="4">
        <v>237</v>
      </c>
      <c r="B151" s="3" t="str">
        <f>VLOOKUP(TabelaPrincipal[[#This Row],[ITEM]],TabelaModelo,2,FALSE)</f>
        <v>Cateter  aspiração  traqueal,  material:  pvc  atóxico flexível,   tipo   uso:   descartável,   características adicionais:   ponta   atraumática,   orifícios   distais lateralizados,  tipo  embalagem:  estéril,  embalagem individual, espessura: nº 12</v>
      </c>
      <c r="C151" s="1" t="str">
        <f>VLOOKUP(TabelaPrincipal[[#This Row],[ITEM]],TabelaModelo,3,FALSE)</f>
        <v>Unidade</v>
      </c>
      <c r="D151" s="1">
        <f>VLOOKUP(TabelaPrincipal[[#This Row],[ITEM]],TabelaModelo,4,FALSE)</f>
        <v>20</v>
      </c>
      <c r="E151" s="1" t="s">
        <v>861</v>
      </c>
      <c r="F151" s="23">
        <v>1.61</v>
      </c>
      <c r="G151" s="8">
        <v>0</v>
      </c>
      <c r="H151" s="2">
        <f>ROUND(F151+(F151*TabelaPrincipal[[#This Row],[PERCENTUAL DE ENTRADA]]), 2)</f>
        <v>1.61</v>
      </c>
      <c r="I151" s="5">
        <f t="shared" si="2"/>
        <v>32.200000000000003</v>
      </c>
      <c r="J151" s="8">
        <f>IF(TabelaPrincipal[[#This Row],[PERCENTUAL DE ENTRADA]]&gt;0,0.15,0)</f>
        <v>0</v>
      </c>
      <c r="K151" s="2">
        <f>ROUND(F151+(F151*TabelaPrincipal[[#This Row],[PERCENTUAL MÍNIMO]]), 2)</f>
        <v>1.61</v>
      </c>
      <c r="L151" s="24">
        <f>IF(TabelaPrincipal[[#This Row],[PERCENTUAL DE ENTRADA]]=0,TabelaPrincipal[[#This Row],[VALOR MÍNIMO]],0)</f>
        <v>1.61</v>
      </c>
      <c r="M151" s="25">
        <v>1</v>
      </c>
      <c r="N151" s="23">
        <f>TabelaPrincipal[[#This Row],[LANCE ATUAL]]*TabelaPrincipal[[#This Row],[QTD]]</f>
        <v>32.200000000000003</v>
      </c>
      <c r="O151" s="41" t="str">
        <f>IF(TabelaPrincipal[[#This Row],[LANCE ATUAL]]&lt;=(VLOOKUP(TabelaPrincipal[[#This Row],[ITEM]],TabelaModelo,5,FALSE)*0.5),"Inexequível","")</f>
        <v/>
      </c>
    </row>
    <row r="152" spans="1:15" ht="15" customHeight="1" x14ac:dyDescent="0.25">
      <c r="A152" s="4">
        <v>238</v>
      </c>
      <c r="B152" s="3" t="str">
        <f>VLOOKUP(TabelaPrincipal[[#This Row],[ITEM]],TabelaModelo,2,FALSE)</f>
        <v>Cateter  aspiração  traqueal,  material:  pvc  atóxico flexível,   tipo   uso:   descartável,   características adicionais:   ponta   atraumática,   orifícios   distais lateralizados,  tipo  embalagem:  estéril,  embalagem individual, espessura: nº 8</v>
      </c>
      <c r="C152" s="1" t="str">
        <f>VLOOKUP(TabelaPrincipal[[#This Row],[ITEM]],TabelaModelo,3,FALSE)</f>
        <v>Unidade</v>
      </c>
      <c r="D152" s="1">
        <f>VLOOKUP(TabelaPrincipal[[#This Row],[ITEM]],TabelaModelo,4,FALSE)</f>
        <v>20</v>
      </c>
      <c r="E152" s="1" t="s">
        <v>861</v>
      </c>
      <c r="F152" s="23">
        <v>1.69</v>
      </c>
      <c r="G152" s="8">
        <v>0</v>
      </c>
      <c r="H152" s="2">
        <f>ROUND(F152+(F152*TabelaPrincipal[[#This Row],[PERCENTUAL DE ENTRADA]]), 2)</f>
        <v>1.69</v>
      </c>
      <c r="I152" s="5">
        <f t="shared" si="2"/>
        <v>33.799999999999997</v>
      </c>
      <c r="J152" s="8">
        <f>IF(TabelaPrincipal[[#This Row],[PERCENTUAL DE ENTRADA]]&gt;0,0.15,0)</f>
        <v>0</v>
      </c>
      <c r="K152" s="2">
        <f>ROUND(F152+(F152*TabelaPrincipal[[#This Row],[PERCENTUAL MÍNIMO]]), 2)</f>
        <v>1.69</v>
      </c>
      <c r="L152" s="24">
        <f>IF(TabelaPrincipal[[#This Row],[PERCENTUAL DE ENTRADA]]=0,TabelaPrincipal[[#This Row],[VALOR MÍNIMO]],0)</f>
        <v>1.69</v>
      </c>
      <c r="M152" s="25">
        <v>1</v>
      </c>
      <c r="N152" s="23">
        <f>TabelaPrincipal[[#This Row],[LANCE ATUAL]]*TabelaPrincipal[[#This Row],[QTD]]</f>
        <v>33.799999999999997</v>
      </c>
      <c r="O152" s="41" t="str">
        <f>IF(TabelaPrincipal[[#This Row],[LANCE ATUAL]]&lt;=(VLOOKUP(TabelaPrincipal[[#This Row],[ITEM]],TabelaModelo,5,FALSE)*0.5),"Inexequível","")</f>
        <v/>
      </c>
    </row>
    <row r="153" spans="1:15" ht="15" customHeight="1" x14ac:dyDescent="0.25">
      <c r="A153" s="4">
        <v>240</v>
      </c>
      <c r="B153" s="3" t="str">
        <f>VLOOKUP(TabelaPrincipal[[#This Row],[ITEM]],TabelaModelo,2,FALSE)</f>
        <v>Cateter oxigenoterapia, material tubo: pvc flexível grau  médico,  tipo:  tipo  óculos,  pronga  silicone contorno   arredondado,   tipo   uso:   descartável, esterilidade:        estéril,        tamanho:        adulto, características adicionais: a prova de deformação e torção,2,10m, tipo adaptador: conector universal</v>
      </c>
      <c r="C153" s="1" t="str">
        <f>VLOOKUP(TabelaPrincipal[[#This Row],[ITEM]],TabelaModelo,3,FALSE)</f>
        <v>Unidade</v>
      </c>
      <c r="D153" s="1">
        <f>VLOOKUP(TabelaPrincipal[[#This Row],[ITEM]],TabelaModelo,4,FALSE)</f>
        <v>200</v>
      </c>
      <c r="E153" s="1" t="s">
        <v>861</v>
      </c>
      <c r="F153" s="23">
        <v>1</v>
      </c>
      <c r="G153" s="8">
        <f>IF(_xlfn.ISFORMULA(TabelaPrincipal[[#This Row],[CUSTO + PERCENTUAL DE ENTRADA]]),0.4,(TabelaPrincipal[[#This Row],[CUSTO + PERCENTUAL DE ENTRADA]]-TabelaPrincipal[[#This Row],[VALOR DE CUSTO]])/TabelaPrincipal[[#This Row],[VALOR DE CUSTO]])</f>
        <v>5.53</v>
      </c>
      <c r="H153" s="2">
        <v>6.53</v>
      </c>
      <c r="I153" s="5">
        <f t="shared" si="2"/>
        <v>1306</v>
      </c>
      <c r="J153" s="8">
        <v>0</v>
      </c>
      <c r="K153" s="2">
        <f>ROUND(F153+(F153*TabelaPrincipal[[#This Row],[PERCENTUAL MÍNIMO]]), 2)</f>
        <v>1</v>
      </c>
      <c r="L153" s="24">
        <v>4</v>
      </c>
      <c r="M153" s="25">
        <v>1</v>
      </c>
      <c r="N153" s="23">
        <f>TabelaPrincipal[[#This Row],[LANCE ATUAL]]*TabelaPrincipal[[#This Row],[QTD]]</f>
        <v>800</v>
      </c>
      <c r="O153" s="41" t="str">
        <f>IF(TabelaPrincipal[[#This Row],[LANCE ATUAL]]&lt;=(VLOOKUP(TabelaPrincipal[[#This Row],[ITEM]],TabelaModelo,5,FALSE)*0.5),"Inexequível","")</f>
        <v/>
      </c>
    </row>
    <row r="154" spans="1:15" ht="15" customHeight="1" x14ac:dyDescent="0.25">
      <c r="A154" s="4">
        <v>241</v>
      </c>
      <c r="B154" s="3" t="str">
        <f>VLOOKUP(TabelaPrincipal[[#This Row],[ITEM]],TabelaModelo,2,FALSE)</f>
        <v>Máscara Cirúrgica. Material: Não Tecido 100% Polipropileno. Filtro: Elemento Filtrante Interno. Eficiência: Efp Maior Que 98% E Bfe Maior Que 95%. Quantidade Camadas: Mínimo 3 Camadas. Modelo: Ajustável, Clipe Nasal. Formato: Retangular, C/ Pregas Horizontais. Cor: C/ Cor. Tamanho: Adulto. Esterilidade: Descartável.</v>
      </c>
      <c r="C154" s="1" t="str">
        <f>VLOOKUP(TabelaPrincipal[[#This Row],[ITEM]],TabelaModelo,3,FALSE)</f>
        <v>Unidade</v>
      </c>
      <c r="D154" s="1">
        <f>VLOOKUP(TabelaPrincipal[[#This Row],[ITEM]],TabelaModelo,4,FALSE)</f>
        <v>1000</v>
      </c>
      <c r="E154" s="1" t="s">
        <v>862</v>
      </c>
      <c r="F154" s="23">
        <v>0.1</v>
      </c>
      <c r="G154" s="8">
        <f>IF(_xlfn.ISFORMULA(TabelaPrincipal[[#This Row],[CUSTO + PERCENTUAL DE ENTRADA]]),0.4,(TabelaPrincipal[[#This Row],[CUSTO + PERCENTUAL DE ENTRADA]]-TabelaPrincipal[[#This Row],[VALOR DE CUSTO]])/TabelaPrincipal[[#This Row],[VALOR DE CUSTO]])</f>
        <v>31.799999999999997</v>
      </c>
      <c r="H154" s="2">
        <v>3.28</v>
      </c>
      <c r="I154" s="5">
        <f t="shared" si="2"/>
        <v>3280</v>
      </c>
      <c r="J154" s="8">
        <v>0</v>
      </c>
      <c r="K154" s="2">
        <f>ROUND(F154+(F154*TabelaPrincipal[[#This Row],[PERCENTUAL MÍNIMO]]), 2)</f>
        <v>0.1</v>
      </c>
      <c r="L154" s="24">
        <v>0.1</v>
      </c>
      <c r="M154" s="25">
        <v>1</v>
      </c>
      <c r="N154" s="23">
        <f>TabelaPrincipal[[#This Row],[LANCE ATUAL]]*TabelaPrincipal[[#This Row],[QTD]]</f>
        <v>100</v>
      </c>
      <c r="O154" s="41" t="str">
        <f>IF(TabelaPrincipal[[#This Row],[LANCE ATUAL]]&lt;=(VLOOKUP(TabelaPrincipal[[#This Row],[ITEM]],TabelaModelo,5,FALSE)*0.5),"Inexequível","")</f>
        <v>Inexequível</v>
      </c>
    </row>
    <row r="155" spans="1:15" ht="15" customHeight="1" x14ac:dyDescent="0.25">
      <c r="A155" s="4">
        <v>242</v>
      </c>
      <c r="B155" s="3" t="str">
        <f>VLOOKUP(TabelaPrincipal[[#This Row],[ITEM]],TabelaModelo,2,FALSE)</f>
        <v>Máscara Cirúrgica. Material: Não Tecido 100% Polipropileno. Filtro: Elemento Filtrante Interno. Eficiência: Efp Maior Que 98% E Bfe Maior Que 95%. Quantidade Camadas: Mínimo 3 Camadas. Modelo: Ajustável, Clipe Nasal. Formato: Retangular, C/ Pregas Horizontais. Cor: C/ Cor. Tamanho: Infantil. Esterilidade: Descartável.</v>
      </c>
      <c r="C155" s="1" t="str">
        <f>VLOOKUP(TabelaPrincipal[[#This Row],[ITEM]],TabelaModelo,3,FALSE)</f>
        <v>Unidade</v>
      </c>
      <c r="D155" s="1">
        <f>VLOOKUP(TabelaPrincipal[[#This Row],[ITEM]],TabelaModelo,4,FALSE)</f>
        <v>1000</v>
      </c>
      <c r="E155" s="1" t="s">
        <v>845</v>
      </c>
      <c r="F155" s="23">
        <v>0.8</v>
      </c>
      <c r="G155" s="8">
        <f>IF(_xlfn.ISFORMULA(TabelaPrincipal[[#This Row],[CUSTO + PERCENTUAL DE ENTRADA]]),0.4,(TabelaPrincipal[[#This Row],[CUSTO + PERCENTUAL DE ENTRADA]]-TabelaPrincipal[[#This Row],[VALOR DE CUSTO]])/TabelaPrincipal[[#This Row],[VALOR DE CUSTO]])</f>
        <v>5.2250000000000005</v>
      </c>
      <c r="H155" s="2">
        <v>4.9800000000000004</v>
      </c>
      <c r="I155" s="5">
        <f t="shared" si="2"/>
        <v>4980</v>
      </c>
      <c r="J155" s="8">
        <v>0</v>
      </c>
      <c r="K155" s="2">
        <f>ROUND(F155+(F155*TabelaPrincipal[[#This Row],[PERCENTUAL MÍNIMO]]), 2)</f>
        <v>0.8</v>
      </c>
      <c r="L155" s="24">
        <v>4.9000000000000004</v>
      </c>
      <c r="M155" s="25">
        <v>1</v>
      </c>
      <c r="N155" s="23">
        <f>TabelaPrincipal[[#This Row],[LANCE ATUAL]]*TabelaPrincipal[[#This Row],[QTD]]</f>
        <v>4900</v>
      </c>
      <c r="O155" s="41" t="str">
        <f>IF(TabelaPrincipal[[#This Row],[LANCE ATUAL]]&lt;=(VLOOKUP(TabelaPrincipal[[#This Row],[ITEM]],TabelaModelo,5,FALSE)*0.5),"Inexequível","")</f>
        <v/>
      </c>
    </row>
    <row r="156" spans="1:15" ht="15" customHeight="1" x14ac:dyDescent="0.25">
      <c r="A156" s="4">
        <v>245</v>
      </c>
      <c r="B156" s="3" t="str">
        <f>VLOOKUP(TabelaPrincipal[[#This Row],[ITEM]],TabelaModelo,2,FALSE)</f>
        <v>Avental hospitalar. Esterilidade: Não Estéril, Descartável. Tipo: Avental / Camisola / Bata. Material: Não Tecido 100% Polipropileno - Tipo SMS. Gramatura: Cerca De 50 G/M2. Modelo Camisola: Ajustável C/ Abertura Na Frente Ou Costas. Tamanho: Adulto Médio (M).
Característica: C/ Cor, Unissex.</v>
      </c>
      <c r="C156" s="1" t="str">
        <f>VLOOKUP(TabelaPrincipal[[#This Row],[ITEM]],TabelaModelo,3,FALSE)</f>
        <v>Unidade</v>
      </c>
      <c r="D156" s="1">
        <f>VLOOKUP(TabelaPrincipal[[#This Row],[ITEM]],TabelaModelo,4,FALSE)</f>
        <v>500</v>
      </c>
      <c r="E156" s="1" t="s">
        <v>841</v>
      </c>
      <c r="F156" s="23">
        <v>4.9000000000000004</v>
      </c>
      <c r="G156" s="8">
        <f>IF(_xlfn.ISFORMULA(TabelaPrincipal[[#This Row],[CUSTO + PERCENTUAL DE ENTRADA]]),0.4,(TabelaPrincipal[[#This Row],[CUSTO + PERCENTUAL DE ENTRADA]]-TabelaPrincipal[[#This Row],[VALOR DE CUSTO]])/TabelaPrincipal[[#This Row],[VALOR DE CUSTO]])</f>
        <v>2.6408163265306119</v>
      </c>
      <c r="H156" s="2">
        <v>17.84</v>
      </c>
      <c r="I156" s="5">
        <f t="shared" si="2"/>
        <v>8920</v>
      </c>
      <c r="J156" s="8">
        <v>0</v>
      </c>
      <c r="K156" s="2">
        <f>ROUND(F156+(F156*TabelaPrincipal[[#This Row],[PERCENTUAL MÍNIMO]]), 2)</f>
        <v>4.9000000000000004</v>
      </c>
      <c r="L156" s="24">
        <v>4.9000000000000004</v>
      </c>
      <c r="M156" s="25">
        <v>1</v>
      </c>
      <c r="N156" s="23">
        <f>TabelaPrincipal[[#This Row],[LANCE ATUAL]]*TabelaPrincipal[[#This Row],[QTD]]</f>
        <v>2450</v>
      </c>
      <c r="O156" s="41" t="str">
        <f>IF(TabelaPrincipal[[#This Row],[LANCE ATUAL]]&lt;=(VLOOKUP(TabelaPrincipal[[#This Row],[ITEM]],TabelaModelo,5,FALSE)*0.5),"Inexequível","")</f>
        <v>Inexequível</v>
      </c>
    </row>
    <row r="157" spans="1:15" ht="15" customHeight="1" x14ac:dyDescent="0.25">
      <c r="A157" s="4">
        <v>246</v>
      </c>
      <c r="B157" s="3" t="str">
        <f>VLOOKUP(TabelaPrincipal[[#This Row],[ITEM]],TabelaModelo,2,FALSE)</f>
        <v>Agulha  Múltipla  para  Coleta  a  Vácuo25  X  8 (VERDE).  Agulhas  a  vácuo  25  X  8  para  coletas múltiplas   de   sangue   venoso.   Cânula   em   aço inoxidável,    siliconizada    com    biseltrifacetado. Embaladas      individualmente      em      cápsulas hermeticamente  fechadas.  Esterilizadas  por  óxido de  etileno.  Apresentação  -  cx  c/100  unidades. (Similar à VACUETTE®)</v>
      </c>
      <c r="C157" s="1" t="str">
        <f>VLOOKUP(TabelaPrincipal[[#This Row],[ITEM]],TabelaModelo,3,FALSE)</f>
        <v>Unidade</v>
      </c>
      <c r="D157" s="1">
        <f>VLOOKUP(TabelaPrincipal[[#This Row],[ITEM]],TabelaModelo,4,FALSE)</f>
        <v>4000</v>
      </c>
      <c r="E157" s="1" t="s">
        <v>827</v>
      </c>
      <c r="F157" s="23">
        <v>0.42</v>
      </c>
      <c r="G157" s="8">
        <f>IF(_xlfn.ISFORMULA(TabelaPrincipal[[#This Row],[CUSTO + PERCENTUAL DE ENTRADA]]),0.4,(TabelaPrincipal[[#This Row],[CUSTO + PERCENTUAL DE ENTRADA]]-TabelaPrincipal[[#This Row],[VALOR DE CUSTO]])/TabelaPrincipal[[#This Row],[VALOR DE CUSTO]])</f>
        <v>1.2857142857142858</v>
      </c>
      <c r="H157" s="2">
        <v>0.96</v>
      </c>
      <c r="I157" s="5">
        <f t="shared" si="2"/>
        <v>3840</v>
      </c>
      <c r="J157" s="8">
        <v>0</v>
      </c>
      <c r="K157" s="2">
        <f>ROUND(F157+(F157*TabelaPrincipal[[#This Row],[PERCENTUAL MÍNIMO]]), 2)</f>
        <v>0.42</v>
      </c>
      <c r="L157" s="24">
        <v>0.42</v>
      </c>
      <c r="M157" s="25"/>
      <c r="N157" s="23">
        <f>TabelaPrincipal[[#This Row],[LANCE ATUAL]]*TabelaPrincipal[[#This Row],[QTD]]</f>
        <v>1680</v>
      </c>
      <c r="O157" s="41" t="str">
        <f>IF(TabelaPrincipal[[#This Row],[LANCE ATUAL]]&lt;=(VLOOKUP(TabelaPrincipal[[#This Row],[ITEM]],TabelaModelo,5,FALSE)*0.5),"Inexequível","")</f>
        <v>Inexequível</v>
      </c>
    </row>
    <row r="158" spans="1:15" ht="15" customHeight="1" x14ac:dyDescent="0.25">
      <c r="A158" s="4">
        <v>247</v>
      </c>
      <c r="B158" s="3" t="str">
        <f>VLOOKUP(TabelaPrincipal[[#This Row],[ITEM]],TabelaModelo,2,FALSE)</f>
        <v>Agulha  Múltipla  para  Coleta  a  Vácuo25  X  7 (CINZA).  Agulhas  a  vácuo  25  X  7  para  coletas múltiplas   de   sangue   venoso.   Cânula   em   aço inoxidável,    siliconizada    com    biseltrifacetado. Embaladas      individualmente      em      cápsulas</v>
      </c>
      <c r="C158" s="1" t="str">
        <f>VLOOKUP(TabelaPrincipal[[#This Row],[ITEM]],TabelaModelo,3,FALSE)</f>
        <v>Unidade</v>
      </c>
      <c r="D158" s="1">
        <f>VLOOKUP(TabelaPrincipal[[#This Row],[ITEM]],TabelaModelo,4,FALSE)</f>
        <v>4000</v>
      </c>
      <c r="E158" s="1" t="s">
        <v>827</v>
      </c>
      <c r="F158" s="23">
        <v>0.42</v>
      </c>
      <c r="G158" s="8">
        <f>IF(_xlfn.ISFORMULA(TabelaPrincipal[[#This Row],[CUSTO + PERCENTUAL DE ENTRADA]]),0.4,(TabelaPrincipal[[#This Row],[CUSTO + PERCENTUAL DE ENTRADA]]-TabelaPrincipal[[#This Row],[VALOR DE CUSTO]])/TabelaPrincipal[[#This Row],[VALOR DE CUSTO]])</f>
        <v>1.9047619047619049</v>
      </c>
      <c r="H158" s="2">
        <v>1.22</v>
      </c>
      <c r="I158" s="5">
        <f t="shared" si="2"/>
        <v>4880</v>
      </c>
      <c r="J158" s="8">
        <v>0</v>
      </c>
      <c r="K158" s="2">
        <f>ROUND(F158+(F158*TabelaPrincipal[[#This Row],[PERCENTUAL MÍNIMO]]), 2)</f>
        <v>0.42</v>
      </c>
      <c r="L158" s="24">
        <v>0.42</v>
      </c>
      <c r="M158" s="25"/>
      <c r="N158" s="23">
        <f>TabelaPrincipal[[#This Row],[LANCE ATUAL]]*TabelaPrincipal[[#This Row],[QTD]]</f>
        <v>1680</v>
      </c>
      <c r="O158" s="41" t="str">
        <f>IF(TabelaPrincipal[[#This Row],[LANCE ATUAL]]&lt;=(VLOOKUP(TabelaPrincipal[[#This Row],[ITEM]],TabelaModelo,5,FALSE)*0.5),"Inexequível","")</f>
        <v>Inexequível</v>
      </c>
    </row>
    <row r="159" spans="1:15" ht="15" customHeight="1" x14ac:dyDescent="0.25">
      <c r="A159" s="4">
        <v>251</v>
      </c>
      <c r="B159" s="3" t="str">
        <f>VLOOKUP(TabelaPrincipal[[#This Row],[ITEM]],TabelaModelo,2,FALSE)</f>
        <v>Frasco   coletor   de   urina,   estéril,   cap.   80   ml. Registro  na  anvisa:  10379860094,  procedência: nacional.</v>
      </c>
      <c r="C159" s="1" t="str">
        <f>VLOOKUP(TabelaPrincipal[[#This Row],[ITEM]],TabelaModelo,3,FALSE)</f>
        <v>Unidade</v>
      </c>
      <c r="D159" s="1">
        <f>VLOOKUP(TabelaPrincipal[[#This Row],[ITEM]],TabelaModelo,4,FALSE)</f>
        <v>2500</v>
      </c>
      <c r="E159" s="1" t="s">
        <v>863</v>
      </c>
      <c r="F159" s="23">
        <v>0.55000000000000004</v>
      </c>
      <c r="G159" s="8">
        <f>IF(_xlfn.ISFORMULA(TabelaPrincipal[[#This Row],[CUSTO + PERCENTUAL DE ENTRADA]]),0.4,(TabelaPrincipal[[#This Row],[CUSTO + PERCENTUAL DE ENTRADA]]-TabelaPrincipal[[#This Row],[VALOR DE CUSTO]])/TabelaPrincipal[[#This Row],[VALOR DE CUSTO]])</f>
        <v>0.4</v>
      </c>
      <c r="H159" s="2">
        <f>ROUND(F159+(F159*TabelaPrincipal[[#This Row],[PERCENTUAL DE ENTRADA]]), 2)</f>
        <v>0.77</v>
      </c>
      <c r="I159" s="5">
        <f t="shared" si="2"/>
        <v>1925</v>
      </c>
      <c r="J159" s="8">
        <v>0</v>
      </c>
      <c r="K159" s="2">
        <f>ROUND(F159+(F159*TabelaPrincipal[[#This Row],[PERCENTUAL MÍNIMO]]), 2)</f>
        <v>0.55000000000000004</v>
      </c>
      <c r="L159" s="24">
        <v>0.55000000000000004</v>
      </c>
      <c r="M159" s="25"/>
      <c r="N159" s="23">
        <f>TabelaPrincipal[[#This Row],[LANCE ATUAL]]*TabelaPrincipal[[#This Row],[QTD]]</f>
        <v>1375</v>
      </c>
      <c r="O159" s="41" t="str">
        <f>IF(TabelaPrincipal[[#This Row],[LANCE ATUAL]]&lt;=(VLOOKUP(TabelaPrincipal[[#This Row],[ITEM]],TabelaModelo,5,FALSE)*0.5),"Inexequível","")</f>
        <v/>
      </c>
    </row>
    <row r="160" spans="1:15" ht="15" customHeight="1" x14ac:dyDescent="0.25">
      <c r="A160" s="4">
        <v>304</v>
      </c>
      <c r="B160" s="3" t="str">
        <f>VLOOKUP(TabelaPrincipal[[#This Row],[ITEM]],TabelaModelo,2,FALSE)</f>
        <v>Termohigrometro  digital,  que  mede  a  temperatura interna,  externa  e  a  umidade.  Registra  valores máximos e mínimos da temperatura e da umidade. Visor:   triplo,   de   cristal   líquido   (LCD)   para visualização  simultânea  da  temperatura  interna, externa e umidade. Funções: temperatura interna e externa  (registro  do  máximo  e  do  mínimo)  e umidade  relativa  (registro  do  máximo  e  mínimo). Temperatura   de   operação:   de   0ºC   A   50ºC. Alimentação:  pilhas  AAA  DE  1,5V.  peso:  150G (incluindo as pilhas). Alcance do sensor externo: 2 metros.</v>
      </c>
      <c r="C160" s="1" t="str">
        <f>VLOOKUP(TabelaPrincipal[[#This Row],[ITEM]],TabelaModelo,3,FALSE)</f>
        <v>Unidade</v>
      </c>
      <c r="D160" s="1">
        <f>VLOOKUP(TabelaPrincipal[[#This Row],[ITEM]],TabelaModelo,4,FALSE)</f>
        <v>6</v>
      </c>
      <c r="E160" s="1" t="s">
        <v>864</v>
      </c>
      <c r="F160" s="23">
        <v>188.55</v>
      </c>
      <c r="G160" s="8">
        <v>0</v>
      </c>
      <c r="H160" s="2">
        <f>ROUND(F160+(F160*TabelaPrincipal[[#This Row],[PERCENTUAL DE ENTRADA]]), 2)</f>
        <v>188.55</v>
      </c>
      <c r="I160" s="5">
        <f t="shared" si="2"/>
        <v>1131.3000000000002</v>
      </c>
      <c r="J160" s="8">
        <f>IF(TabelaPrincipal[[#This Row],[PERCENTUAL DE ENTRADA]]&gt;0,0.15,0)</f>
        <v>0</v>
      </c>
      <c r="K160" s="2">
        <f>ROUND(F160+(F160*TabelaPrincipal[[#This Row],[PERCENTUAL MÍNIMO]]), 2)</f>
        <v>188.55</v>
      </c>
      <c r="L160" s="24">
        <f>IF(TabelaPrincipal[[#This Row],[PERCENTUAL DE ENTRADA]]=0,TabelaPrincipal[[#This Row],[VALOR MÍNIMO]],0)</f>
        <v>188.55</v>
      </c>
      <c r="M160" s="25"/>
      <c r="N160" s="23">
        <f>TabelaPrincipal[[#This Row],[LANCE ATUAL]]*TabelaPrincipal[[#This Row],[QTD]]</f>
        <v>1131.3000000000002</v>
      </c>
      <c r="O160" s="41" t="str">
        <f>IF(TabelaPrincipal[[#This Row],[LANCE ATUAL]]&lt;=(VLOOKUP(TabelaPrincipal[[#This Row],[ITEM]],TabelaModelo,5,FALSE)*0.5),"Inexequível","")</f>
        <v/>
      </c>
    </row>
    <row r="161" spans="1:15" ht="15" customHeight="1" x14ac:dyDescent="0.25">
      <c r="A161" s="4">
        <v>404</v>
      </c>
      <c r="B161" s="3" t="str">
        <f>VLOOKUP(TabelaPrincipal[[#This Row],[ITEM]],TabelaModelo,2,FALSE)</f>
        <v>Salbutamol, dosagem: 100 mcg/dose, forma
farmacêutica: aerossol oral</v>
      </c>
      <c r="C161" s="1" t="str">
        <f>VLOOKUP(TabelaPrincipal[[#This Row],[ITEM]],TabelaModelo,3,FALSE)</f>
        <v>Frasco 200
doses</v>
      </c>
      <c r="D161" s="1">
        <f>VLOOKUP(TabelaPrincipal[[#This Row],[ITEM]],TabelaModelo,4,FALSE)</f>
        <v>100</v>
      </c>
      <c r="E161" s="1" t="s">
        <v>796</v>
      </c>
      <c r="F161" s="23">
        <v>20.149999999999999</v>
      </c>
      <c r="G161" s="8">
        <f>IF(_xlfn.ISFORMULA(TabelaPrincipal[[#This Row],[CUSTO + PERCENTUAL DE ENTRADA]]),0.4,(TabelaPrincipal[[#This Row],[CUSTO + PERCENTUAL DE ENTRADA]]-TabelaPrincipal[[#This Row],[VALOR DE CUSTO]])/TabelaPrincipal[[#This Row],[VALOR DE CUSTO]])</f>
        <v>1.1846153846153848</v>
      </c>
      <c r="H161" s="2">
        <v>44.02</v>
      </c>
      <c r="I161" s="5">
        <f t="shared" si="2"/>
        <v>4402</v>
      </c>
      <c r="J161" s="8">
        <v>0.15</v>
      </c>
      <c r="K161" s="2">
        <f>ROUND(F161+(F161*TabelaPrincipal[[#This Row],[PERCENTUAL MÍNIMO]]), 2)</f>
        <v>23.17</v>
      </c>
      <c r="L161" s="24">
        <v>23.17</v>
      </c>
      <c r="M161" s="25"/>
      <c r="N161" s="23">
        <f>TabelaPrincipal[[#This Row],[LANCE ATUAL]]*TabelaPrincipal[[#This Row],[QTD]]</f>
        <v>2317</v>
      </c>
      <c r="O161" s="41" t="str">
        <f>IF(TabelaPrincipal[[#This Row],[LANCE ATUAL]]&lt;=(VLOOKUP(TabelaPrincipal[[#This Row],[ITEM]],TabelaModelo,5,FALSE)*0.5),"Inexequível","")</f>
        <v/>
      </c>
    </row>
    <row r="162" spans="1:15" ht="15" customHeight="1" x14ac:dyDescent="0.25">
      <c r="A162" s="4">
        <v>405</v>
      </c>
      <c r="B162" s="3" t="str">
        <f>VLOOKUP(TabelaPrincipal[[#This Row],[ITEM]],TabelaModelo,2,FALSE)</f>
        <v>Propofol, dosagem: 10 mg/ml, forma
farmacêutica: emulsão injetável</v>
      </c>
      <c r="C162" s="1" t="str">
        <f>VLOOKUP(TabelaPrincipal[[#This Row],[ITEM]],TabelaModelo,3,FALSE)</f>
        <v>Frasco 20
ml</v>
      </c>
      <c r="D162" s="1">
        <f>VLOOKUP(TabelaPrincipal[[#This Row],[ITEM]],TabelaModelo,4,FALSE)</f>
        <v>30</v>
      </c>
      <c r="E162" s="1" t="s">
        <v>797</v>
      </c>
      <c r="F162" s="23">
        <v>13.9</v>
      </c>
      <c r="G162" s="8">
        <f>IF(_xlfn.ISFORMULA(TabelaPrincipal[[#This Row],[CUSTO + PERCENTUAL DE ENTRADA]]),0.4,(TabelaPrincipal[[#This Row],[CUSTO + PERCENTUAL DE ENTRADA]]-TabelaPrincipal[[#This Row],[VALOR DE CUSTO]])/TabelaPrincipal[[#This Row],[VALOR DE CUSTO]])</f>
        <v>0.71438848920863296</v>
      </c>
      <c r="H162" s="2">
        <v>23.83</v>
      </c>
      <c r="I162" s="5">
        <f t="shared" si="2"/>
        <v>714.9</v>
      </c>
      <c r="J162" s="8">
        <v>0.15</v>
      </c>
      <c r="K162" s="2">
        <f>ROUND(F162+(F162*TabelaPrincipal[[#This Row],[PERCENTUAL MÍNIMO]]), 2)</f>
        <v>15.99</v>
      </c>
      <c r="L162" s="24">
        <v>15.99</v>
      </c>
      <c r="M162" s="25"/>
      <c r="N162" s="23">
        <f>TabelaPrincipal[[#This Row],[LANCE ATUAL]]*TabelaPrincipal[[#This Row],[QTD]]</f>
        <v>479.7</v>
      </c>
      <c r="O162" s="41" t="str">
        <f>IF(TabelaPrincipal[[#This Row],[LANCE ATUAL]]&lt;=(VLOOKUP(TabelaPrincipal[[#This Row],[ITEM]],TabelaModelo,5,FALSE)*0.5),"Inexequível","")</f>
        <v/>
      </c>
    </row>
    <row r="163" spans="1:15" ht="15" customHeight="1" x14ac:dyDescent="0.25">
      <c r="A163" s="4">
        <v>406</v>
      </c>
      <c r="B163" s="3" t="str">
        <f>VLOOKUP(TabelaPrincipal[[#This Row],[ITEM]],TabelaModelo,2,FALSE)</f>
        <v>Colecalciferol, concentração: 50.000 UI</v>
      </c>
      <c r="C163" s="1" t="str">
        <f>VLOOKUP(TabelaPrincipal[[#This Row],[ITEM]],TabelaModelo,3,FALSE)</f>
        <v>Cápsula</v>
      </c>
      <c r="D163" s="1">
        <f>VLOOKUP(TabelaPrincipal[[#This Row],[ITEM]],TabelaModelo,4,FALSE)</f>
        <v>500</v>
      </c>
      <c r="E163" s="1" t="s">
        <v>802</v>
      </c>
      <c r="F163" s="23">
        <v>2.71</v>
      </c>
      <c r="G163" s="8">
        <f>IF(_xlfn.ISFORMULA(TabelaPrincipal[[#This Row],[CUSTO + PERCENTUAL DE ENTRADA]]),0.4,(TabelaPrincipal[[#This Row],[CUSTO + PERCENTUAL DE ENTRADA]]-TabelaPrincipal[[#This Row],[VALOR DE CUSTO]])/TabelaPrincipal[[#This Row],[VALOR DE CUSTO]])</f>
        <v>5.8376383763837643</v>
      </c>
      <c r="H163" s="2">
        <v>18.53</v>
      </c>
      <c r="I163" s="5">
        <f t="shared" si="2"/>
        <v>9265</v>
      </c>
      <c r="J163" s="8">
        <v>0.15</v>
      </c>
      <c r="K163" s="2">
        <f>ROUND(F163+(F163*TabelaPrincipal[[#This Row],[PERCENTUAL MÍNIMO]]), 2)</f>
        <v>3.12</v>
      </c>
      <c r="L163" s="24">
        <v>3.12</v>
      </c>
      <c r="M163" s="25"/>
      <c r="N163" s="23">
        <f>TabelaPrincipal[[#This Row],[LANCE ATUAL]]*TabelaPrincipal[[#This Row],[QTD]]</f>
        <v>1560</v>
      </c>
      <c r="O163" s="41" t="str">
        <f>IF(TabelaPrincipal[[#This Row],[LANCE ATUAL]]&lt;=(VLOOKUP(TabelaPrincipal[[#This Row],[ITEM]],TabelaModelo,5,FALSE)*0.5),"Inexequível","")</f>
        <v>Inexequível</v>
      </c>
    </row>
    <row r="164" spans="1:15" ht="15" customHeight="1" x14ac:dyDescent="0.25">
      <c r="A164" s="4">
        <v>407</v>
      </c>
      <c r="B164" s="3" t="str">
        <f>VLOOKUP(TabelaPrincipal[[#This Row],[ITEM]],TabelaModelo,2,FALSE)</f>
        <v>Ácido acetilsalicílico (AAS) 100 mg</v>
      </c>
      <c r="C164" s="1" t="str">
        <f>VLOOKUP(TabelaPrincipal[[#This Row],[ITEM]],TabelaModelo,3,FALSE)</f>
        <v>Comprimido</v>
      </c>
      <c r="D164" s="1">
        <f>VLOOKUP(TabelaPrincipal[[#This Row],[ITEM]],TabelaModelo,4,FALSE)</f>
        <v>500</v>
      </c>
      <c r="E164" s="1" t="s">
        <v>804</v>
      </c>
      <c r="F164" s="23">
        <v>0.06</v>
      </c>
      <c r="G164" s="8">
        <f>IF(_xlfn.ISFORMULA(TabelaPrincipal[[#This Row],[CUSTO + PERCENTUAL DE ENTRADA]]),0.4,(TabelaPrincipal[[#This Row],[CUSTO + PERCENTUAL DE ENTRADA]]-TabelaPrincipal[[#This Row],[VALOR DE CUSTO]])/TabelaPrincipal[[#This Row],[VALOR DE CUSTO]])</f>
        <v>14.500000000000002</v>
      </c>
      <c r="H164" s="2">
        <v>0.93</v>
      </c>
      <c r="I164" s="5">
        <f t="shared" si="2"/>
        <v>465</v>
      </c>
      <c r="J164" s="8">
        <v>0.15</v>
      </c>
      <c r="K164" s="2">
        <f>ROUND(F164+(F164*TabelaPrincipal[[#This Row],[PERCENTUAL MÍNIMO]]), 2)</f>
        <v>7.0000000000000007E-2</v>
      </c>
      <c r="L164" s="24">
        <v>7.0000000000000007E-2</v>
      </c>
      <c r="M164" s="25"/>
      <c r="N164" s="23">
        <f>TabelaPrincipal[[#This Row],[LANCE ATUAL]]*TabelaPrincipal[[#This Row],[QTD]]</f>
        <v>35</v>
      </c>
      <c r="O164" s="41" t="str">
        <f>IF(TabelaPrincipal[[#This Row],[LANCE ATUAL]]&lt;=(VLOOKUP(TabelaPrincipal[[#This Row],[ITEM]],TabelaModelo,5,FALSE)*0.5),"Inexequível","")</f>
        <v>Inexequível</v>
      </c>
    </row>
    <row r="165" spans="1:15" ht="15" customHeight="1" x14ac:dyDescent="0.25">
      <c r="A165" s="4">
        <v>409</v>
      </c>
      <c r="B165" s="3" t="str">
        <f>VLOOKUP(TabelaPrincipal[[#This Row],[ITEM]],TabelaModelo,2,FALSE)</f>
        <v>Ácido tranexâmico 50 mg/mL solução injetável</v>
      </c>
      <c r="C165" s="1" t="str">
        <f>VLOOKUP(TabelaPrincipal[[#This Row],[ITEM]],TabelaModelo,3,FALSE)</f>
        <v>Ampola</v>
      </c>
      <c r="D165" s="1">
        <f>VLOOKUP(TabelaPrincipal[[#This Row],[ITEM]],TabelaModelo,4,FALSE)</f>
        <v>50</v>
      </c>
      <c r="E165" s="1" t="s">
        <v>807</v>
      </c>
      <c r="F165" s="23">
        <v>5.9</v>
      </c>
      <c r="G165" s="8">
        <f>IF(_xlfn.ISFORMULA(TabelaPrincipal[[#This Row],[CUSTO + PERCENTUAL DE ENTRADA]]),0.4,(TabelaPrincipal[[#This Row],[CUSTO + PERCENTUAL DE ENTRADA]]-TabelaPrincipal[[#This Row],[VALOR DE CUSTO]])/TabelaPrincipal[[#This Row],[VALOR DE CUSTO]])</f>
        <v>0.4</v>
      </c>
      <c r="H165" s="2">
        <f>ROUND(F165+(F165*TabelaPrincipal[[#This Row],[PERCENTUAL DE ENTRADA]]), 2)</f>
        <v>8.26</v>
      </c>
      <c r="I165" s="5">
        <f t="shared" si="2"/>
        <v>413</v>
      </c>
      <c r="J165" s="8">
        <v>0.15</v>
      </c>
      <c r="K165" s="2">
        <f>ROUND(F165+(F165*TabelaPrincipal[[#This Row],[PERCENTUAL MÍNIMO]]), 2)</f>
        <v>6.79</v>
      </c>
      <c r="L165" s="24">
        <v>6.79</v>
      </c>
      <c r="M165" s="25"/>
      <c r="N165" s="23">
        <f>TabelaPrincipal[[#This Row],[LANCE ATUAL]]*TabelaPrincipal[[#This Row],[QTD]]</f>
        <v>339.5</v>
      </c>
      <c r="O165" s="41" t="str">
        <f>IF(TabelaPrincipal[[#This Row],[LANCE ATUAL]]&lt;=(VLOOKUP(TabelaPrincipal[[#This Row],[ITEM]],TabelaModelo,5,FALSE)*0.5),"Inexequível","")</f>
        <v/>
      </c>
    </row>
    <row r="166" spans="1:15" ht="15" customHeight="1" x14ac:dyDescent="0.25">
      <c r="A166" s="4">
        <v>410</v>
      </c>
      <c r="B166" s="3" t="str">
        <f>VLOOKUP(TabelaPrincipal[[#This Row],[ITEM]],TabelaModelo,2,FALSE)</f>
        <v>Adenosina 3 mg/mL solução injetável</v>
      </c>
      <c r="C166" s="1" t="str">
        <f>VLOOKUP(TabelaPrincipal[[#This Row],[ITEM]],TabelaModelo,3,FALSE)</f>
        <v>Ampola</v>
      </c>
      <c r="D166" s="1">
        <f>VLOOKUP(TabelaPrincipal[[#This Row],[ITEM]],TabelaModelo,4,FALSE)</f>
        <v>100</v>
      </c>
      <c r="E166" s="1" t="s">
        <v>807</v>
      </c>
      <c r="F166" s="23">
        <v>13.9</v>
      </c>
      <c r="G166" s="8">
        <f>IF(_xlfn.ISFORMULA(TabelaPrincipal[[#This Row],[CUSTO + PERCENTUAL DE ENTRADA]]),0.4,(TabelaPrincipal[[#This Row],[CUSTO + PERCENTUAL DE ENTRADA]]-TabelaPrincipal[[#This Row],[VALOR DE CUSTO]])/TabelaPrincipal[[#This Row],[VALOR DE CUSTO]])</f>
        <v>0.4</v>
      </c>
      <c r="H166" s="2">
        <f>ROUND(F166+(F166*TabelaPrincipal[[#This Row],[PERCENTUAL DE ENTRADA]]), 2)</f>
        <v>19.46</v>
      </c>
      <c r="I166" s="5">
        <f t="shared" si="2"/>
        <v>1946</v>
      </c>
      <c r="J166" s="8">
        <v>0.15</v>
      </c>
      <c r="K166" s="2">
        <f>ROUND(F166+(F166*TabelaPrincipal[[#This Row],[PERCENTUAL MÍNIMO]]), 2)</f>
        <v>15.99</v>
      </c>
      <c r="L166" s="24">
        <v>15.99</v>
      </c>
      <c r="M166" s="25"/>
      <c r="N166" s="23">
        <f>TabelaPrincipal[[#This Row],[LANCE ATUAL]]*TabelaPrincipal[[#This Row],[QTD]]</f>
        <v>1599</v>
      </c>
      <c r="O166" s="41" t="str">
        <f>IF(TabelaPrincipal[[#This Row],[LANCE ATUAL]]&lt;=(VLOOKUP(TabelaPrincipal[[#This Row],[ITEM]],TabelaModelo,5,FALSE)*0.5),"Inexequível","")</f>
        <v/>
      </c>
    </row>
    <row r="167" spans="1:15" ht="15" customHeight="1" x14ac:dyDescent="0.25">
      <c r="A167" s="4">
        <v>411</v>
      </c>
      <c r="B167" s="3" t="str">
        <f>VLOOKUP(TabelaPrincipal[[#This Row],[ITEM]],TabelaModelo,2,FALSE)</f>
        <v>Amiodarona 50 mg/mL solução injetável</v>
      </c>
      <c r="C167" s="1" t="str">
        <f>VLOOKUP(TabelaPrincipal[[#This Row],[ITEM]],TabelaModelo,3,FALSE)</f>
        <v>Ampola</v>
      </c>
      <c r="D167" s="1">
        <f>VLOOKUP(TabelaPrincipal[[#This Row],[ITEM]],TabelaModelo,4,FALSE)</f>
        <v>100</v>
      </c>
      <c r="E167" s="1" t="s">
        <v>807</v>
      </c>
      <c r="F167" s="23">
        <v>3.1</v>
      </c>
      <c r="G167" s="8">
        <f>IF(_xlfn.ISFORMULA(TabelaPrincipal[[#This Row],[CUSTO + PERCENTUAL DE ENTRADA]]),0.4,(TabelaPrincipal[[#This Row],[CUSTO + PERCENTUAL DE ENTRADA]]-TabelaPrincipal[[#This Row],[VALOR DE CUSTO]])/TabelaPrincipal[[#This Row],[VALOR DE CUSTO]])</f>
        <v>0.4</v>
      </c>
      <c r="H167" s="2">
        <f>ROUND(F167+(F167*TabelaPrincipal[[#This Row],[PERCENTUAL DE ENTRADA]]), 2)</f>
        <v>4.34</v>
      </c>
      <c r="I167" s="5">
        <f t="shared" si="2"/>
        <v>434</v>
      </c>
      <c r="J167" s="8">
        <v>0.15</v>
      </c>
      <c r="K167" s="2">
        <f>ROUND(F167+(F167*TabelaPrincipal[[#This Row],[PERCENTUAL MÍNIMO]]), 2)</f>
        <v>3.57</v>
      </c>
      <c r="L167" s="24">
        <v>3.57</v>
      </c>
      <c r="M167" s="25"/>
      <c r="N167" s="23">
        <f>TabelaPrincipal[[#This Row],[LANCE ATUAL]]*TabelaPrincipal[[#This Row],[QTD]]</f>
        <v>357</v>
      </c>
      <c r="O167" s="41" t="str">
        <f>IF(TabelaPrincipal[[#This Row],[LANCE ATUAL]]&lt;=(VLOOKUP(TabelaPrincipal[[#This Row],[ITEM]],TabelaModelo,5,FALSE)*0.5),"Inexequível","")</f>
        <v/>
      </c>
    </row>
    <row r="168" spans="1:15" ht="15" customHeight="1" x14ac:dyDescent="0.25">
      <c r="A168" s="4">
        <v>412</v>
      </c>
      <c r="B168" s="3" t="str">
        <f>VLOOKUP(TabelaPrincipal[[#This Row],[ITEM]],TabelaModelo,2,FALSE)</f>
        <v>Bicarbonato de sódio 1mEq/mL (8,4%) solução
injetável</v>
      </c>
      <c r="C168" s="1" t="str">
        <f>VLOOKUP(TabelaPrincipal[[#This Row],[ITEM]],TabelaModelo,3,FALSE)</f>
        <v>Ampola 10
ml</v>
      </c>
      <c r="D168" s="1">
        <f>VLOOKUP(TabelaPrincipal[[#This Row],[ITEM]],TabelaModelo,4,FALSE)</f>
        <v>300</v>
      </c>
      <c r="E168" s="1" t="s">
        <v>809</v>
      </c>
      <c r="F168" s="23">
        <v>1</v>
      </c>
      <c r="G168" s="8">
        <f>IF(_xlfn.ISFORMULA(TabelaPrincipal[[#This Row],[CUSTO + PERCENTUAL DE ENTRADA]]),0.4,(TabelaPrincipal[[#This Row],[CUSTO + PERCENTUAL DE ENTRADA]]-TabelaPrincipal[[#This Row],[VALOR DE CUSTO]])/TabelaPrincipal[[#This Row],[VALOR DE CUSTO]])</f>
        <v>0.4</v>
      </c>
      <c r="H168" s="2">
        <f>ROUND(F168+(F168*TabelaPrincipal[[#This Row],[PERCENTUAL DE ENTRADA]]), 2)</f>
        <v>1.4</v>
      </c>
      <c r="I168" s="5">
        <f t="shared" si="2"/>
        <v>420</v>
      </c>
      <c r="J168" s="8">
        <v>0.15</v>
      </c>
      <c r="K168" s="2">
        <f>ROUND(F168+(F168*TabelaPrincipal[[#This Row],[PERCENTUAL MÍNIMO]]), 2)</f>
        <v>1.1499999999999999</v>
      </c>
      <c r="L168" s="24">
        <v>1.1499999999999999</v>
      </c>
      <c r="M168" s="25"/>
      <c r="N168" s="23">
        <f>TabelaPrincipal[[#This Row],[LANCE ATUAL]]*TabelaPrincipal[[#This Row],[QTD]]</f>
        <v>345</v>
      </c>
      <c r="O168" s="41" t="str">
        <f>IF(TabelaPrincipal[[#This Row],[LANCE ATUAL]]&lt;=(VLOOKUP(TabelaPrincipal[[#This Row],[ITEM]],TabelaModelo,5,FALSE)*0.5),"Inexequível","")</f>
        <v/>
      </c>
    </row>
    <row r="169" spans="1:15" ht="15" customHeight="1" x14ac:dyDescent="0.25">
      <c r="A169" s="4">
        <v>413</v>
      </c>
      <c r="B169" s="3" t="str">
        <f>VLOOKUP(TabelaPrincipal[[#This Row],[ITEM]],TabelaModelo,2,FALSE)</f>
        <v>Cefalotina sódica, concentração: 1 g, forma farmacêutica: pó liófilo p, injetável</v>
      </c>
      <c r="C169" s="1" t="str">
        <f>VLOOKUP(TabelaPrincipal[[#This Row],[ITEM]],TabelaModelo,3,FALSE)</f>
        <v>Frasco- ampola</v>
      </c>
      <c r="D169" s="1">
        <f>VLOOKUP(TabelaPrincipal[[#This Row],[ITEM]],TabelaModelo,4,FALSE)</f>
        <v>50</v>
      </c>
      <c r="E169" s="1" t="s">
        <v>795</v>
      </c>
      <c r="F169" s="23">
        <v>5.99</v>
      </c>
      <c r="G169" s="8">
        <f>IF(_xlfn.ISFORMULA(TabelaPrincipal[[#This Row],[CUSTO + PERCENTUAL DE ENTRADA]]),0.4,(TabelaPrincipal[[#This Row],[CUSTO + PERCENTUAL DE ENTRADA]]-TabelaPrincipal[[#This Row],[VALOR DE CUSTO]])/TabelaPrincipal[[#This Row],[VALOR DE CUSTO]])</f>
        <v>0.4</v>
      </c>
      <c r="H169" s="2">
        <f>ROUND(F169+(F169*TabelaPrincipal[[#This Row],[PERCENTUAL DE ENTRADA]]), 2)</f>
        <v>8.39</v>
      </c>
      <c r="I169" s="5">
        <f t="shared" si="2"/>
        <v>419.5</v>
      </c>
      <c r="J169" s="8">
        <v>0.15</v>
      </c>
      <c r="K169" s="2">
        <f>ROUND(F169+(F169*TabelaPrincipal[[#This Row],[PERCENTUAL MÍNIMO]]), 2)</f>
        <v>6.89</v>
      </c>
      <c r="L169" s="24">
        <v>6.89</v>
      </c>
      <c r="M169" s="25"/>
      <c r="N169" s="23">
        <f>TabelaPrincipal[[#This Row],[LANCE ATUAL]]*TabelaPrincipal[[#This Row],[QTD]]</f>
        <v>344.5</v>
      </c>
      <c r="O169" s="41" t="str">
        <f>IF(TabelaPrincipal[[#This Row],[LANCE ATUAL]]&lt;=(VLOOKUP(TabelaPrincipal[[#This Row],[ITEM]],TabelaModelo,5,FALSE)*0.5),"Inexequível","")</f>
        <v/>
      </c>
    </row>
    <row r="170" spans="1:15" ht="15" customHeight="1" x14ac:dyDescent="0.25">
      <c r="A170" s="4">
        <v>414</v>
      </c>
      <c r="B170" s="3" t="str">
        <f>VLOOKUP(TabelaPrincipal[[#This Row],[ITEM]],TabelaModelo,2,FALSE)</f>
        <v>Ceftriaxona sódica, concentração: 500 mg, forma farmacêutica: pó p, solução injetável + diluente</v>
      </c>
      <c r="C170" s="1" t="str">
        <f>VLOOKUP(TabelaPrincipal[[#This Row],[ITEM]],TabelaModelo,3,FALSE)</f>
        <v>Frasco- ampola</v>
      </c>
      <c r="D170" s="1">
        <f>VLOOKUP(TabelaPrincipal[[#This Row],[ITEM]],TabelaModelo,4,FALSE)</f>
        <v>100</v>
      </c>
      <c r="E170" s="1" t="s">
        <v>810</v>
      </c>
      <c r="F170" s="23">
        <v>13.9</v>
      </c>
      <c r="G170" s="8">
        <f>IF(_xlfn.ISFORMULA(TabelaPrincipal[[#This Row],[CUSTO + PERCENTUAL DE ENTRADA]]),0.4,(TabelaPrincipal[[#This Row],[CUSTO + PERCENTUAL DE ENTRADA]]-TabelaPrincipal[[#This Row],[VALOR DE CUSTO]])/TabelaPrincipal[[#This Row],[VALOR DE CUSTO]])</f>
        <v>0.4</v>
      </c>
      <c r="H170" s="2">
        <f>ROUND(F170+(F170*TabelaPrincipal[[#This Row],[PERCENTUAL DE ENTRADA]]), 2)</f>
        <v>19.46</v>
      </c>
      <c r="I170" s="5">
        <f t="shared" si="2"/>
        <v>1946</v>
      </c>
      <c r="J170" s="8">
        <v>0.15</v>
      </c>
      <c r="K170" s="2">
        <f>ROUND(F170+(F170*TabelaPrincipal[[#This Row],[PERCENTUAL MÍNIMO]]), 2)</f>
        <v>15.99</v>
      </c>
      <c r="L170" s="24">
        <v>15.99</v>
      </c>
      <c r="M170" s="25"/>
      <c r="N170" s="23">
        <f>TabelaPrincipal[[#This Row],[LANCE ATUAL]]*TabelaPrincipal[[#This Row],[QTD]]</f>
        <v>1599</v>
      </c>
      <c r="O170" s="41" t="str">
        <f>IF(TabelaPrincipal[[#This Row],[LANCE ATUAL]]&lt;=(VLOOKUP(TabelaPrincipal[[#This Row],[ITEM]],TabelaModelo,5,FALSE)*0.5),"Inexequível","")</f>
        <v/>
      </c>
    </row>
    <row r="171" spans="1:15" ht="15" customHeight="1" x14ac:dyDescent="0.25">
      <c r="A171" s="4">
        <v>415</v>
      </c>
      <c r="B171" s="3" t="str">
        <f>VLOOKUP(TabelaPrincipal[[#This Row],[ITEM]],TabelaModelo,2,FALSE)</f>
        <v>Clopidogrel 75 mg comprimido</v>
      </c>
      <c r="C171" s="1" t="str">
        <f>VLOOKUP(TabelaPrincipal[[#This Row],[ITEM]],TabelaModelo,3,FALSE)</f>
        <v>Comprimido</v>
      </c>
      <c r="D171" s="1">
        <f>VLOOKUP(TabelaPrincipal[[#This Row],[ITEM]],TabelaModelo,4,FALSE)</f>
        <v>300</v>
      </c>
      <c r="E171" s="1" t="s">
        <v>802</v>
      </c>
      <c r="F171" s="23">
        <v>0.5</v>
      </c>
      <c r="G171" s="8">
        <f>IF(_xlfn.ISFORMULA(TabelaPrincipal[[#This Row],[CUSTO + PERCENTUAL DE ENTRADA]]),0.4,(TabelaPrincipal[[#This Row],[CUSTO + PERCENTUAL DE ENTRADA]]-TabelaPrincipal[[#This Row],[VALOR DE CUSTO]])/TabelaPrincipal[[#This Row],[VALOR DE CUSTO]])</f>
        <v>0.8600000000000001</v>
      </c>
      <c r="H171" s="2">
        <v>0.93</v>
      </c>
      <c r="I171" s="5">
        <f t="shared" si="2"/>
        <v>279</v>
      </c>
      <c r="J171" s="8">
        <v>0.15</v>
      </c>
      <c r="K171" s="2">
        <f>ROUND(F171+(F171*TabelaPrincipal[[#This Row],[PERCENTUAL MÍNIMO]]), 2)</f>
        <v>0.57999999999999996</v>
      </c>
      <c r="L171" s="24">
        <v>0.57999999999999996</v>
      </c>
      <c r="M171" s="25"/>
      <c r="N171" s="23">
        <f>TabelaPrincipal[[#This Row],[LANCE ATUAL]]*TabelaPrincipal[[#This Row],[QTD]]</f>
        <v>174</v>
      </c>
      <c r="O171" s="41" t="str">
        <f>IF(TabelaPrincipal[[#This Row],[LANCE ATUAL]]&lt;=(VLOOKUP(TabelaPrincipal[[#This Row],[ITEM]],TabelaModelo,5,FALSE)*0.5),"Inexequível","")</f>
        <v/>
      </c>
    </row>
    <row r="172" spans="1:15" ht="15" customHeight="1" x14ac:dyDescent="0.25">
      <c r="A172" s="4">
        <v>416</v>
      </c>
      <c r="B172" s="3" t="str">
        <f>VLOOKUP(TabelaPrincipal[[#This Row],[ITEM]],TabelaModelo,2,FALSE)</f>
        <v>Cloreto de potássio 2,56 mEq/mL (19,1%) solução injetável</v>
      </c>
      <c r="C172" s="1" t="str">
        <f>VLOOKUP(TabelaPrincipal[[#This Row],[ITEM]],TabelaModelo,3,FALSE)</f>
        <v>Ampola 10 ml</v>
      </c>
      <c r="D172" s="1">
        <f>VLOOKUP(TabelaPrincipal[[#This Row],[ITEM]],TabelaModelo,4,FALSE)</f>
        <v>100</v>
      </c>
      <c r="E172" s="1" t="s">
        <v>809</v>
      </c>
      <c r="F172" s="23">
        <v>0.9</v>
      </c>
      <c r="G172" s="8">
        <f>IF(_xlfn.ISFORMULA(TabelaPrincipal[[#This Row],[CUSTO + PERCENTUAL DE ENTRADA]]),0.4,(TabelaPrincipal[[#This Row],[CUSTO + PERCENTUAL DE ENTRADA]]-TabelaPrincipal[[#This Row],[VALOR DE CUSTO]])/TabelaPrincipal[[#This Row],[VALOR DE CUSTO]])</f>
        <v>0.4</v>
      </c>
      <c r="H172" s="2">
        <f>ROUND(F172+(F172*TabelaPrincipal[[#This Row],[PERCENTUAL DE ENTRADA]]), 2)</f>
        <v>1.26</v>
      </c>
      <c r="I172" s="5">
        <f t="shared" si="2"/>
        <v>126</v>
      </c>
      <c r="J172" s="8">
        <v>0.15</v>
      </c>
      <c r="K172" s="2">
        <f>ROUND(F172+(F172*TabelaPrincipal[[#This Row],[PERCENTUAL MÍNIMO]]), 2)</f>
        <v>1.04</v>
      </c>
      <c r="L172" s="24">
        <v>1.27</v>
      </c>
      <c r="M172" s="25">
        <v>1</v>
      </c>
      <c r="N172" s="23">
        <f>TabelaPrincipal[[#This Row],[LANCE ATUAL]]*TabelaPrincipal[[#This Row],[QTD]]</f>
        <v>127</v>
      </c>
      <c r="O172" s="41" t="str">
        <f>IF(TabelaPrincipal[[#This Row],[LANCE ATUAL]]&lt;=(VLOOKUP(TabelaPrincipal[[#This Row],[ITEM]],TabelaModelo,5,FALSE)*0.5),"Inexequível","")</f>
        <v/>
      </c>
    </row>
    <row r="173" spans="1:15" ht="15" customHeight="1" x14ac:dyDescent="0.25">
      <c r="A173" s="4">
        <v>417</v>
      </c>
      <c r="B173" s="3" t="str">
        <f>VLOOKUP(TabelaPrincipal[[#This Row],[ITEM]],TabelaModelo,2,FALSE)</f>
        <v>Cloreto de sódio 3,4 mEq/mL (20%) solução injetável</v>
      </c>
      <c r="C173" s="1" t="str">
        <f>VLOOKUP(TabelaPrincipal[[#This Row],[ITEM]],TabelaModelo,3,FALSE)</f>
        <v>Ampola 10 ml</v>
      </c>
      <c r="D173" s="1">
        <f>VLOOKUP(TabelaPrincipal[[#This Row],[ITEM]],TabelaModelo,4,FALSE)</f>
        <v>100</v>
      </c>
      <c r="E173" s="1" t="s">
        <v>809</v>
      </c>
      <c r="F173" s="23">
        <v>1</v>
      </c>
      <c r="G173" s="8">
        <f>IF(_xlfn.ISFORMULA(TabelaPrincipal[[#This Row],[CUSTO + PERCENTUAL DE ENTRADA]]),0.4,(TabelaPrincipal[[#This Row],[CUSTO + PERCENTUAL DE ENTRADA]]-TabelaPrincipal[[#This Row],[VALOR DE CUSTO]])/TabelaPrincipal[[#This Row],[VALOR DE CUSTO]])</f>
        <v>0.4</v>
      </c>
      <c r="H173" s="2">
        <f>ROUND(F173+(F173*TabelaPrincipal[[#This Row],[PERCENTUAL DE ENTRADA]]), 2)</f>
        <v>1.4</v>
      </c>
      <c r="I173" s="5">
        <f t="shared" si="2"/>
        <v>140</v>
      </c>
      <c r="J173" s="8">
        <v>0.15</v>
      </c>
      <c r="K173" s="2">
        <f>ROUND(F173+(F173*TabelaPrincipal[[#This Row],[PERCENTUAL MÍNIMO]]), 2)</f>
        <v>1.1499999999999999</v>
      </c>
      <c r="L173" s="24">
        <v>1.39</v>
      </c>
      <c r="M173" s="25">
        <v>1</v>
      </c>
      <c r="N173" s="23">
        <f>TabelaPrincipal[[#This Row],[LANCE ATUAL]]*TabelaPrincipal[[#This Row],[QTD]]</f>
        <v>139</v>
      </c>
      <c r="O173" s="41" t="str">
        <f>IF(TabelaPrincipal[[#This Row],[LANCE ATUAL]]&lt;=(VLOOKUP(TabelaPrincipal[[#This Row],[ITEM]],TabelaModelo,5,FALSE)*0.5),"Inexequível","")</f>
        <v/>
      </c>
    </row>
    <row r="174" spans="1:15" ht="15" customHeight="1" x14ac:dyDescent="0.25">
      <c r="A174" s="4">
        <v>418</v>
      </c>
      <c r="B174" s="3" t="str">
        <f>VLOOKUP(TabelaPrincipal[[#This Row],[ITEM]],TabelaModelo,2,FALSE)</f>
        <v>Dipirona 500 mg comprimido</v>
      </c>
      <c r="C174" s="1" t="str">
        <f>VLOOKUP(TabelaPrincipal[[#This Row],[ITEM]],TabelaModelo,3,FALSE)</f>
        <v>Comprimido</v>
      </c>
      <c r="D174" s="1">
        <f>VLOOKUP(TabelaPrincipal[[#This Row],[ITEM]],TabelaModelo,4,FALSE)</f>
        <v>5000</v>
      </c>
      <c r="E174" s="1" t="s">
        <v>811</v>
      </c>
      <c r="F174" s="23">
        <v>0.24</v>
      </c>
      <c r="G174" s="8">
        <f>IF(_xlfn.ISFORMULA(TabelaPrincipal[[#This Row],[CUSTO + PERCENTUAL DE ENTRADA]]),0.4,(TabelaPrincipal[[#This Row],[CUSTO + PERCENTUAL DE ENTRADA]]-TabelaPrincipal[[#This Row],[VALOR DE CUSTO]])/TabelaPrincipal[[#This Row],[VALOR DE CUSTO]])</f>
        <v>0.4</v>
      </c>
      <c r="H174" s="2">
        <f>ROUND(F174+(F174*TabelaPrincipal[[#This Row],[PERCENTUAL DE ENTRADA]]), 2)</f>
        <v>0.34</v>
      </c>
      <c r="I174" s="5">
        <f t="shared" si="2"/>
        <v>1700.0000000000002</v>
      </c>
      <c r="J174" s="8">
        <v>0.15</v>
      </c>
      <c r="K174" s="2">
        <f>ROUND(F174+(F174*TabelaPrincipal[[#This Row],[PERCENTUAL MÍNIMO]]), 2)</f>
        <v>0.28000000000000003</v>
      </c>
      <c r="L174" s="24">
        <v>0.28000000000000003</v>
      </c>
      <c r="M174" s="25"/>
      <c r="N174" s="23">
        <f>TabelaPrincipal[[#This Row],[LANCE ATUAL]]*TabelaPrincipal[[#This Row],[QTD]]</f>
        <v>1400.0000000000002</v>
      </c>
      <c r="O174" s="41" t="str">
        <f>IF(TabelaPrincipal[[#This Row],[LANCE ATUAL]]&lt;=(VLOOKUP(TabelaPrincipal[[#This Row],[ITEM]],TabelaModelo,5,FALSE)*0.5),"Inexequível","")</f>
        <v/>
      </c>
    </row>
    <row r="175" spans="1:15" ht="15" customHeight="1" x14ac:dyDescent="0.25">
      <c r="A175" s="4">
        <v>419</v>
      </c>
      <c r="B175" s="3" t="str">
        <f>VLOOKUP(TabelaPrincipal[[#This Row],[ITEM]],TabelaModelo,2,FALSE)</f>
        <v>Dipirona 500 mg/mL solução injetável</v>
      </c>
      <c r="C175" s="1" t="str">
        <f>VLOOKUP(TabelaPrincipal[[#This Row],[ITEM]],TabelaModelo,3,FALSE)</f>
        <v>Ampola 2 ml</v>
      </c>
      <c r="D175" s="1">
        <f>VLOOKUP(TabelaPrincipal[[#This Row],[ITEM]],TabelaModelo,4,FALSE)</f>
        <v>500</v>
      </c>
      <c r="E175" s="1" t="s">
        <v>805</v>
      </c>
      <c r="F175" s="23">
        <v>0.92</v>
      </c>
      <c r="G175" s="8">
        <v>0</v>
      </c>
      <c r="H175" s="2">
        <f>ROUND(F175+(F175*TabelaPrincipal[[#This Row],[PERCENTUAL DE ENTRADA]]), 2)</f>
        <v>0.92</v>
      </c>
      <c r="I175" s="5">
        <f t="shared" si="2"/>
        <v>460</v>
      </c>
      <c r="J175" s="8">
        <f>IF(TabelaPrincipal[[#This Row],[PERCENTUAL DE ENTRADA]]&gt;0,0.15,0)</f>
        <v>0</v>
      </c>
      <c r="K175" s="2">
        <f>ROUND(F175+(F175*TabelaPrincipal[[#This Row],[PERCENTUAL MÍNIMO]]), 2)</f>
        <v>0.92</v>
      </c>
      <c r="L175" s="24">
        <f>IF(TabelaPrincipal[[#This Row],[PERCENTUAL DE ENTRADA]]=0,TabelaPrincipal[[#This Row],[VALOR MÍNIMO]],0)</f>
        <v>0.92</v>
      </c>
      <c r="M175" s="25"/>
      <c r="N175" s="23">
        <f>TabelaPrincipal[[#This Row],[LANCE ATUAL]]*TabelaPrincipal[[#This Row],[QTD]]</f>
        <v>460</v>
      </c>
      <c r="O175" s="41" t="str">
        <f>IF(TabelaPrincipal[[#This Row],[LANCE ATUAL]]&lt;=(VLOOKUP(TabelaPrincipal[[#This Row],[ITEM]],TabelaModelo,5,FALSE)*0.5),"Inexequível","")</f>
        <v/>
      </c>
    </row>
    <row r="176" spans="1:15" ht="15" customHeight="1" x14ac:dyDescent="0.25">
      <c r="A176" s="4">
        <v>420</v>
      </c>
      <c r="B176" s="3" t="str">
        <f>VLOOKUP(TabelaPrincipal[[#This Row],[ITEM]],TabelaModelo,2,FALSE)</f>
        <v>Dimenidrinato, apresentação: associado com piridoxina + glicose + frutose, dosagem: 3mg + 5mg + 100mg + 100mg/ml, tipo medicamento: solução injetável</v>
      </c>
      <c r="C176" s="1" t="str">
        <f>VLOOKUP(TabelaPrincipal[[#This Row],[ITEM]],TabelaModelo,3,FALSE)</f>
        <v>Ampola 10 ml</v>
      </c>
      <c r="D176" s="1">
        <f>VLOOKUP(TabelaPrincipal[[#This Row],[ITEM]],TabelaModelo,4,FALSE)</f>
        <v>500</v>
      </c>
      <c r="E176" s="1" t="s">
        <v>813</v>
      </c>
      <c r="F176" s="23">
        <v>12</v>
      </c>
      <c r="G176" s="8">
        <f>IF(_xlfn.ISFORMULA(TabelaPrincipal[[#This Row],[CUSTO + PERCENTUAL DE ENTRADA]]),0.4,(TabelaPrincipal[[#This Row],[CUSTO + PERCENTUAL DE ENTRADA]]-TabelaPrincipal[[#This Row],[VALOR DE CUSTO]])/TabelaPrincipal[[#This Row],[VALOR DE CUSTO]])</f>
        <v>0.4</v>
      </c>
      <c r="H176" s="2">
        <f>ROUND(F176+(F176*TabelaPrincipal[[#This Row],[PERCENTUAL DE ENTRADA]]), 2)</f>
        <v>16.8</v>
      </c>
      <c r="I176" s="5">
        <f t="shared" si="2"/>
        <v>8400</v>
      </c>
      <c r="J176" s="8">
        <v>0.15</v>
      </c>
      <c r="K176" s="2">
        <f>ROUND(F176+(F176*TabelaPrincipal[[#This Row],[PERCENTUAL MÍNIMO]]), 2)</f>
        <v>13.8</v>
      </c>
      <c r="L176" s="24">
        <v>16.8</v>
      </c>
      <c r="M176" s="25"/>
      <c r="N176" s="23">
        <f>TabelaPrincipal[[#This Row],[LANCE ATUAL]]*TabelaPrincipal[[#This Row],[QTD]]</f>
        <v>8400</v>
      </c>
      <c r="O176" s="41" t="str">
        <f>IF(TabelaPrincipal[[#This Row],[LANCE ATUAL]]&lt;=(VLOOKUP(TabelaPrincipal[[#This Row],[ITEM]],TabelaModelo,5,FALSE)*0.5),"Inexequível","")</f>
        <v/>
      </c>
    </row>
    <row r="177" spans="1:15" ht="15" customHeight="1" x14ac:dyDescent="0.25">
      <c r="A177" s="4">
        <v>422</v>
      </c>
      <c r="B177" s="3" t="str">
        <f>VLOOKUP(TabelaPrincipal[[#This Row],[ITEM]],TabelaModelo,2,FALSE)</f>
        <v>Dobutamina cloridrato, dosagem: 12,5 mg/ml, indicação: injetável</v>
      </c>
      <c r="C177" s="1" t="str">
        <f>VLOOKUP(TabelaPrincipal[[#This Row],[ITEM]],TabelaModelo,3,FALSE)</f>
        <v>Ampola 10ml</v>
      </c>
      <c r="D177" s="1">
        <f>VLOOKUP(TabelaPrincipal[[#This Row],[ITEM]],TabelaModelo,4,FALSE)</f>
        <v>100</v>
      </c>
      <c r="E177" s="1" t="s">
        <v>796</v>
      </c>
      <c r="F177" s="23">
        <v>8.9</v>
      </c>
      <c r="G177" s="8">
        <f>IF(_xlfn.ISFORMULA(TabelaPrincipal[[#This Row],[CUSTO + PERCENTUAL DE ENTRADA]]),0.4,(TabelaPrincipal[[#This Row],[CUSTO + PERCENTUAL DE ENTRADA]]-TabelaPrincipal[[#This Row],[VALOR DE CUSTO]])/TabelaPrincipal[[#This Row],[VALOR DE CUSTO]])</f>
        <v>0.99438202247190999</v>
      </c>
      <c r="H177" s="2">
        <v>17.75</v>
      </c>
      <c r="I177" s="5">
        <f t="shared" si="2"/>
        <v>1775</v>
      </c>
      <c r="J177" s="8">
        <v>0.15</v>
      </c>
      <c r="K177" s="2">
        <f>ROUND(F177+(F177*TabelaPrincipal[[#This Row],[PERCENTUAL MÍNIMO]]), 2)</f>
        <v>10.24</v>
      </c>
      <c r="L177" s="24">
        <v>10.24</v>
      </c>
      <c r="M177" s="25"/>
      <c r="N177" s="23">
        <f>TabelaPrincipal[[#This Row],[LANCE ATUAL]]*TabelaPrincipal[[#This Row],[QTD]]</f>
        <v>1024</v>
      </c>
      <c r="O177" s="41" t="str">
        <f>IF(TabelaPrincipal[[#This Row],[LANCE ATUAL]]&lt;=(VLOOKUP(TabelaPrincipal[[#This Row],[ITEM]],TabelaModelo,5,FALSE)*0.5),"Inexequível","")</f>
        <v/>
      </c>
    </row>
    <row r="178" spans="1:15" ht="15" customHeight="1" x14ac:dyDescent="0.25">
      <c r="A178" s="4">
        <v>423</v>
      </c>
      <c r="B178" s="3" t="str">
        <f>VLOOKUP(TabelaPrincipal[[#This Row],[ITEM]],TabelaModelo,2,FALSE)</f>
        <v>Epinefrina, dosagem: 1 mg/ml, uso: solução injetável</v>
      </c>
      <c r="C178" s="1" t="str">
        <f>VLOOKUP(TabelaPrincipal[[#This Row],[ITEM]],TabelaModelo,3,FALSE)</f>
        <v>Ampola 1ml</v>
      </c>
      <c r="D178" s="1">
        <f>VLOOKUP(TabelaPrincipal[[#This Row],[ITEM]],TabelaModelo,4,FALSE)</f>
        <v>100</v>
      </c>
      <c r="E178" s="1" t="s">
        <v>807</v>
      </c>
      <c r="F178" s="23">
        <v>1.8</v>
      </c>
      <c r="G178" s="8">
        <f>IF(_xlfn.ISFORMULA(TabelaPrincipal[[#This Row],[CUSTO + PERCENTUAL DE ENTRADA]]),0.4,(TabelaPrincipal[[#This Row],[CUSTO + PERCENTUAL DE ENTRADA]]-TabelaPrincipal[[#This Row],[VALOR DE CUSTO]])/TabelaPrincipal[[#This Row],[VALOR DE CUSTO]])</f>
        <v>0.4</v>
      </c>
      <c r="H178" s="2">
        <f>ROUND(F178+(F178*TabelaPrincipal[[#This Row],[PERCENTUAL DE ENTRADA]]), 2)</f>
        <v>2.52</v>
      </c>
      <c r="I178" s="5">
        <f t="shared" si="2"/>
        <v>252</v>
      </c>
      <c r="J178" s="8">
        <v>0.15</v>
      </c>
      <c r="K178" s="2">
        <f>ROUND(F178+(F178*TabelaPrincipal[[#This Row],[PERCENTUAL MÍNIMO]]), 2)</f>
        <v>2.0699999999999998</v>
      </c>
      <c r="L178" s="24">
        <v>2.0699999999999998</v>
      </c>
      <c r="M178" s="25"/>
      <c r="N178" s="23">
        <f>TabelaPrincipal[[#This Row],[LANCE ATUAL]]*TabelaPrincipal[[#This Row],[QTD]]</f>
        <v>206.99999999999997</v>
      </c>
      <c r="O178" s="41" t="str">
        <f>IF(TabelaPrincipal[[#This Row],[LANCE ATUAL]]&lt;=(VLOOKUP(TabelaPrincipal[[#This Row],[ITEM]],TabelaModelo,5,FALSE)*0.5),"Inexequível","")</f>
        <v/>
      </c>
    </row>
    <row r="179" spans="1:15" ht="15" customHeight="1" x14ac:dyDescent="0.25">
      <c r="A179" s="4">
        <v>424</v>
      </c>
      <c r="B179" s="3" t="str">
        <f>VLOOKUP(TabelaPrincipal[[#This Row],[ITEM]],TabelaModelo,2,FALSE)</f>
        <v>Etilefrina 10 mg/mL solução injetável</v>
      </c>
      <c r="C179" s="1" t="str">
        <f>VLOOKUP(TabelaPrincipal[[#This Row],[ITEM]],TabelaModelo,3,FALSE)</f>
        <v>Ampola 1ml</v>
      </c>
      <c r="D179" s="1">
        <f>VLOOKUP(TabelaPrincipal[[#This Row],[ITEM]],TabelaModelo,4,FALSE)</f>
        <v>100</v>
      </c>
      <c r="E179" s="1" t="s">
        <v>814</v>
      </c>
      <c r="F179" s="23">
        <v>2.79</v>
      </c>
      <c r="G179" s="8">
        <v>0</v>
      </c>
      <c r="H179" s="2">
        <f>ROUND(F179+(F179*TabelaPrincipal[[#This Row],[PERCENTUAL DE ENTRADA]]), 2)</f>
        <v>2.79</v>
      </c>
      <c r="I179" s="5">
        <f t="shared" si="2"/>
        <v>279</v>
      </c>
      <c r="J179" s="8">
        <f>IF(TabelaPrincipal[[#This Row],[PERCENTUAL DE ENTRADA]]&gt;0,0.15,0)</f>
        <v>0</v>
      </c>
      <c r="K179" s="2">
        <f>ROUND(F179+(F179*TabelaPrincipal[[#This Row],[PERCENTUAL MÍNIMO]]), 2)</f>
        <v>2.79</v>
      </c>
      <c r="L179" s="24">
        <f>IF(TabelaPrincipal[[#This Row],[PERCENTUAL DE ENTRADA]]=0,TabelaPrincipal[[#This Row],[VALOR MÍNIMO]],0)</f>
        <v>2.79</v>
      </c>
      <c r="M179" s="25"/>
      <c r="N179" s="23">
        <f>TabelaPrincipal[[#This Row],[LANCE ATUAL]]*TabelaPrincipal[[#This Row],[QTD]]</f>
        <v>279</v>
      </c>
      <c r="O179" s="41" t="str">
        <f>IF(TabelaPrincipal[[#This Row],[LANCE ATUAL]]&lt;=(VLOOKUP(TabelaPrincipal[[#This Row],[ITEM]],TabelaModelo,5,FALSE)*0.5),"Inexequível","")</f>
        <v/>
      </c>
    </row>
    <row r="180" spans="1:15" ht="15" customHeight="1" x14ac:dyDescent="0.25">
      <c r="A180" s="4">
        <v>425</v>
      </c>
      <c r="B180" s="3" t="str">
        <f>VLOOKUP(TabelaPrincipal[[#This Row],[ITEM]],TabelaModelo,2,FALSE)</f>
        <v>Heparina sódica, dosagem: 5.000 ui,ml, indicação: injetável</v>
      </c>
      <c r="C180" s="1" t="str">
        <f>VLOOKUP(TabelaPrincipal[[#This Row],[ITEM]],TabelaModelo,3,FALSE)</f>
        <v>Ampola 0,25 ml</v>
      </c>
      <c r="D180" s="1">
        <f>VLOOKUP(TabelaPrincipal[[#This Row],[ITEM]],TabelaModelo,4,FALSE)</f>
        <v>200</v>
      </c>
      <c r="E180" s="1" t="s">
        <v>797</v>
      </c>
      <c r="F180" s="23">
        <v>10.5</v>
      </c>
      <c r="G180" s="8">
        <f>IF(_xlfn.ISFORMULA(TabelaPrincipal[[#This Row],[CUSTO + PERCENTUAL DE ENTRADA]]),0.4,(TabelaPrincipal[[#This Row],[CUSTO + PERCENTUAL DE ENTRADA]]-TabelaPrincipal[[#This Row],[VALOR DE CUSTO]])/TabelaPrincipal[[#This Row],[VALOR DE CUSTO]])</f>
        <v>0.82476190476190481</v>
      </c>
      <c r="H180" s="2">
        <v>19.16</v>
      </c>
      <c r="I180" s="5">
        <f t="shared" si="2"/>
        <v>3832</v>
      </c>
      <c r="J180" s="8">
        <v>0.15</v>
      </c>
      <c r="K180" s="2">
        <f>ROUND(F180+(F180*TabelaPrincipal[[#This Row],[PERCENTUAL MÍNIMO]]), 2)</f>
        <v>12.08</v>
      </c>
      <c r="L180" s="24">
        <v>12.08</v>
      </c>
      <c r="M180" s="25"/>
      <c r="N180" s="23">
        <f>TabelaPrincipal[[#This Row],[LANCE ATUAL]]*TabelaPrincipal[[#This Row],[QTD]]</f>
        <v>2416</v>
      </c>
      <c r="O180" s="41" t="str">
        <f>IF(TabelaPrincipal[[#This Row],[LANCE ATUAL]]&lt;=(VLOOKUP(TabelaPrincipal[[#This Row],[ITEM]],TabelaModelo,5,FALSE)*0.5),"Inexequível","")</f>
        <v/>
      </c>
    </row>
    <row r="181" spans="1:15" ht="15" customHeight="1" x14ac:dyDescent="0.25">
      <c r="A181" s="4">
        <v>426</v>
      </c>
      <c r="B181" s="3" t="str">
        <f>VLOOKUP(TabelaPrincipal[[#This Row],[ITEM]],TabelaModelo,2,FALSE)</f>
        <v>Heparina sódica, dosagem: 5.000 ui,ml, indicação: injetável</v>
      </c>
      <c r="C181" s="1" t="str">
        <f>VLOOKUP(TabelaPrincipal[[#This Row],[ITEM]],TabelaModelo,3,FALSE)</f>
        <v>Frasco 5 ml</v>
      </c>
      <c r="D181" s="1">
        <f>VLOOKUP(TabelaPrincipal[[#This Row],[ITEM]],TabelaModelo,4,FALSE)</f>
        <v>100</v>
      </c>
      <c r="E181" s="1" t="s">
        <v>797</v>
      </c>
      <c r="F181" s="23">
        <v>21</v>
      </c>
      <c r="G181" s="8">
        <f>IF(_xlfn.ISFORMULA(TabelaPrincipal[[#This Row],[CUSTO + PERCENTUAL DE ENTRADA]]),0.4,(TabelaPrincipal[[#This Row],[CUSTO + PERCENTUAL DE ENTRADA]]-TabelaPrincipal[[#This Row],[VALOR DE CUSTO]])/TabelaPrincipal[[#This Row],[VALOR DE CUSTO]])</f>
        <v>0.4642857142857143</v>
      </c>
      <c r="H181" s="2">
        <v>30.75</v>
      </c>
      <c r="I181" s="5">
        <f t="shared" si="2"/>
        <v>3075</v>
      </c>
      <c r="J181" s="8">
        <v>0.15</v>
      </c>
      <c r="K181" s="2">
        <f>ROUND(F181+(F181*TabelaPrincipal[[#This Row],[PERCENTUAL MÍNIMO]]), 2)</f>
        <v>24.15</v>
      </c>
      <c r="L181" s="24">
        <v>24.15</v>
      </c>
      <c r="M181" s="25"/>
      <c r="N181" s="23">
        <f>TabelaPrincipal[[#This Row],[LANCE ATUAL]]*TabelaPrincipal[[#This Row],[QTD]]</f>
        <v>2415</v>
      </c>
      <c r="O181" s="41" t="str">
        <f>IF(TabelaPrincipal[[#This Row],[LANCE ATUAL]]&lt;=(VLOOKUP(TabelaPrincipal[[#This Row],[ITEM]],TabelaModelo,5,FALSE)*0.5),"Inexequível","")</f>
        <v/>
      </c>
    </row>
    <row r="182" spans="1:15" ht="15" customHeight="1" x14ac:dyDescent="0.25">
      <c r="A182" s="4">
        <v>427</v>
      </c>
      <c r="B182" s="3" t="str">
        <f>VLOOKUP(TabelaPrincipal[[#This Row],[ITEM]],TabelaModelo,2,FALSE)</f>
        <v>Ivermectina 6 mg comprimido</v>
      </c>
      <c r="C182" s="1" t="str">
        <f>VLOOKUP(TabelaPrincipal[[#This Row],[ITEM]],TabelaModelo,3,FALSE)</f>
        <v>Comprimido</v>
      </c>
      <c r="D182" s="1">
        <f>VLOOKUP(TabelaPrincipal[[#This Row],[ITEM]],TabelaModelo,4,FALSE)</f>
        <v>500</v>
      </c>
      <c r="E182" s="1" t="s">
        <v>801</v>
      </c>
      <c r="F182" s="23">
        <v>1.73</v>
      </c>
      <c r="G182" s="8">
        <f>IF(_xlfn.ISFORMULA(TabelaPrincipal[[#This Row],[CUSTO + PERCENTUAL DE ENTRADA]]),0.4,(TabelaPrincipal[[#This Row],[CUSTO + PERCENTUAL DE ENTRADA]]-TabelaPrincipal[[#This Row],[VALOR DE CUSTO]])/TabelaPrincipal[[#This Row],[VALOR DE CUSTO]])</f>
        <v>0.4</v>
      </c>
      <c r="H182" s="2">
        <f>ROUND(F182+(F182*TabelaPrincipal[[#This Row],[PERCENTUAL DE ENTRADA]]), 2)</f>
        <v>2.42</v>
      </c>
      <c r="I182" s="5">
        <f t="shared" si="2"/>
        <v>1210</v>
      </c>
      <c r="J182" s="8">
        <v>0.15</v>
      </c>
      <c r="K182" s="2">
        <f>ROUND(F182+(F182*TabelaPrincipal[[#This Row],[PERCENTUAL MÍNIMO]]), 2)</f>
        <v>1.99</v>
      </c>
      <c r="L182" s="24">
        <v>1.99</v>
      </c>
      <c r="M182" s="25"/>
      <c r="N182" s="23">
        <f>TabelaPrincipal[[#This Row],[LANCE ATUAL]]*TabelaPrincipal[[#This Row],[QTD]]</f>
        <v>995</v>
      </c>
      <c r="O182" s="41" t="str">
        <f>IF(TabelaPrincipal[[#This Row],[LANCE ATUAL]]&lt;=(VLOOKUP(TabelaPrincipal[[#This Row],[ITEM]],TabelaModelo,5,FALSE)*0.5),"Inexequível","")</f>
        <v/>
      </c>
    </row>
    <row r="183" spans="1:15" ht="15" customHeight="1" x14ac:dyDescent="0.25">
      <c r="A183" s="4">
        <v>428</v>
      </c>
      <c r="B183" s="3" t="str">
        <f>VLOOKUP(TabelaPrincipal[[#This Row],[ITEM]],TabelaModelo,2,FALSE)</f>
        <v>Lactulose 667 mg/mL xarope</v>
      </c>
      <c r="C183" s="1" t="str">
        <f>VLOOKUP(TabelaPrincipal[[#This Row],[ITEM]],TabelaModelo,3,FALSE)</f>
        <v>Frasco 120 ml</v>
      </c>
      <c r="D183" s="1">
        <f>VLOOKUP(TabelaPrincipal[[#This Row],[ITEM]],TabelaModelo,4,FALSE)</f>
        <v>100</v>
      </c>
      <c r="E183" s="1" t="s">
        <v>816</v>
      </c>
      <c r="F183" s="23">
        <v>9.85</v>
      </c>
      <c r="G183" s="8">
        <f>IF(_xlfn.ISFORMULA(TabelaPrincipal[[#This Row],[CUSTO + PERCENTUAL DE ENTRADA]]),0.4,(TabelaPrincipal[[#This Row],[CUSTO + PERCENTUAL DE ENTRADA]]-TabelaPrincipal[[#This Row],[VALOR DE CUSTO]])/TabelaPrincipal[[#This Row],[VALOR DE CUSTO]])</f>
        <v>0.54923857868020309</v>
      </c>
      <c r="H183" s="2">
        <v>15.26</v>
      </c>
      <c r="I183" s="5">
        <f t="shared" si="2"/>
        <v>1526</v>
      </c>
      <c r="J183" s="8">
        <v>0.15</v>
      </c>
      <c r="K183" s="2">
        <f>ROUND(F183+(F183*TabelaPrincipal[[#This Row],[PERCENTUAL MÍNIMO]]), 2)</f>
        <v>11.33</v>
      </c>
      <c r="L183" s="24">
        <v>11.33</v>
      </c>
      <c r="M183" s="25"/>
      <c r="N183" s="23">
        <f>TabelaPrincipal[[#This Row],[LANCE ATUAL]]*TabelaPrincipal[[#This Row],[QTD]]</f>
        <v>1133</v>
      </c>
      <c r="O183" s="41" t="str">
        <f>IF(TabelaPrincipal[[#This Row],[LANCE ATUAL]]&lt;=(VLOOKUP(TabelaPrincipal[[#This Row],[ITEM]],TabelaModelo,5,FALSE)*0.5),"Inexequível","")</f>
        <v/>
      </c>
    </row>
    <row r="184" spans="1:15" ht="15" customHeight="1" x14ac:dyDescent="0.25">
      <c r="A184" s="4">
        <v>429</v>
      </c>
      <c r="B184" s="3" t="str">
        <f>VLOOKUP(TabelaPrincipal[[#This Row],[ITEM]],TabelaModelo,2,FALSE)</f>
        <v>Levofloxacino 500 mg comprimido</v>
      </c>
      <c r="C184" s="1" t="str">
        <f>VLOOKUP(TabelaPrincipal[[#This Row],[ITEM]],TabelaModelo,3,FALSE)</f>
        <v>Comprimido</v>
      </c>
      <c r="D184" s="1">
        <f>VLOOKUP(TabelaPrincipal[[#This Row],[ITEM]],TabelaModelo,4,FALSE)</f>
        <v>500</v>
      </c>
      <c r="E184" s="1" t="s">
        <v>817</v>
      </c>
      <c r="F184" s="23">
        <v>0.86</v>
      </c>
      <c r="G184" s="8">
        <f>IF(_xlfn.ISFORMULA(TabelaPrincipal[[#This Row],[CUSTO + PERCENTUAL DE ENTRADA]]),0.4,(TabelaPrincipal[[#This Row],[CUSTO + PERCENTUAL DE ENTRADA]]-TabelaPrincipal[[#This Row],[VALOR DE CUSTO]])/TabelaPrincipal[[#This Row],[VALOR DE CUSTO]])</f>
        <v>1.5465116279069768</v>
      </c>
      <c r="H184" s="2">
        <v>2.19</v>
      </c>
      <c r="I184" s="5">
        <f t="shared" si="2"/>
        <v>1095</v>
      </c>
      <c r="J184" s="8">
        <v>0.15</v>
      </c>
      <c r="K184" s="2">
        <f>ROUND(F184+(F184*TabelaPrincipal[[#This Row],[PERCENTUAL MÍNIMO]]), 2)</f>
        <v>0.99</v>
      </c>
      <c r="L184" s="24">
        <v>1</v>
      </c>
      <c r="M184" s="25"/>
      <c r="N184" s="23">
        <f>TabelaPrincipal[[#This Row],[LANCE ATUAL]]*TabelaPrincipal[[#This Row],[QTD]]</f>
        <v>500</v>
      </c>
      <c r="O184" s="41" t="str">
        <f>IF(TabelaPrincipal[[#This Row],[LANCE ATUAL]]&lt;=(VLOOKUP(TabelaPrincipal[[#This Row],[ITEM]],TabelaModelo,5,FALSE)*0.5),"Inexequível","")</f>
        <v>Inexequível</v>
      </c>
    </row>
    <row r="185" spans="1:15" ht="15" customHeight="1" x14ac:dyDescent="0.25">
      <c r="A185" s="4">
        <v>430</v>
      </c>
      <c r="B185" s="3" t="str">
        <f>VLOOKUP(TabelaPrincipal[[#This Row],[ITEM]],TabelaModelo,2,FALSE)</f>
        <v>Lidocaína 20 mg/g (2%) gel</v>
      </c>
      <c r="C185" s="1" t="str">
        <f>VLOOKUP(TabelaPrincipal[[#This Row],[ITEM]],TabelaModelo,3,FALSE)</f>
        <v>Bisnaga 20 g</v>
      </c>
      <c r="D185" s="1">
        <f>VLOOKUP(TabelaPrincipal[[#This Row],[ITEM]],TabelaModelo,4,FALSE)</f>
        <v>100</v>
      </c>
      <c r="E185" s="1" t="s">
        <v>808</v>
      </c>
      <c r="F185" s="23">
        <v>7.57</v>
      </c>
      <c r="G185" s="8">
        <f>IF(_xlfn.ISFORMULA(TabelaPrincipal[[#This Row],[CUSTO + PERCENTUAL DE ENTRADA]]),0.4,(TabelaPrincipal[[#This Row],[CUSTO + PERCENTUAL DE ENTRADA]]-TabelaPrincipal[[#This Row],[VALOR DE CUSTO]])/TabelaPrincipal[[#This Row],[VALOR DE CUSTO]])</f>
        <v>0.4</v>
      </c>
      <c r="H185" s="2">
        <f>ROUND(F185+(F185*TabelaPrincipal[[#This Row],[PERCENTUAL DE ENTRADA]]), 2)</f>
        <v>10.6</v>
      </c>
      <c r="I185" s="5">
        <f t="shared" si="2"/>
        <v>1060</v>
      </c>
      <c r="J185" s="8">
        <v>0.15</v>
      </c>
      <c r="K185" s="2">
        <f>ROUND(F185+(F185*TabelaPrincipal[[#This Row],[PERCENTUAL MÍNIMO]]), 2)</f>
        <v>8.7100000000000009</v>
      </c>
      <c r="L185" s="24">
        <v>8.7100000000000009</v>
      </c>
      <c r="M185" s="25"/>
      <c r="N185" s="23">
        <f>TabelaPrincipal[[#This Row],[LANCE ATUAL]]*TabelaPrincipal[[#This Row],[QTD]]</f>
        <v>871.00000000000011</v>
      </c>
      <c r="O185" s="41" t="str">
        <f>IF(TabelaPrincipal[[#This Row],[LANCE ATUAL]]&lt;=(VLOOKUP(TabelaPrincipal[[#This Row],[ITEM]],TabelaModelo,5,FALSE)*0.5),"Inexequível","")</f>
        <v/>
      </c>
    </row>
    <row r="186" spans="1:15" ht="15" customHeight="1" x14ac:dyDescent="0.25">
      <c r="A186" s="4">
        <v>431</v>
      </c>
      <c r="B186" s="3" t="str">
        <f>VLOOKUP(TabelaPrincipal[[#This Row],[ITEM]],TabelaModelo,2,FALSE)</f>
        <v>Metronidazol 400 mg comprimido</v>
      </c>
      <c r="C186" s="1" t="str">
        <f>VLOOKUP(TabelaPrincipal[[#This Row],[ITEM]],TabelaModelo,3,FALSE)</f>
        <v>Comprimido</v>
      </c>
      <c r="D186" s="1">
        <f>VLOOKUP(TabelaPrincipal[[#This Row],[ITEM]],TabelaModelo,4,FALSE)</f>
        <v>500</v>
      </c>
      <c r="E186" s="1" t="s">
        <v>818</v>
      </c>
      <c r="F186" s="23">
        <v>0.43</v>
      </c>
      <c r="G186" s="8">
        <f>IF(_xlfn.ISFORMULA(TabelaPrincipal[[#This Row],[CUSTO + PERCENTUAL DE ENTRADA]]),0.4,(TabelaPrincipal[[#This Row],[CUSTO + PERCENTUAL DE ENTRADA]]-TabelaPrincipal[[#This Row],[VALOR DE CUSTO]])/TabelaPrincipal[[#This Row],[VALOR DE CUSTO]])</f>
        <v>1.0697674418604652</v>
      </c>
      <c r="H186" s="2">
        <v>0.89</v>
      </c>
      <c r="I186" s="5">
        <f t="shared" si="2"/>
        <v>445</v>
      </c>
      <c r="J186" s="8">
        <v>0.15</v>
      </c>
      <c r="K186" s="2">
        <f>ROUND(F186+(F186*TabelaPrincipal[[#This Row],[PERCENTUAL MÍNIMO]]), 2)</f>
        <v>0.49</v>
      </c>
      <c r="L186" s="24">
        <v>0.49</v>
      </c>
      <c r="M186" s="25"/>
      <c r="N186" s="23">
        <f>TabelaPrincipal[[#This Row],[LANCE ATUAL]]*TabelaPrincipal[[#This Row],[QTD]]</f>
        <v>245</v>
      </c>
      <c r="O186" s="41" t="str">
        <f>IF(TabelaPrincipal[[#This Row],[LANCE ATUAL]]&lt;=(VLOOKUP(TabelaPrincipal[[#This Row],[ITEM]],TabelaModelo,5,FALSE)*0.5),"Inexequível","")</f>
        <v/>
      </c>
    </row>
    <row r="187" spans="1:15" ht="15" customHeight="1" x14ac:dyDescent="0.25">
      <c r="A187" s="4">
        <v>432</v>
      </c>
      <c r="B187" s="3" t="str">
        <f>VLOOKUP(TabelaPrincipal[[#This Row],[ITEM]],TabelaModelo,2,FALSE)</f>
        <v>Omeprazol 20 mg cápsula</v>
      </c>
      <c r="C187" s="1" t="str">
        <f>VLOOKUP(TabelaPrincipal[[#This Row],[ITEM]],TabelaModelo,3,FALSE)</f>
        <v>Cápsula</v>
      </c>
      <c r="D187" s="1">
        <f>VLOOKUP(TabelaPrincipal[[#This Row],[ITEM]],TabelaModelo,4,FALSE)</f>
        <v>500</v>
      </c>
      <c r="E187" s="1" t="s">
        <v>803</v>
      </c>
      <c r="F187" s="23">
        <v>0.11</v>
      </c>
      <c r="G187" s="8">
        <f>IF(_xlfn.ISFORMULA(TabelaPrincipal[[#This Row],[CUSTO + PERCENTUAL DE ENTRADA]]),0.4,(TabelaPrincipal[[#This Row],[CUSTO + PERCENTUAL DE ENTRADA]]-TabelaPrincipal[[#This Row],[VALOR DE CUSTO]])/TabelaPrincipal[[#This Row],[VALOR DE CUSTO]])</f>
        <v>3.8181818181818183</v>
      </c>
      <c r="H187" s="2">
        <v>0.53</v>
      </c>
      <c r="I187" s="5">
        <f t="shared" si="2"/>
        <v>265</v>
      </c>
      <c r="J187" s="8">
        <v>0.15</v>
      </c>
      <c r="K187" s="2">
        <f>ROUND(F187+(F187*TabelaPrincipal[[#This Row],[PERCENTUAL MÍNIMO]]), 2)</f>
        <v>0.13</v>
      </c>
      <c r="L187" s="24">
        <v>0.13</v>
      </c>
      <c r="M187" s="25"/>
      <c r="N187" s="23">
        <f>TabelaPrincipal[[#This Row],[LANCE ATUAL]]*TabelaPrincipal[[#This Row],[QTD]]</f>
        <v>65</v>
      </c>
      <c r="O187" s="41" t="str">
        <f>IF(TabelaPrincipal[[#This Row],[LANCE ATUAL]]&lt;=(VLOOKUP(TabelaPrincipal[[#This Row],[ITEM]],TabelaModelo,5,FALSE)*0.5),"Inexequível","")</f>
        <v>Inexequível</v>
      </c>
    </row>
    <row r="188" spans="1:15" ht="15" customHeight="1" x14ac:dyDescent="0.25">
      <c r="A188" s="4">
        <v>433</v>
      </c>
      <c r="B188" s="3" t="str">
        <f>VLOOKUP(TabelaPrincipal[[#This Row],[ITEM]],TabelaModelo,2,FALSE)</f>
        <v>Paracetamol, dosagem comprimido: 500 mg</v>
      </c>
      <c r="C188" s="1" t="str">
        <f>VLOOKUP(TabelaPrincipal[[#This Row],[ITEM]],TabelaModelo,3,FALSE)</f>
        <v>Comprimido</v>
      </c>
      <c r="D188" s="1">
        <f>VLOOKUP(TabelaPrincipal[[#This Row],[ITEM]],TabelaModelo,4,FALSE)</f>
        <v>1000</v>
      </c>
      <c r="E188" s="1" t="s">
        <v>819</v>
      </c>
      <c r="F188" s="23">
        <v>0.2</v>
      </c>
      <c r="G188" s="8">
        <f>IF(_xlfn.ISFORMULA(TabelaPrincipal[[#This Row],[CUSTO + PERCENTUAL DE ENTRADA]]),0.4,(TabelaPrincipal[[#This Row],[CUSTO + PERCENTUAL DE ENTRADA]]-TabelaPrincipal[[#This Row],[VALOR DE CUSTO]])/TabelaPrincipal[[#This Row],[VALOR DE CUSTO]])</f>
        <v>2.9000000000000004</v>
      </c>
      <c r="H188" s="2">
        <v>0.78</v>
      </c>
      <c r="I188" s="5">
        <f t="shared" si="2"/>
        <v>780</v>
      </c>
      <c r="J188" s="8">
        <v>0.15</v>
      </c>
      <c r="K188" s="2">
        <f>ROUND(F188+(F188*TabelaPrincipal[[#This Row],[PERCENTUAL MÍNIMO]]), 2)</f>
        <v>0.23</v>
      </c>
      <c r="L188" s="24">
        <v>0.23</v>
      </c>
      <c r="M188" s="25"/>
      <c r="N188" s="23">
        <f>TabelaPrincipal[[#This Row],[LANCE ATUAL]]*TabelaPrincipal[[#This Row],[QTD]]</f>
        <v>230</v>
      </c>
      <c r="O188" s="41" t="str">
        <f>IF(TabelaPrincipal[[#This Row],[LANCE ATUAL]]&lt;=(VLOOKUP(TabelaPrincipal[[#This Row],[ITEM]],TabelaModelo,5,FALSE)*0.5),"Inexequível","")</f>
        <v>Inexequível</v>
      </c>
    </row>
    <row r="189" spans="1:15" ht="15" customHeight="1" x14ac:dyDescent="0.25">
      <c r="A189" s="4">
        <v>434</v>
      </c>
      <c r="B189" s="3" t="str">
        <f>VLOOKUP(TabelaPrincipal[[#This Row],[ITEM]],TabelaModelo,2,FALSE)</f>
        <v>Prednisona 20 mg comprimido</v>
      </c>
      <c r="C189" s="1" t="str">
        <f>VLOOKUP(TabelaPrincipal[[#This Row],[ITEM]],TabelaModelo,3,FALSE)</f>
        <v>Comprimido</v>
      </c>
      <c r="D189" s="1">
        <f>VLOOKUP(TabelaPrincipal[[#This Row],[ITEM]],TabelaModelo,4,FALSE)</f>
        <v>1000</v>
      </c>
      <c r="E189" s="1" t="s">
        <v>820</v>
      </c>
      <c r="F189" s="23">
        <v>0.35</v>
      </c>
      <c r="G189" s="8">
        <f>IF(_xlfn.ISFORMULA(TabelaPrincipal[[#This Row],[CUSTO + PERCENTUAL DE ENTRADA]]),0.4,(TabelaPrincipal[[#This Row],[CUSTO + PERCENTUAL DE ENTRADA]]-TabelaPrincipal[[#This Row],[VALOR DE CUSTO]])/TabelaPrincipal[[#This Row],[VALOR DE CUSTO]])</f>
        <v>1.2285714285714289</v>
      </c>
      <c r="H189" s="2">
        <v>0.78</v>
      </c>
      <c r="I189" s="5">
        <f t="shared" si="2"/>
        <v>780</v>
      </c>
      <c r="J189" s="8">
        <v>0.15</v>
      </c>
      <c r="K189" s="2">
        <f>ROUND(F189+(F189*TabelaPrincipal[[#This Row],[PERCENTUAL MÍNIMO]]), 2)</f>
        <v>0.4</v>
      </c>
      <c r="L189" s="24">
        <v>0.4</v>
      </c>
      <c r="M189" s="25"/>
      <c r="N189" s="23">
        <f>TabelaPrincipal[[#This Row],[LANCE ATUAL]]*TabelaPrincipal[[#This Row],[QTD]]</f>
        <v>400</v>
      </c>
      <c r="O189" s="41" t="str">
        <f>IF(TabelaPrincipal[[#This Row],[LANCE ATUAL]]&lt;=(VLOOKUP(TabelaPrincipal[[#This Row],[ITEM]],TabelaModelo,5,FALSE)*0.5),"Inexequível","")</f>
        <v/>
      </c>
    </row>
    <row r="190" spans="1:15" ht="15" customHeight="1" x14ac:dyDescent="0.25">
      <c r="A190" s="4">
        <v>435</v>
      </c>
      <c r="B190" s="3" t="str">
        <f>VLOOKUP(TabelaPrincipal[[#This Row],[ITEM]],TabelaModelo,2,FALSE)</f>
        <v>Propranolol 40 mg comprimido</v>
      </c>
      <c r="C190" s="1" t="str">
        <f>VLOOKUP(TabelaPrincipal[[#This Row],[ITEM]],TabelaModelo,3,FALSE)</f>
        <v>Comprimido</v>
      </c>
      <c r="D190" s="1">
        <f>VLOOKUP(TabelaPrincipal[[#This Row],[ITEM]],TabelaModelo,4,FALSE)</f>
        <v>500</v>
      </c>
      <c r="E190" s="1" t="s">
        <v>821</v>
      </c>
      <c r="F190" s="23">
        <v>0.08</v>
      </c>
      <c r="G190" s="8">
        <f>IF(_xlfn.ISFORMULA(TabelaPrincipal[[#This Row],[CUSTO + PERCENTUAL DE ENTRADA]]),0.4,(TabelaPrincipal[[#This Row],[CUSTO + PERCENTUAL DE ENTRADA]]-TabelaPrincipal[[#This Row],[VALOR DE CUSTO]])/TabelaPrincipal[[#This Row],[VALOR DE CUSTO]])</f>
        <v>3.75</v>
      </c>
      <c r="H190" s="2">
        <v>0.38</v>
      </c>
      <c r="I190" s="5">
        <f t="shared" si="2"/>
        <v>190</v>
      </c>
      <c r="J190" s="8">
        <v>0.15</v>
      </c>
      <c r="K190" s="2">
        <f>ROUND(F190+(F190*TabelaPrincipal[[#This Row],[PERCENTUAL MÍNIMO]]), 2)</f>
        <v>0.09</v>
      </c>
      <c r="L190" s="24">
        <v>0.09</v>
      </c>
      <c r="M190" s="25"/>
      <c r="N190" s="23">
        <f>TabelaPrincipal[[#This Row],[LANCE ATUAL]]*TabelaPrincipal[[#This Row],[QTD]]</f>
        <v>45</v>
      </c>
      <c r="O190" s="41" t="str">
        <f>IF(TabelaPrincipal[[#This Row],[LANCE ATUAL]]&lt;=(VLOOKUP(TabelaPrincipal[[#This Row],[ITEM]],TabelaModelo,5,FALSE)*0.5),"Inexequível","")</f>
        <v>Inexequível</v>
      </c>
    </row>
    <row r="191" spans="1:15" ht="15" customHeight="1" x14ac:dyDescent="0.25">
      <c r="A191" s="4">
        <v>436</v>
      </c>
      <c r="B191" s="3" t="str">
        <f>VLOOKUP(TabelaPrincipal[[#This Row],[ITEM]],TabelaModelo,2,FALSE)</f>
        <v>Sais para reidratação oral, composição: sódio, potássio, cloreto, citrato e glicose, forma farmacêutica: pó p, solução oral</v>
      </c>
      <c r="C191" s="1" t="str">
        <f>VLOOKUP(TabelaPrincipal[[#This Row],[ITEM]],TabelaModelo,3,FALSE)</f>
        <v>Envelope</v>
      </c>
      <c r="D191" s="1">
        <f>VLOOKUP(TabelaPrincipal[[#This Row],[ITEM]],TabelaModelo,4,FALSE)</f>
        <v>2000</v>
      </c>
      <c r="E191" s="1" t="s">
        <v>822</v>
      </c>
      <c r="F191" s="23">
        <v>2.9</v>
      </c>
      <c r="G191" s="8">
        <f>IF(_xlfn.ISFORMULA(TabelaPrincipal[[#This Row],[CUSTO + PERCENTUAL DE ENTRADA]]),0.4,(TabelaPrincipal[[#This Row],[CUSTO + PERCENTUAL DE ENTRADA]]-TabelaPrincipal[[#This Row],[VALOR DE CUSTO]])/TabelaPrincipal[[#This Row],[VALOR DE CUSTO]])</f>
        <v>0.4</v>
      </c>
      <c r="H191" s="2">
        <f>ROUND(F191+(F191*TabelaPrincipal[[#This Row],[PERCENTUAL DE ENTRADA]]), 2)</f>
        <v>4.0599999999999996</v>
      </c>
      <c r="I191" s="5">
        <f t="shared" si="2"/>
        <v>8119.9999999999991</v>
      </c>
      <c r="J191" s="8">
        <v>0.15</v>
      </c>
      <c r="K191" s="2">
        <f>ROUND(F191+(F191*TabelaPrincipal[[#This Row],[PERCENTUAL MÍNIMO]]), 2)</f>
        <v>3.34</v>
      </c>
      <c r="L191" s="24">
        <v>3.34</v>
      </c>
      <c r="M191" s="25"/>
      <c r="N191" s="23">
        <f>TabelaPrincipal[[#This Row],[LANCE ATUAL]]*TabelaPrincipal[[#This Row],[QTD]]</f>
        <v>6680</v>
      </c>
      <c r="O191" s="41" t="str">
        <f>IF(TabelaPrincipal[[#This Row],[LANCE ATUAL]]&lt;=(VLOOKUP(TabelaPrincipal[[#This Row],[ITEM]],TabelaModelo,5,FALSE)*0.5),"Inexequível","")</f>
        <v/>
      </c>
    </row>
    <row r="192" spans="1:15" ht="15" customHeight="1" x14ac:dyDescent="0.25">
      <c r="A192" s="4">
        <v>437</v>
      </c>
      <c r="B192" s="3" t="str">
        <f>VLOOKUP(TabelaPrincipal[[#This Row],[ITEM]],TabelaModelo,2,FALSE)</f>
        <v>Tenoxicam 40 mg pó para solução injetável</v>
      </c>
      <c r="C192" s="1" t="str">
        <f>VLOOKUP(TabelaPrincipal[[#This Row],[ITEM]],TabelaModelo,3,FALSE)</f>
        <v>Frasco- ampola</v>
      </c>
      <c r="D192" s="1">
        <f>VLOOKUP(TabelaPrincipal[[#This Row],[ITEM]],TabelaModelo,4,FALSE)</f>
        <v>500</v>
      </c>
      <c r="E192" s="1" t="s">
        <v>797</v>
      </c>
      <c r="F192" s="23">
        <v>12</v>
      </c>
      <c r="G192" s="8">
        <f>IF(_xlfn.ISFORMULA(TabelaPrincipal[[#This Row],[CUSTO + PERCENTUAL DE ENTRADA]]),0.4,(TabelaPrincipal[[#This Row],[CUSTO + PERCENTUAL DE ENTRADA]]-TabelaPrincipal[[#This Row],[VALOR DE CUSTO]])/TabelaPrincipal[[#This Row],[VALOR DE CUSTO]])</f>
        <v>0.45666666666666672</v>
      </c>
      <c r="H192" s="2">
        <v>17.48</v>
      </c>
      <c r="I192" s="5">
        <f t="shared" si="2"/>
        <v>8740</v>
      </c>
      <c r="J192" s="8">
        <v>0.15</v>
      </c>
      <c r="K192" s="2">
        <f>ROUND(F192+(F192*TabelaPrincipal[[#This Row],[PERCENTUAL MÍNIMO]]), 2)</f>
        <v>13.8</v>
      </c>
      <c r="L192" s="24">
        <v>13.8</v>
      </c>
      <c r="M192" s="25"/>
      <c r="N192" s="23">
        <f>TabelaPrincipal[[#This Row],[LANCE ATUAL]]*TabelaPrincipal[[#This Row],[QTD]]</f>
        <v>6900</v>
      </c>
      <c r="O192" s="41" t="str">
        <f>IF(TabelaPrincipal[[#This Row],[LANCE ATUAL]]&lt;=(VLOOKUP(TabelaPrincipal[[#This Row],[ITEM]],TabelaModelo,5,FALSE)*0.5),"Inexequível","")</f>
        <v/>
      </c>
    </row>
    <row r="193" spans="1:15" ht="15" customHeight="1" x14ac:dyDescent="0.25">
      <c r="A193" s="4">
        <v>438</v>
      </c>
      <c r="B193" s="3" t="str">
        <f>VLOOKUP(TabelaPrincipal[[#This Row],[ITEM]],TabelaModelo,2,FALSE)</f>
        <v>Varfarina sódica 5 mg comprimido</v>
      </c>
      <c r="C193" s="1" t="str">
        <f>VLOOKUP(TabelaPrincipal[[#This Row],[ITEM]],TabelaModelo,3,FALSE)</f>
        <v>Comprimido</v>
      </c>
      <c r="D193" s="1">
        <f>VLOOKUP(TabelaPrincipal[[#This Row],[ITEM]],TabelaModelo,4,FALSE)</f>
        <v>500</v>
      </c>
      <c r="E193" s="1" t="s">
        <v>796</v>
      </c>
      <c r="F193" s="23">
        <v>0.22</v>
      </c>
      <c r="G193" s="8">
        <f>IF(_xlfn.ISFORMULA(TabelaPrincipal[[#This Row],[CUSTO + PERCENTUAL DE ENTRADA]]),0.4,(TabelaPrincipal[[#This Row],[CUSTO + PERCENTUAL DE ENTRADA]]-TabelaPrincipal[[#This Row],[VALOR DE CUSTO]])/TabelaPrincipal[[#This Row],[VALOR DE CUSTO]])</f>
        <v>0.4</v>
      </c>
      <c r="H193" s="2">
        <f>ROUND(F193+(F193*TabelaPrincipal[[#This Row],[PERCENTUAL DE ENTRADA]]), 2)</f>
        <v>0.31</v>
      </c>
      <c r="I193" s="5">
        <f t="shared" si="2"/>
        <v>155</v>
      </c>
      <c r="J193" s="8">
        <v>0.15</v>
      </c>
      <c r="K193" s="2">
        <f>ROUND(F193+(F193*TabelaPrincipal[[#This Row],[PERCENTUAL MÍNIMO]]), 2)</f>
        <v>0.25</v>
      </c>
      <c r="L193" s="24">
        <v>0.25</v>
      </c>
      <c r="M193" s="25"/>
      <c r="N193" s="23">
        <f>TabelaPrincipal[[#This Row],[LANCE ATUAL]]*TabelaPrincipal[[#This Row],[QTD]]</f>
        <v>125</v>
      </c>
      <c r="O193" s="41" t="str">
        <f>IF(TabelaPrincipal[[#This Row],[LANCE ATUAL]]&lt;=(VLOOKUP(TabelaPrincipal[[#This Row],[ITEM]],TabelaModelo,5,FALSE)*0.5),"Inexequível","")</f>
        <v/>
      </c>
    </row>
    <row r="194" spans="1:15" ht="15" customHeight="1" x14ac:dyDescent="0.25">
      <c r="A194" s="4">
        <v>439</v>
      </c>
      <c r="B194" s="3" t="str">
        <f>VLOOKUP(TabelaPrincipal[[#This Row],[ITEM]],TabelaModelo,2,FALSE)</f>
        <v>Saccharomyces boulardii100 mg cápsula</v>
      </c>
      <c r="C194" s="1" t="str">
        <f>VLOOKUP(TabelaPrincipal[[#This Row],[ITEM]],TabelaModelo,3,FALSE)</f>
        <v>Cápsula</v>
      </c>
      <c r="D194" s="1">
        <f>VLOOKUP(TabelaPrincipal[[#This Row],[ITEM]],TabelaModelo,4,FALSE)</f>
        <v>500</v>
      </c>
      <c r="E194" s="1" t="s">
        <v>812</v>
      </c>
      <c r="F194" s="23">
        <v>1.1599999999999999</v>
      </c>
      <c r="G194" s="8">
        <f>IF(_xlfn.ISFORMULA(TabelaPrincipal[[#This Row],[CUSTO + PERCENTUAL DE ENTRADA]]),0.4,(TabelaPrincipal[[#This Row],[CUSTO + PERCENTUAL DE ENTRADA]]-TabelaPrincipal[[#This Row],[VALOR DE CUSTO]])/TabelaPrincipal[[#This Row],[VALOR DE CUSTO]])</f>
        <v>0.931034482758621</v>
      </c>
      <c r="H194" s="2">
        <v>2.2400000000000002</v>
      </c>
      <c r="I194" s="5">
        <f t="shared" ref="I194:I257" si="3">D194*H194</f>
        <v>1120</v>
      </c>
      <c r="J194" s="8">
        <v>0.15</v>
      </c>
      <c r="K194" s="2">
        <f>ROUND(F194+(F194*TabelaPrincipal[[#This Row],[PERCENTUAL MÍNIMO]]), 2)</f>
        <v>1.33</v>
      </c>
      <c r="L194" s="24">
        <v>1.33</v>
      </c>
      <c r="M194" s="25"/>
      <c r="N194" s="23">
        <f>TabelaPrincipal[[#This Row],[LANCE ATUAL]]*TabelaPrincipal[[#This Row],[QTD]]</f>
        <v>665</v>
      </c>
      <c r="O194" s="41" t="str">
        <f>IF(TabelaPrincipal[[#This Row],[LANCE ATUAL]]&lt;=(VLOOKUP(TabelaPrincipal[[#This Row],[ITEM]],TabelaModelo,5,FALSE)*0.5),"Inexequível","")</f>
        <v/>
      </c>
    </row>
    <row r="195" spans="1:15" ht="15" customHeight="1" x14ac:dyDescent="0.25">
      <c r="A195" s="4">
        <v>440</v>
      </c>
      <c r="B195" s="3" t="str">
        <f>VLOOKUP(TabelaPrincipal[[#This Row],[ITEM]],TabelaModelo,2,FALSE)</f>
        <v>Cloreto de sódio, princípio ativo: 0,9% solução injetável, aplicação: sistema fechado 250 ml</v>
      </c>
      <c r="C195" s="1" t="str">
        <f>VLOOKUP(TabelaPrincipal[[#This Row],[ITEM]],TabelaModelo,3,FALSE)</f>
        <v>Frasco 250 ml</v>
      </c>
      <c r="D195" s="1">
        <f>VLOOKUP(TabelaPrincipal[[#This Row],[ITEM]],TabelaModelo,4,FALSE)</f>
        <v>250</v>
      </c>
      <c r="E195" s="1" t="s">
        <v>824</v>
      </c>
      <c r="F195" s="23">
        <v>5.99</v>
      </c>
      <c r="G195" s="8">
        <f>IF(_xlfn.ISFORMULA(TabelaPrincipal[[#This Row],[CUSTO + PERCENTUAL DE ENTRADA]]),0.4,(TabelaPrincipal[[#This Row],[CUSTO + PERCENTUAL DE ENTRADA]]-TabelaPrincipal[[#This Row],[VALOR DE CUSTO]])/TabelaPrincipal[[#This Row],[VALOR DE CUSTO]])</f>
        <v>0.4</v>
      </c>
      <c r="H195" s="2">
        <f>ROUND(F195+(F195*TabelaPrincipal[[#This Row],[PERCENTUAL DE ENTRADA]]), 2)</f>
        <v>8.39</v>
      </c>
      <c r="I195" s="5">
        <f t="shared" si="3"/>
        <v>2097.5</v>
      </c>
      <c r="J195" s="8">
        <v>0.15</v>
      </c>
      <c r="K195" s="2">
        <f>ROUND(F195+(F195*TabelaPrincipal[[#This Row],[PERCENTUAL MÍNIMO]]), 2)</f>
        <v>6.89</v>
      </c>
      <c r="L195" s="24">
        <v>6.89</v>
      </c>
      <c r="M195" s="25"/>
      <c r="N195" s="23">
        <f>TabelaPrincipal[[#This Row],[LANCE ATUAL]]*TabelaPrincipal[[#This Row],[QTD]]</f>
        <v>1722.5</v>
      </c>
      <c r="O195" s="41" t="str">
        <f>IF(TabelaPrincipal[[#This Row],[LANCE ATUAL]]&lt;=(VLOOKUP(TabelaPrincipal[[#This Row],[ITEM]],TabelaModelo,5,FALSE)*0.5),"Inexequível","")</f>
        <v/>
      </c>
    </row>
    <row r="196" spans="1:15" ht="15" customHeight="1" x14ac:dyDescent="0.25">
      <c r="A196" s="4">
        <v>441</v>
      </c>
      <c r="B196" s="3" t="str">
        <f>VLOOKUP(TabelaPrincipal[[#This Row],[ITEM]],TabelaModelo,2,FALSE)</f>
        <v>Álcool etílico, tipo: hidratado, teor alcoólico: 70% (70°gl), apresentação: líquido</v>
      </c>
      <c r="C196" s="1" t="str">
        <f>VLOOKUP(TabelaPrincipal[[#This Row],[ITEM]],TabelaModelo,3,FALSE)</f>
        <v>Frasco 1L</v>
      </c>
      <c r="D196" s="1">
        <f>VLOOKUP(TabelaPrincipal[[#This Row],[ITEM]],TabelaModelo,4,FALSE)</f>
        <v>400</v>
      </c>
      <c r="E196" s="1" t="s">
        <v>825</v>
      </c>
      <c r="F196" s="23">
        <v>5.99</v>
      </c>
      <c r="G196" s="8">
        <f>IF(_xlfn.ISFORMULA(TabelaPrincipal[[#This Row],[CUSTO + PERCENTUAL DE ENTRADA]]),0.4,(TabelaPrincipal[[#This Row],[CUSTO + PERCENTUAL DE ENTRADA]]-TabelaPrincipal[[#This Row],[VALOR DE CUSTO]])/TabelaPrincipal[[#This Row],[VALOR DE CUSTO]])</f>
        <v>0.4</v>
      </c>
      <c r="H196" s="2">
        <f>ROUND(F196+(F196*TabelaPrincipal[[#This Row],[PERCENTUAL DE ENTRADA]]), 2)</f>
        <v>8.39</v>
      </c>
      <c r="I196" s="5">
        <f t="shared" si="3"/>
        <v>3356</v>
      </c>
      <c r="J196" s="8">
        <v>0.15</v>
      </c>
      <c r="K196" s="2">
        <f>ROUND(F196+(F196*TabelaPrincipal[[#This Row],[PERCENTUAL MÍNIMO]]), 2)</f>
        <v>6.89</v>
      </c>
      <c r="L196" s="24">
        <v>6.99</v>
      </c>
      <c r="M196" s="25"/>
      <c r="N196" s="23">
        <f>TabelaPrincipal[[#This Row],[LANCE ATUAL]]*TabelaPrincipal[[#This Row],[QTD]]</f>
        <v>2796</v>
      </c>
      <c r="O196" s="41" t="str">
        <f>IF(TabelaPrincipal[[#This Row],[LANCE ATUAL]]&lt;=(VLOOKUP(TabelaPrincipal[[#This Row],[ITEM]],TabelaModelo,5,FALSE)*0.5),"Inexequível","")</f>
        <v/>
      </c>
    </row>
    <row r="197" spans="1:15" ht="15" customHeight="1" x14ac:dyDescent="0.25">
      <c r="A197" s="4">
        <v>443</v>
      </c>
      <c r="B197" s="3" t="str">
        <f>VLOOKUP(TabelaPrincipal[[#This Row],[ITEM]],TabelaModelo,2,FALSE)</f>
        <v>Torneirinha, vias: 3 vias, material: polímero, tipo conector: luerlock ,slip , valvulado, pressão máxima: até cerca de 100 psi, tipo uso: estéril, uso único</v>
      </c>
      <c r="C197" s="1" t="str">
        <f>VLOOKUP(TabelaPrincipal[[#This Row],[ITEM]],TabelaModelo,3,FALSE)</f>
        <v>Unidade</v>
      </c>
      <c r="D197" s="1">
        <f>VLOOKUP(TabelaPrincipal[[#This Row],[ITEM]],TabelaModelo,4,FALSE)</f>
        <v>200</v>
      </c>
      <c r="E197" s="1" t="s">
        <v>827</v>
      </c>
      <c r="F197" s="23">
        <v>1</v>
      </c>
      <c r="G197" s="8">
        <f>IF(_xlfn.ISFORMULA(TabelaPrincipal[[#This Row],[CUSTO + PERCENTUAL DE ENTRADA]]),0.4,(TabelaPrincipal[[#This Row],[CUSTO + PERCENTUAL DE ENTRADA]]-TabelaPrincipal[[#This Row],[VALOR DE CUSTO]])/TabelaPrincipal[[#This Row],[VALOR DE CUSTO]])</f>
        <v>0.55000000000000004</v>
      </c>
      <c r="H197" s="2">
        <v>1.55</v>
      </c>
      <c r="I197" s="5">
        <f t="shared" si="3"/>
        <v>310</v>
      </c>
      <c r="J197" s="8">
        <v>0.15</v>
      </c>
      <c r="K197" s="2">
        <f>ROUND(F197+(F197*TabelaPrincipal[[#This Row],[PERCENTUAL MÍNIMO]]), 2)</f>
        <v>1.1499999999999999</v>
      </c>
      <c r="L197" s="24">
        <v>1.1499999999999999</v>
      </c>
      <c r="M197" s="25">
        <v>1</v>
      </c>
      <c r="N197" s="23">
        <f>TabelaPrincipal[[#This Row],[LANCE ATUAL]]*TabelaPrincipal[[#This Row],[QTD]]</f>
        <v>229.99999999999997</v>
      </c>
      <c r="O197" s="41" t="str">
        <f>IF(TabelaPrincipal[[#This Row],[LANCE ATUAL]]&lt;=(VLOOKUP(TabelaPrincipal[[#This Row],[ITEM]],TabelaModelo,5,FALSE)*0.5),"Inexequível","")</f>
        <v/>
      </c>
    </row>
    <row r="198" spans="1:15" ht="15" customHeight="1" x14ac:dyDescent="0.25">
      <c r="A198" s="4">
        <v>445</v>
      </c>
      <c r="B198" s="3" t="str">
        <f>VLOOKUP(TabelaPrincipal[[#This Row],[ITEM]],TabelaModelo,2,FALSE)</f>
        <v>Abaixador língua, material: madeira, tipo: descartável, comprimento: 14 cm, formato: tipo espátula, largura: 1,50 cm, espessura: 2 mm</v>
      </c>
      <c r="C198" s="1" t="str">
        <f>VLOOKUP(TabelaPrincipal[[#This Row],[ITEM]],TabelaModelo,3,FALSE)</f>
        <v>Pacote com 100
unidades</v>
      </c>
      <c r="D198" s="1">
        <f>VLOOKUP(TabelaPrincipal[[#This Row],[ITEM]],TabelaModelo,4,FALSE)</f>
        <v>50</v>
      </c>
      <c r="E198" s="1" t="s">
        <v>865</v>
      </c>
      <c r="F198" s="23">
        <v>5.9</v>
      </c>
      <c r="G198" s="8">
        <f>IF(_xlfn.ISFORMULA(TabelaPrincipal[[#This Row],[CUSTO + PERCENTUAL DE ENTRADA]]),0.4,(TabelaPrincipal[[#This Row],[CUSTO + PERCENTUAL DE ENTRADA]]-TabelaPrincipal[[#This Row],[VALOR DE CUSTO]])/TabelaPrincipal[[#This Row],[VALOR DE CUSTO]])</f>
        <v>0.69152542372881354</v>
      </c>
      <c r="H198" s="2">
        <v>9.98</v>
      </c>
      <c r="I198" s="5">
        <f t="shared" si="3"/>
        <v>499</v>
      </c>
      <c r="J198" s="8">
        <v>0.15</v>
      </c>
      <c r="K198" s="2">
        <f>ROUND(F198+(F198*TabelaPrincipal[[#This Row],[PERCENTUAL MÍNIMO]]), 2)</f>
        <v>6.79</v>
      </c>
      <c r="L198" s="24">
        <v>6.79</v>
      </c>
      <c r="M198" s="25"/>
      <c r="N198" s="23">
        <f>TabelaPrincipal[[#This Row],[LANCE ATUAL]]*TabelaPrincipal[[#This Row],[QTD]]</f>
        <v>339.5</v>
      </c>
      <c r="O198" s="41" t="str">
        <f>IF(TabelaPrincipal[[#This Row],[LANCE ATUAL]]&lt;=(VLOOKUP(TabelaPrincipal[[#This Row],[ITEM]],TabelaModelo,5,FALSE)*0.5),"Inexequível","")</f>
        <v/>
      </c>
    </row>
    <row r="199" spans="1:15" ht="15" customHeight="1" x14ac:dyDescent="0.25">
      <c r="A199" s="4">
        <v>447</v>
      </c>
      <c r="B199" s="3" t="str">
        <f>VLOOKUP(TabelaPrincipal[[#This Row],[ITEM]],TabelaModelo,2,FALSE)</f>
        <v>Haste flexível, haste flexível</v>
      </c>
      <c r="C199" s="1" t="str">
        <f>VLOOKUP(TabelaPrincipal[[#This Row],[ITEM]],TabelaModelo,3,FALSE)</f>
        <v>Caixa com 75 Unidades</v>
      </c>
      <c r="D199" s="1">
        <f>VLOOKUP(TabelaPrincipal[[#This Row],[ITEM]],TabelaModelo,4,FALSE)</f>
        <v>100</v>
      </c>
      <c r="E199" s="1" t="s">
        <v>829</v>
      </c>
      <c r="F199" s="23">
        <v>1.3</v>
      </c>
      <c r="G199" s="8">
        <f>IF(_xlfn.ISFORMULA(TabelaPrincipal[[#This Row],[CUSTO + PERCENTUAL DE ENTRADA]]),0.4,(TabelaPrincipal[[#This Row],[CUSTO + PERCENTUAL DE ENTRADA]]-TabelaPrincipal[[#This Row],[VALOR DE CUSTO]])/TabelaPrincipal[[#This Row],[VALOR DE CUSTO]])</f>
        <v>0.47692307692307684</v>
      </c>
      <c r="H199" s="2">
        <v>1.92</v>
      </c>
      <c r="I199" s="5">
        <f t="shared" si="3"/>
        <v>192</v>
      </c>
      <c r="J199" s="8">
        <v>0.15</v>
      </c>
      <c r="K199" s="2">
        <f>ROUND(F199+(F199*TabelaPrincipal[[#This Row],[PERCENTUAL MÍNIMO]]), 2)</f>
        <v>1.5</v>
      </c>
      <c r="L199" s="24">
        <v>1.85</v>
      </c>
      <c r="M199" s="25">
        <v>1</v>
      </c>
      <c r="N199" s="23">
        <f>TabelaPrincipal[[#This Row],[LANCE ATUAL]]*TabelaPrincipal[[#This Row],[QTD]]</f>
        <v>185</v>
      </c>
      <c r="O199" s="41" t="str">
        <f>IF(TabelaPrincipal[[#This Row],[LANCE ATUAL]]&lt;=(VLOOKUP(TabelaPrincipal[[#This Row],[ITEM]],TabelaModelo,5,FALSE)*0.5),"Inexequível","")</f>
        <v/>
      </c>
    </row>
    <row r="200" spans="1:15" ht="15" customHeight="1" x14ac:dyDescent="0.25">
      <c r="A200" s="4">
        <v>448</v>
      </c>
      <c r="B200" s="3" t="str">
        <f>VLOOKUP(TabelaPrincipal[[#This Row],[ITEM]],TabelaModelo,2,FALSE)</f>
        <v>sistema eletroquímico: alcalina, tensão nominal: 1,5 v</v>
      </c>
      <c r="C200" s="1" t="str">
        <f>VLOOKUP(TabelaPrincipal[[#This Row],[ITEM]],TabelaModelo,3,FALSE)</f>
        <v>Unidade</v>
      </c>
      <c r="D200" s="1">
        <f>VLOOKUP(TabelaPrincipal[[#This Row],[ITEM]],TabelaModelo,4,FALSE)</f>
        <v>100</v>
      </c>
      <c r="E200" s="1" t="s">
        <v>830</v>
      </c>
      <c r="F200" s="23">
        <v>2.97</v>
      </c>
      <c r="G200" s="8">
        <f>IF(_xlfn.ISFORMULA(TabelaPrincipal[[#This Row],[CUSTO + PERCENTUAL DE ENTRADA]]),0.4,(TabelaPrincipal[[#This Row],[CUSTO + PERCENTUAL DE ENTRADA]]-TabelaPrincipal[[#This Row],[VALOR DE CUSTO]])/TabelaPrincipal[[#This Row],[VALOR DE CUSTO]])</f>
        <v>0.4</v>
      </c>
      <c r="H200" s="2">
        <f>ROUND(F200+(F200*TabelaPrincipal[[#This Row],[PERCENTUAL DE ENTRADA]]), 2)</f>
        <v>4.16</v>
      </c>
      <c r="I200" s="5">
        <f t="shared" si="3"/>
        <v>416</v>
      </c>
      <c r="J200" s="8">
        <v>0.15</v>
      </c>
      <c r="K200" s="2">
        <f>ROUND(F200+(F200*TabelaPrincipal[[#This Row],[PERCENTUAL MÍNIMO]]), 2)</f>
        <v>3.42</v>
      </c>
      <c r="L200" s="24">
        <v>3.42</v>
      </c>
      <c r="M200" s="25"/>
      <c r="N200" s="23">
        <f>TabelaPrincipal[[#This Row],[LANCE ATUAL]]*TabelaPrincipal[[#This Row],[QTD]]</f>
        <v>342</v>
      </c>
      <c r="O200" s="41" t="str">
        <f>IF(TabelaPrincipal[[#This Row],[LANCE ATUAL]]&lt;=(VLOOKUP(TabelaPrincipal[[#This Row],[ITEM]],TabelaModelo,5,FALSE)*0.5),"Inexequível","")</f>
        <v/>
      </c>
    </row>
    <row r="201" spans="1:15" ht="15" customHeight="1" x14ac:dyDescent="0.25">
      <c r="A201" s="4">
        <v>449</v>
      </c>
      <c r="B201" s="3" t="str">
        <f>VLOOKUP(TabelaPrincipal[[#This Row],[ITEM]],TabelaModelo,2,FALSE)</f>
        <v>Pilha recarregável, composição: níquel metal hidreto (nimh), modelo: aa, tensão: 1,5 v, capacidade corrente: 2.300 mah, aplicação: equipamentos eletrônicos</v>
      </c>
      <c r="C201" s="1" t="str">
        <f>VLOOKUP(TabelaPrincipal[[#This Row],[ITEM]],TabelaModelo,3,FALSE)</f>
        <v>Unidade</v>
      </c>
      <c r="D201" s="1">
        <f>VLOOKUP(TabelaPrincipal[[#This Row],[ITEM]],TabelaModelo,4,FALSE)</f>
        <v>100</v>
      </c>
      <c r="E201" s="1" t="s">
        <v>831</v>
      </c>
      <c r="F201" s="23">
        <v>29</v>
      </c>
      <c r="G201" s="8">
        <f>IF(_xlfn.ISFORMULA(TabelaPrincipal[[#This Row],[CUSTO + PERCENTUAL DE ENTRADA]]),0.4,(TabelaPrincipal[[#This Row],[CUSTO + PERCENTUAL DE ENTRADA]]-TabelaPrincipal[[#This Row],[VALOR DE CUSTO]])/TabelaPrincipal[[#This Row],[VALOR DE CUSTO]])</f>
        <v>0.4</v>
      </c>
      <c r="H201" s="2">
        <f>ROUND(F201+(F201*TabelaPrincipal[[#This Row],[PERCENTUAL DE ENTRADA]]), 2)</f>
        <v>40.6</v>
      </c>
      <c r="I201" s="5">
        <f t="shared" si="3"/>
        <v>4060</v>
      </c>
      <c r="J201" s="8">
        <v>0.15</v>
      </c>
      <c r="K201" s="2">
        <f>ROUND(F201+(F201*TabelaPrincipal[[#This Row],[PERCENTUAL MÍNIMO]]), 2)</f>
        <v>33.35</v>
      </c>
      <c r="L201" s="24">
        <v>33.35</v>
      </c>
      <c r="M201" s="25"/>
      <c r="N201" s="23">
        <f>TabelaPrincipal[[#This Row],[LANCE ATUAL]]*TabelaPrincipal[[#This Row],[QTD]]</f>
        <v>3335</v>
      </c>
      <c r="O201" s="41" t="str">
        <f>IF(TabelaPrincipal[[#This Row],[LANCE ATUAL]]&lt;=(VLOOKUP(TabelaPrincipal[[#This Row],[ITEM]],TabelaModelo,5,FALSE)*0.5),"Inexequível","")</f>
        <v/>
      </c>
    </row>
    <row r="202" spans="1:15" ht="15" customHeight="1" x14ac:dyDescent="0.25">
      <c r="A202" s="4">
        <v>450</v>
      </c>
      <c r="B202" s="3" t="str">
        <f>VLOOKUP(TabelaPrincipal[[#This Row],[ITEM]],TabelaModelo,2,FALSE)</f>
        <v>Pilha, tamanho: pequena, tipo: alcalina, modelo: AAA, tensão: 1,5 v, características adicionais: não recarregável</v>
      </c>
      <c r="C202" s="1" t="str">
        <f>VLOOKUP(TabelaPrincipal[[#This Row],[ITEM]],TabelaModelo,3,FALSE)</f>
        <v>Unidade</v>
      </c>
      <c r="D202" s="1">
        <f>VLOOKUP(TabelaPrincipal[[#This Row],[ITEM]],TabelaModelo,4,FALSE)</f>
        <v>100</v>
      </c>
      <c r="E202" s="1" t="s">
        <v>830</v>
      </c>
      <c r="F202" s="23">
        <v>3.45</v>
      </c>
      <c r="G202" s="8">
        <f>IF(_xlfn.ISFORMULA(TabelaPrincipal[[#This Row],[CUSTO + PERCENTUAL DE ENTRADA]]),0.4,(TabelaPrincipal[[#This Row],[CUSTO + PERCENTUAL DE ENTRADA]]-TabelaPrincipal[[#This Row],[VALOR DE CUSTO]])/TabelaPrincipal[[#This Row],[VALOR DE CUSTO]])</f>
        <v>0.4</v>
      </c>
      <c r="H202" s="2">
        <f>ROUND(F202+(F202*TabelaPrincipal[[#This Row],[PERCENTUAL DE ENTRADA]]), 2)</f>
        <v>4.83</v>
      </c>
      <c r="I202" s="5">
        <f t="shared" si="3"/>
        <v>483</v>
      </c>
      <c r="J202" s="8">
        <v>0.15</v>
      </c>
      <c r="K202" s="2">
        <f>ROUND(F202+(F202*TabelaPrincipal[[#This Row],[PERCENTUAL MÍNIMO]]), 2)</f>
        <v>3.97</v>
      </c>
      <c r="L202" s="24">
        <v>3.97</v>
      </c>
      <c r="M202" s="25"/>
      <c r="N202" s="23">
        <f>TabelaPrincipal[[#This Row],[LANCE ATUAL]]*TabelaPrincipal[[#This Row],[QTD]]</f>
        <v>397</v>
      </c>
      <c r="O202" s="41" t="str">
        <f>IF(TabelaPrincipal[[#This Row],[LANCE ATUAL]]&lt;=(VLOOKUP(TabelaPrincipal[[#This Row],[ITEM]],TabelaModelo,5,FALSE)*0.5),"Inexequível","")</f>
        <v/>
      </c>
    </row>
    <row r="203" spans="1:15" ht="15" customHeight="1" x14ac:dyDescent="0.25">
      <c r="A203" s="4">
        <v>454</v>
      </c>
      <c r="B203" s="3" t="str">
        <f>VLOOKUP(TabelaPrincipal[[#This Row],[ITEM]],TabelaModelo,2,FALSE)</f>
        <v>Imobilizador de cabeça headblock impermeável. Imobilizador de cabeça (coxim): confeccionado em abs\, resistente a impactos; utilizado em conjuntocomprancha de imobilização; anatômico\, regulagem com velcro\, base com regulagem.
Imobilizador de cabeça (coxim): confeccionado em abs\, resistente a impactos; uti lizado em conjunto com prancha de imobilização; anatômico\, regulagem com velcr o\, base com regulagem.</v>
      </c>
      <c r="C203" s="1" t="str">
        <f>VLOOKUP(TabelaPrincipal[[#This Row],[ITEM]],TabelaModelo,3,FALSE)</f>
        <v>Unidade</v>
      </c>
      <c r="D203" s="1">
        <f>VLOOKUP(TabelaPrincipal[[#This Row],[ITEM]],TabelaModelo,4,FALSE)</f>
        <v>20</v>
      </c>
      <c r="E203" s="1" t="s">
        <v>832</v>
      </c>
      <c r="F203" s="23">
        <v>114</v>
      </c>
      <c r="G203" s="8">
        <f>IF(_xlfn.ISFORMULA(TabelaPrincipal[[#This Row],[CUSTO + PERCENTUAL DE ENTRADA]]),0.4,(TabelaPrincipal[[#This Row],[CUSTO + PERCENTUAL DE ENTRADA]]-TabelaPrincipal[[#This Row],[VALOR DE CUSTO]])/TabelaPrincipal[[#This Row],[VALOR DE CUSTO]])</f>
        <v>0.4</v>
      </c>
      <c r="H203" s="2">
        <f>ROUND(F203+(F203*TabelaPrincipal[[#This Row],[PERCENTUAL DE ENTRADA]]), 2)</f>
        <v>159.6</v>
      </c>
      <c r="I203" s="5">
        <f t="shared" si="3"/>
        <v>3192</v>
      </c>
      <c r="J203" s="8">
        <v>0.15</v>
      </c>
      <c r="K203" s="2">
        <f>ROUND(F203+(F203*TabelaPrincipal[[#This Row],[PERCENTUAL MÍNIMO]]), 2)</f>
        <v>131.1</v>
      </c>
      <c r="L203" s="24">
        <v>131.1</v>
      </c>
      <c r="M203" s="25"/>
      <c r="N203" s="23">
        <f>TabelaPrincipal[[#This Row],[LANCE ATUAL]]*TabelaPrincipal[[#This Row],[QTD]]</f>
        <v>2622</v>
      </c>
      <c r="O203" s="41" t="str">
        <f>IF(TabelaPrincipal[[#This Row],[LANCE ATUAL]]&lt;=(VLOOKUP(TabelaPrincipal[[#This Row],[ITEM]],TabelaModelo,5,FALSE)*0.5),"Inexequível","")</f>
        <v/>
      </c>
    </row>
    <row r="204" spans="1:15" ht="15" customHeight="1" x14ac:dyDescent="0.25">
      <c r="A204" s="4">
        <v>456</v>
      </c>
      <c r="B204" s="3" t="str">
        <f>VLOOKUP(TabelaPrincipal[[#This Row],[ITEM]],TabelaModelo,2,FALSE)</f>
        <v>Termômetro digital infravermelho sem contato</v>
      </c>
      <c r="C204" s="1" t="str">
        <f>VLOOKUP(TabelaPrincipal[[#This Row],[ITEM]],TabelaModelo,3,FALSE)</f>
        <v>Unidade</v>
      </c>
      <c r="D204" s="1">
        <f>VLOOKUP(TabelaPrincipal[[#This Row],[ITEM]],TabelaModelo,4,FALSE)</f>
        <v>5</v>
      </c>
      <c r="E204" s="1" t="s">
        <v>833</v>
      </c>
      <c r="F204" s="23">
        <v>175.65</v>
      </c>
      <c r="G204" s="8">
        <v>0</v>
      </c>
      <c r="H204" s="2">
        <f>ROUND(F204+(F204*TabelaPrincipal[[#This Row],[PERCENTUAL DE ENTRADA]]), 2)</f>
        <v>175.65</v>
      </c>
      <c r="I204" s="5">
        <f t="shared" si="3"/>
        <v>878.25</v>
      </c>
      <c r="J204" s="8">
        <f>IF(TabelaPrincipal[[#This Row],[PERCENTUAL DE ENTRADA]]&gt;0,0.15,0)</f>
        <v>0</v>
      </c>
      <c r="K204" s="2">
        <f>ROUND(F204+(F204*TabelaPrincipal[[#This Row],[PERCENTUAL MÍNIMO]]), 2)</f>
        <v>175.65</v>
      </c>
      <c r="L204" s="24">
        <f>IF(TabelaPrincipal[[#This Row],[PERCENTUAL DE ENTRADA]]=0,TabelaPrincipal[[#This Row],[VALOR MÍNIMO]],0)</f>
        <v>175.65</v>
      </c>
      <c r="M204" s="25"/>
      <c r="N204" s="23">
        <f>TabelaPrincipal[[#This Row],[LANCE ATUAL]]*TabelaPrincipal[[#This Row],[QTD]]</f>
        <v>878.25</v>
      </c>
      <c r="O204" s="41" t="str">
        <f>IF(TabelaPrincipal[[#This Row],[LANCE ATUAL]]&lt;=(VLOOKUP(TabelaPrincipal[[#This Row],[ITEM]],TabelaModelo,5,FALSE)*0.5),"Inexequível","")</f>
        <v/>
      </c>
    </row>
    <row r="205" spans="1:15" ht="15" customHeight="1" x14ac:dyDescent="0.25">
      <c r="A205" s="4">
        <v>457</v>
      </c>
      <c r="B205" s="3" t="str">
        <f>VLOOKUP(TabelaPrincipal[[#This Row],[ITEM]],TabelaModelo,2,FALSE)</f>
        <v>Otoscópio, tipo clínico, características adicionais com 5 espéculo reutilizáveis, estojo em nylon</v>
      </c>
      <c r="C205" s="1" t="str">
        <f>VLOOKUP(TabelaPrincipal[[#This Row],[ITEM]],TabelaModelo,3,FALSE)</f>
        <v>Unidade</v>
      </c>
      <c r="D205" s="1">
        <f>VLOOKUP(TabelaPrincipal[[#This Row],[ITEM]],TabelaModelo,4,FALSE)</f>
        <v>5</v>
      </c>
      <c r="E205" s="1" t="s">
        <v>834</v>
      </c>
      <c r="F205" s="23">
        <v>390</v>
      </c>
      <c r="G205" s="8">
        <f>IF(_xlfn.ISFORMULA(TabelaPrincipal[[#This Row],[CUSTO + PERCENTUAL DE ENTRADA]]),0.4,(TabelaPrincipal[[#This Row],[CUSTO + PERCENTUAL DE ENTRADA]]-TabelaPrincipal[[#This Row],[VALOR DE CUSTO]])/TabelaPrincipal[[#This Row],[VALOR DE CUSTO]])</f>
        <v>1.4773333333333332</v>
      </c>
      <c r="H205" s="2">
        <v>966.16</v>
      </c>
      <c r="I205" s="5">
        <f t="shared" si="3"/>
        <v>4830.8</v>
      </c>
      <c r="J205" s="8">
        <v>0.15</v>
      </c>
      <c r="K205" s="2">
        <f>ROUND(F205+(F205*TabelaPrincipal[[#This Row],[PERCENTUAL MÍNIMO]]), 2)</f>
        <v>448.5</v>
      </c>
      <c r="L205" s="24">
        <v>448.5</v>
      </c>
      <c r="M205" s="25"/>
      <c r="N205" s="23">
        <f>TabelaPrincipal[[#This Row],[LANCE ATUAL]]*TabelaPrincipal[[#This Row],[QTD]]</f>
        <v>2242.5</v>
      </c>
      <c r="O205" s="41" t="str">
        <f>IF(TabelaPrincipal[[#This Row],[LANCE ATUAL]]&lt;=(VLOOKUP(TabelaPrincipal[[#This Row],[ITEM]],TabelaModelo,5,FALSE)*0.5),"Inexequível","")</f>
        <v>Inexequível</v>
      </c>
    </row>
    <row r="206" spans="1:15" ht="15" customHeight="1" x14ac:dyDescent="0.25">
      <c r="A206" s="4">
        <v>458</v>
      </c>
      <c r="B206" s="3" t="str">
        <f>VLOOKUP(TabelaPrincipal[[#This Row],[ITEM]],TabelaModelo,2,FALSE)</f>
        <v>Maca de resgate, material: polietileno, tipo: prancha, tamanho: adulto, largura: cerca de 0,40 m, capacidade de carga: até 250 kg, componentes: até 5 cintos de segurança, componentes 01: cinto imobilizador para cabeça</v>
      </c>
      <c r="C206" s="1" t="str">
        <f>VLOOKUP(TabelaPrincipal[[#This Row],[ITEM]],TabelaModelo,3,FALSE)</f>
        <v>Unidade</v>
      </c>
      <c r="D206" s="1">
        <f>VLOOKUP(TabelaPrincipal[[#This Row],[ITEM]],TabelaModelo,4,FALSE)</f>
        <v>5</v>
      </c>
      <c r="E206" s="1" t="s">
        <v>835</v>
      </c>
      <c r="F206" s="23">
        <v>490</v>
      </c>
      <c r="G206" s="8">
        <f>IF(_xlfn.ISFORMULA(TabelaPrincipal[[#This Row],[CUSTO + PERCENTUAL DE ENTRADA]]),0.4,(TabelaPrincipal[[#This Row],[CUSTO + PERCENTUAL DE ENTRADA]]-TabelaPrincipal[[#This Row],[VALOR DE CUSTO]])/TabelaPrincipal[[#This Row],[VALOR DE CUSTO]])</f>
        <v>0.45032653061224481</v>
      </c>
      <c r="H206" s="2">
        <v>710.66</v>
      </c>
      <c r="I206" s="5">
        <f t="shared" si="3"/>
        <v>3553.2999999999997</v>
      </c>
      <c r="J206" s="8">
        <v>0.15</v>
      </c>
      <c r="K206" s="2">
        <f>ROUND(F206+(F206*TabelaPrincipal[[#This Row],[PERCENTUAL MÍNIMO]]), 2)</f>
        <v>563.5</v>
      </c>
      <c r="L206" s="24">
        <v>563.5</v>
      </c>
      <c r="M206" s="25"/>
      <c r="N206" s="23">
        <f>TabelaPrincipal[[#This Row],[LANCE ATUAL]]*TabelaPrincipal[[#This Row],[QTD]]</f>
        <v>2817.5</v>
      </c>
      <c r="O206" s="41" t="str">
        <f>IF(TabelaPrincipal[[#This Row],[LANCE ATUAL]]&lt;=(VLOOKUP(TabelaPrincipal[[#This Row],[ITEM]],TabelaModelo,5,FALSE)*0.5),"Inexequível","")</f>
        <v/>
      </c>
    </row>
    <row r="207" spans="1:15" ht="15" customHeight="1" x14ac:dyDescent="0.25">
      <c r="A207" s="4">
        <v>461</v>
      </c>
      <c r="B207" s="3" t="str">
        <f>VLOOKUP(TabelaPrincipal[[#This Row],[ITEM]],TabelaModelo,2,FALSE)</f>
        <v>Glicosímetro (c/ tiras\, lancetas e lancetador) glicosímetro para medição de glicemia capilar (glicosímetrodigital)\, tempo de resultado de teste de 0 a 15segUnidades\, e volume de amostra de até 03 microlitros\, obtidos por capilaridade. O aparelho deve permitir determinação precisa e segura de glicemia em sangue capilar de recém- nascido\, criança\, adultos e pacientes em uso de insulina. O glicosímetro deve acompanhar\, no mínimo: 1 caneta lancetadora\, 50lancetas\, 5 0 tiras de teste e 1 bateria\, compatíveis. Garantia de no mínimo 12 (doze) meses.</v>
      </c>
      <c r="C207" s="1" t="str">
        <f>VLOOKUP(TabelaPrincipal[[#This Row],[ITEM]],TabelaModelo,3,FALSE)</f>
        <v>Unidade</v>
      </c>
      <c r="D207" s="1">
        <f>VLOOKUP(TabelaPrincipal[[#This Row],[ITEM]],TabelaModelo,4,FALSE)</f>
        <v>5</v>
      </c>
      <c r="E207" s="1" t="s">
        <v>836</v>
      </c>
      <c r="F207" s="23">
        <v>110.04</v>
      </c>
      <c r="G207" s="8">
        <v>0</v>
      </c>
      <c r="H207" s="2">
        <f>ROUND(F207+(F207*TabelaPrincipal[[#This Row],[PERCENTUAL DE ENTRADA]]), 2)</f>
        <v>110.04</v>
      </c>
      <c r="I207" s="5">
        <f t="shared" si="3"/>
        <v>550.20000000000005</v>
      </c>
      <c r="J207" s="8">
        <f>IF(TabelaPrincipal[[#This Row],[PERCENTUAL DE ENTRADA]]&gt;0,0.15,0)</f>
        <v>0</v>
      </c>
      <c r="K207" s="2">
        <f>ROUND(F207+(F207*TabelaPrincipal[[#This Row],[PERCENTUAL MÍNIMO]]), 2)</f>
        <v>110.04</v>
      </c>
      <c r="L207" s="24">
        <v>109.04</v>
      </c>
      <c r="M207" s="25"/>
      <c r="N207" s="23">
        <f>TabelaPrincipal[[#This Row],[LANCE ATUAL]]*TabelaPrincipal[[#This Row],[QTD]]</f>
        <v>545.20000000000005</v>
      </c>
      <c r="O207" s="41" t="str">
        <f>IF(TabelaPrincipal[[#This Row],[LANCE ATUAL]]&lt;=(VLOOKUP(TabelaPrincipal[[#This Row],[ITEM]],TabelaModelo,5,FALSE)*0.5),"Inexequível","")</f>
        <v/>
      </c>
    </row>
    <row r="208" spans="1:15" ht="15" customHeight="1" x14ac:dyDescent="0.25">
      <c r="A208" s="4">
        <v>462</v>
      </c>
      <c r="B208" s="3" t="str">
        <f>VLOOKUP(TabelaPrincipal[[#This Row],[ITEM]],TabelaModelo,2,FALSE)</f>
        <v>Termohigrômetro, tipo: digital, fonte alimentação: bateria 9 v, faixa temperatura: 0 a + 50 °c, faixa medição umidade relativa: 10 a 95 per, resolução: 1% °c. Aplicação: Monitoramento Temperatura e umidade.</v>
      </c>
      <c r="C208" s="1" t="str">
        <f>VLOOKUP(TabelaPrincipal[[#This Row],[ITEM]],TabelaModelo,3,FALSE)</f>
        <v>Unidade</v>
      </c>
      <c r="D208" s="1">
        <f>VLOOKUP(TabelaPrincipal[[#This Row],[ITEM]],TabelaModelo,4,FALSE)</f>
        <v>5</v>
      </c>
      <c r="E208" s="1" t="s">
        <v>837</v>
      </c>
      <c r="F208" s="23">
        <v>99.65</v>
      </c>
      <c r="G208" s="8">
        <v>0</v>
      </c>
      <c r="H208" s="2">
        <f>ROUND(F208+(F208*TabelaPrincipal[[#This Row],[PERCENTUAL DE ENTRADA]]), 2)</f>
        <v>99.65</v>
      </c>
      <c r="I208" s="5">
        <f t="shared" si="3"/>
        <v>498.25</v>
      </c>
      <c r="J208" s="8">
        <f>IF(TabelaPrincipal[[#This Row],[PERCENTUAL DE ENTRADA]]&gt;0,0.15,0)</f>
        <v>0</v>
      </c>
      <c r="K208" s="2">
        <f>ROUND(F208+(F208*TabelaPrincipal[[#This Row],[PERCENTUAL MÍNIMO]]), 2)</f>
        <v>99.65</v>
      </c>
      <c r="L208" s="24">
        <f>IF(TabelaPrincipal[[#This Row],[PERCENTUAL DE ENTRADA]]=0,TabelaPrincipal[[#This Row],[VALOR MÍNIMO]],0)</f>
        <v>99.65</v>
      </c>
      <c r="M208" s="25"/>
      <c r="N208" s="23">
        <f>TabelaPrincipal[[#This Row],[LANCE ATUAL]]*TabelaPrincipal[[#This Row],[QTD]]</f>
        <v>498.25</v>
      </c>
      <c r="O208" s="41" t="str">
        <f>IF(TabelaPrincipal[[#This Row],[LANCE ATUAL]]&lt;=(VLOOKUP(TabelaPrincipal[[#This Row],[ITEM]],TabelaModelo,5,FALSE)*0.5),"Inexequível","")</f>
        <v/>
      </c>
    </row>
    <row r="209" spans="1:15" ht="15" customHeight="1" x14ac:dyDescent="0.25">
      <c r="A209" s="4">
        <v>466</v>
      </c>
      <c r="B209" s="3" t="str">
        <f>VLOOKUP(TabelaPrincipal[[#This Row],[ITEM]],TabelaModelo,2,FALSE)</f>
        <v>Avental hospitalar, tipo: capote cirúrgico, material: sms, tamanho: único, gramatura: cerca de 40 g/cm2, cor: branco, componente: tiras para fixação, característica adicional: manga longa, punho malha.</v>
      </c>
      <c r="C209" s="1" t="str">
        <f>VLOOKUP(TabelaPrincipal[[#This Row],[ITEM]],TabelaModelo,3,FALSE)</f>
        <v>Unidade</v>
      </c>
      <c r="D209" s="1">
        <f>VLOOKUP(TabelaPrincipal[[#This Row],[ITEM]],TabelaModelo,4,FALSE)</f>
        <v>500</v>
      </c>
      <c r="E209" s="1" t="s">
        <v>838</v>
      </c>
      <c r="F209" s="23">
        <v>4.5</v>
      </c>
      <c r="G209" s="8">
        <f>IF(_xlfn.ISFORMULA(TabelaPrincipal[[#This Row],[CUSTO + PERCENTUAL DE ENTRADA]]),0.4,(TabelaPrincipal[[#This Row],[CUSTO + PERCENTUAL DE ENTRADA]]-TabelaPrincipal[[#This Row],[VALOR DE CUSTO]])/TabelaPrincipal[[#This Row],[VALOR DE CUSTO]])</f>
        <v>1.3244444444444445</v>
      </c>
      <c r="H209" s="2">
        <v>10.46</v>
      </c>
      <c r="I209" s="5">
        <f t="shared" si="3"/>
        <v>5230</v>
      </c>
      <c r="J209" s="8">
        <v>0.15</v>
      </c>
      <c r="K209" s="2">
        <f>ROUND(F209+(F209*TabelaPrincipal[[#This Row],[PERCENTUAL MÍNIMO]]), 2)</f>
        <v>5.18</v>
      </c>
      <c r="L209" s="24">
        <v>5.18</v>
      </c>
      <c r="M209" s="25">
        <v>1</v>
      </c>
      <c r="N209" s="23">
        <f>TabelaPrincipal[[#This Row],[LANCE ATUAL]]*TabelaPrincipal[[#This Row],[QTD]]</f>
        <v>2590</v>
      </c>
      <c r="O209" s="41" t="str">
        <f>IF(TabelaPrincipal[[#This Row],[LANCE ATUAL]]&lt;=(VLOOKUP(TabelaPrincipal[[#This Row],[ITEM]],TabelaModelo,5,FALSE)*0.5),"Inexequível","")</f>
        <v>Inexequível</v>
      </c>
    </row>
    <row r="210" spans="1:15" ht="15" customHeight="1" x14ac:dyDescent="0.25">
      <c r="A210" s="4">
        <v>469</v>
      </c>
      <c r="B210" s="3" t="str">
        <f>VLOOKUP(TabelaPrincipal[[#This Row],[ITEM]],TabelaModelo,2,FALSE)</f>
        <v>Butilbrometo de escopolamina + dipirona solução injetável 4 mg/mL + 500 mg/mL</v>
      </c>
      <c r="C210" s="1" t="str">
        <f>VLOOKUP(TabelaPrincipal[[#This Row],[ITEM]],TabelaModelo,3,FALSE)</f>
        <v>Ampola</v>
      </c>
      <c r="D210" s="1">
        <f>VLOOKUP(TabelaPrincipal[[#This Row],[ITEM]],TabelaModelo,4,FALSE)</f>
        <v>200</v>
      </c>
      <c r="E210" s="1" t="s">
        <v>807</v>
      </c>
      <c r="F210" s="23">
        <v>1.9</v>
      </c>
      <c r="G210" s="8">
        <f>IF(_xlfn.ISFORMULA(TabelaPrincipal[[#This Row],[CUSTO + PERCENTUAL DE ENTRADA]]),0.4,(TabelaPrincipal[[#This Row],[CUSTO + PERCENTUAL DE ENTRADA]]-TabelaPrincipal[[#This Row],[VALOR DE CUSTO]])/TabelaPrincipal[[#This Row],[VALOR DE CUSTO]])</f>
        <v>1.0157894736842106</v>
      </c>
      <c r="H210" s="2">
        <v>3.83</v>
      </c>
      <c r="I210" s="5">
        <f t="shared" si="3"/>
        <v>766</v>
      </c>
      <c r="J210" s="8">
        <v>0.15</v>
      </c>
      <c r="K210" s="2">
        <f>ROUND(F210+(F210*TabelaPrincipal[[#This Row],[PERCENTUAL MÍNIMO]]), 2)</f>
        <v>2.19</v>
      </c>
      <c r="L210" s="24">
        <v>2.19</v>
      </c>
      <c r="M210" s="25"/>
      <c r="N210" s="23">
        <f>TabelaPrincipal[[#This Row],[LANCE ATUAL]]*TabelaPrincipal[[#This Row],[QTD]]</f>
        <v>438</v>
      </c>
      <c r="O210" s="41" t="str">
        <f>IF(TabelaPrincipal[[#This Row],[LANCE ATUAL]]&lt;=(VLOOKUP(TabelaPrincipal[[#This Row],[ITEM]],TabelaModelo,5,FALSE)*0.5),"Inexequível","")</f>
        <v/>
      </c>
    </row>
    <row r="211" spans="1:15" ht="15" customHeight="1" x14ac:dyDescent="0.25">
      <c r="A211" s="4">
        <v>470</v>
      </c>
      <c r="B211" s="3" t="str">
        <f>VLOOKUP(TabelaPrincipal[[#This Row],[ITEM]],TabelaModelo,2,FALSE)</f>
        <v>Valerato de betametasona 1 mg/g creme dermatológico</v>
      </c>
      <c r="C211" s="1" t="str">
        <f>VLOOKUP(TabelaPrincipal[[#This Row],[ITEM]],TabelaModelo,3,FALSE)</f>
        <v>Tubo</v>
      </c>
      <c r="D211" s="1">
        <f>VLOOKUP(TabelaPrincipal[[#This Row],[ITEM]],TabelaModelo,4,FALSE)</f>
        <v>200</v>
      </c>
      <c r="E211" s="1" t="s">
        <v>812</v>
      </c>
      <c r="F211" s="23">
        <v>7.85</v>
      </c>
      <c r="G211" s="8">
        <f>IF(_xlfn.ISFORMULA(TabelaPrincipal[[#This Row],[CUSTO + PERCENTUAL DE ENTRADA]]),0.4,(TabelaPrincipal[[#This Row],[CUSTO + PERCENTUAL DE ENTRADA]]-TabelaPrincipal[[#This Row],[VALOR DE CUSTO]])/TabelaPrincipal[[#This Row],[VALOR DE CUSTO]])</f>
        <v>0.4</v>
      </c>
      <c r="H211" s="2">
        <f>ROUND(F211+(F211*TabelaPrincipal[[#This Row],[PERCENTUAL DE ENTRADA]]), 2)</f>
        <v>10.99</v>
      </c>
      <c r="I211" s="5">
        <f t="shared" si="3"/>
        <v>2198</v>
      </c>
      <c r="J211" s="8">
        <v>0.15</v>
      </c>
      <c r="K211" s="2">
        <f>ROUND(F211+(F211*TabelaPrincipal[[#This Row],[PERCENTUAL MÍNIMO]]), 2)</f>
        <v>9.0299999999999994</v>
      </c>
      <c r="L211" s="24">
        <v>7.98</v>
      </c>
      <c r="M211" s="25">
        <v>1</v>
      </c>
      <c r="N211" s="23">
        <f>TabelaPrincipal[[#This Row],[LANCE ATUAL]]*TabelaPrincipal[[#This Row],[QTD]]</f>
        <v>1596</v>
      </c>
      <c r="O211" s="41" t="str">
        <f>IF(TabelaPrincipal[[#This Row],[LANCE ATUAL]]&lt;=(VLOOKUP(TabelaPrincipal[[#This Row],[ITEM]],TabelaModelo,5,FALSE)*0.5),"Inexequível","")</f>
        <v/>
      </c>
    </row>
    <row r="212" spans="1:15" ht="15" customHeight="1" x14ac:dyDescent="0.25">
      <c r="A212" s="4">
        <v>483</v>
      </c>
      <c r="B212" s="3" t="str">
        <f>VLOOKUP(TabelaPrincipal[[#This Row],[ITEM]],TabelaModelo,2,FALSE)</f>
        <v>Reanimador adulto / Ambu. Reanimador manual, material balão: silicone, capacidade balão: cerca 1,5 L, componente 1: máscara plástico rígido com coxim silicone, tipo válvula: válvula unidirecional pop off cerca 60 CMH2, componente 2: reservatório de oxigênio em plástico c, válvula, componentes 3: entrada de oxigênio e extensor pvc, tamanhos: adulto. Descrição Complementar: Confeccionado em silicone transparente, de alta qualidade. Autolavável. Bolsa reservatório de oxigênio com capacidade mínima de 2,5 litros.</v>
      </c>
      <c r="C212" s="1" t="str">
        <f>VLOOKUP(TabelaPrincipal[[#This Row],[ITEM]],TabelaModelo,3,FALSE)</f>
        <v>Unidade</v>
      </c>
      <c r="D212" s="1">
        <f>VLOOKUP(TabelaPrincipal[[#This Row],[ITEM]],TabelaModelo,4,FALSE)</f>
        <v>10</v>
      </c>
      <c r="E212" s="1" t="s">
        <v>845</v>
      </c>
      <c r="F212" s="23">
        <v>200</v>
      </c>
      <c r="G212" s="8">
        <f>IF(_xlfn.ISFORMULA(TabelaPrincipal[[#This Row],[CUSTO + PERCENTUAL DE ENTRADA]]),0.4,(TabelaPrincipal[[#This Row],[CUSTO + PERCENTUAL DE ENTRADA]]-TabelaPrincipal[[#This Row],[VALOR DE CUSTO]])/TabelaPrincipal[[#This Row],[VALOR DE CUSTO]])</f>
        <v>0.4</v>
      </c>
      <c r="H212" s="2">
        <f>ROUND(F212+(F212*TabelaPrincipal[[#This Row],[PERCENTUAL DE ENTRADA]]), 2)</f>
        <v>280</v>
      </c>
      <c r="I212" s="5">
        <f t="shared" si="3"/>
        <v>2800</v>
      </c>
      <c r="J212" s="8">
        <v>0.15</v>
      </c>
      <c r="K212" s="2">
        <f>ROUND(F212+(F212*TabelaPrincipal[[#This Row],[PERCENTUAL MÍNIMO]]), 2)</f>
        <v>230</v>
      </c>
      <c r="L212" s="24">
        <v>230</v>
      </c>
      <c r="M212" s="25"/>
      <c r="N212" s="23">
        <f>TabelaPrincipal[[#This Row],[LANCE ATUAL]]*TabelaPrincipal[[#This Row],[QTD]]</f>
        <v>2300</v>
      </c>
      <c r="O212" s="41" t="str">
        <f>IF(TabelaPrincipal[[#This Row],[LANCE ATUAL]]&lt;=(VLOOKUP(TabelaPrincipal[[#This Row],[ITEM]],TabelaModelo,5,FALSE)*0.5),"Inexequível","")</f>
        <v/>
      </c>
    </row>
    <row r="213" spans="1:15" ht="15" customHeight="1" x14ac:dyDescent="0.25">
      <c r="A213" s="4">
        <v>491</v>
      </c>
      <c r="B213" s="3" t="str">
        <f>VLOOKUP(TabelaPrincipal[[#This Row],[ITEM]],TabelaModelo,2,FALSE)</f>
        <v>Compressa gaze, material: tecido 100% algodão, modelo: cor branca, isenta de impurezas, camadas: 8 camadas, quantidade fios: 13 fios/cm2, largura: 7,50 cm, comprimento: 7,50 cm, dobras: 5 dobras, características adicionais: com fio radiopaco, descartável. Descrição Complementar: não estéril, isenta de resíduo e impurezas e produtos tóxicos, deve promover absorção segura, trama regular e sem desprendimento de fios. Embalagem resistente, segura, de fácil abertura, contendo identificação do produto, validade e lote fácil visualização. Registro no Ministério da Saúde
/ANVISA. (Modelo: CREMER 3M QUALIDADE SIMILAR OU SUPERIOR)</v>
      </c>
      <c r="C213" s="1" t="str">
        <f>VLOOKUP(TabelaPrincipal[[#This Row],[ITEM]],TabelaModelo,3,FALSE)</f>
        <v>Pacote com 500
unidades</v>
      </c>
      <c r="D213" s="1">
        <f>VLOOKUP(TabelaPrincipal[[#This Row],[ITEM]],TabelaModelo,4,FALSE)</f>
        <v>20</v>
      </c>
      <c r="E213" s="1" t="s">
        <v>847</v>
      </c>
      <c r="F213" s="23">
        <v>24</v>
      </c>
      <c r="G213" s="8">
        <f>IF(_xlfn.ISFORMULA(TabelaPrincipal[[#This Row],[CUSTO + PERCENTUAL DE ENTRADA]]),0.4,(TabelaPrincipal[[#This Row],[CUSTO + PERCENTUAL DE ENTRADA]]-TabelaPrincipal[[#This Row],[VALOR DE CUSTO]])/TabelaPrincipal[[#This Row],[VALOR DE CUSTO]])</f>
        <v>0.4</v>
      </c>
      <c r="H213" s="2">
        <f>ROUND(F213+(F213*TabelaPrincipal[[#This Row],[PERCENTUAL DE ENTRADA]]), 2)</f>
        <v>33.6</v>
      </c>
      <c r="I213" s="5">
        <f t="shared" si="3"/>
        <v>672</v>
      </c>
      <c r="J213" s="8">
        <v>0.15</v>
      </c>
      <c r="K213" s="2">
        <f>ROUND(F213+(F213*TabelaPrincipal[[#This Row],[PERCENTUAL MÍNIMO]]), 2)</f>
        <v>27.6</v>
      </c>
      <c r="L213" s="24">
        <v>27.6</v>
      </c>
      <c r="M213" s="25"/>
      <c r="N213" s="23">
        <f>TabelaPrincipal[[#This Row],[LANCE ATUAL]]*TabelaPrincipal[[#This Row],[QTD]]</f>
        <v>552</v>
      </c>
      <c r="O213" s="41" t="str">
        <f>IF(TabelaPrincipal[[#This Row],[LANCE ATUAL]]&lt;=(VLOOKUP(TabelaPrincipal[[#This Row],[ITEM]],TabelaModelo,5,FALSE)*0.5),"Inexequível","")</f>
        <v/>
      </c>
    </row>
    <row r="214" spans="1:15" ht="15" customHeight="1" x14ac:dyDescent="0.25">
      <c r="A214" s="4">
        <v>492</v>
      </c>
      <c r="B214" s="3" t="str">
        <f>VLOOKUP(TabelaPrincipal[[#This Row],[ITEM]],TabelaModelo,2,FALSE)</f>
        <v>Compressa gaze, material: tecido 100% algodão, tipo: 13 fios, cm2, modelo: cor branca, isenta de impurezas, camadas: 8 camadas, largura: 7,50 cm, comprimento: 7,50 cm, dobras: 5 dobras, características adicionais: estéril, descartável.
Descrição Complementar: 7,50 x 7,50cm quando fechadas e 15 x 30cm quando abertas. Estéril.
Embalagem resistente, segura, de fácil abertura, contendo identificação do produto, validade e lote fácil visualização. Registro no Ministério da Saúde
/ANVISA. (Modelo: CREMER 3M QUALIDADE SIMILAR OU SUPERIOR)</v>
      </c>
      <c r="C214" s="1" t="str">
        <f>VLOOKUP(TabelaPrincipal[[#This Row],[ITEM]],TabelaModelo,3,FALSE)</f>
        <v>Pacote com 5 unidades</v>
      </c>
      <c r="D214" s="1">
        <f>VLOOKUP(TabelaPrincipal[[#This Row],[ITEM]],TabelaModelo,4,FALSE)</f>
        <v>500</v>
      </c>
      <c r="E214" s="1" t="s">
        <v>848</v>
      </c>
      <c r="F214" s="23">
        <v>1.54</v>
      </c>
      <c r="G214" s="8">
        <v>0</v>
      </c>
      <c r="H214" s="2">
        <f>ROUND(F214+(F214*TabelaPrincipal[[#This Row],[PERCENTUAL DE ENTRADA]]), 2)</f>
        <v>1.54</v>
      </c>
      <c r="I214" s="5">
        <f t="shared" si="3"/>
        <v>770</v>
      </c>
      <c r="J214" s="8">
        <f>IF(TabelaPrincipal[[#This Row],[PERCENTUAL DE ENTRADA]]&gt;0,0.15,0)</f>
        <v>0</v>
      </c>
      <c r="K214" s="2">
        <f>ROUND(F214+(F214*TabelaPrincipal[[#This Row],[PERCENTUAL MÍNIMO]]), 2)</f>
        <v>1.54</v>
      </c>
      <c r="L214" s="24">
        <f>IF(TabelaPrincipal[[#This Row],[PERCENTUAL DE ENTRADA]]=0,TabelaPrincipal[[#This Row],[VALOR MÍNIMO]],0)</f>
        <v>1.54</v>
      </c>
      <c r="M214" s="25"/>
      <c r="N214" s="23">
        <f>TabelaPrincipal[[#This Row],[LANCE ATUAL]]*TabelaPrincipal[[#This Row],[QTD]]</f>
        <v>770</v>
      </c>
      <c r="O214" s="41" t="str">
        <f>IF(TabelaPrincipal[[#This Row],[LANCE ATUAL]]&lt;=(VLOOKUP(TabelaPrincipal[[#This Row],[ITEM]],TabelaModelo,5,FALSE)*0.5),"Inexequível","")</f>
        <v/>
      </c>
    </row>
    <row r="215" spans="1:15" ht="15" customHeight="1" x14ac:dyDescent="0.25">
      <c r="A215" s="4">
        <v>511</v>
      </c>
      <c r="B215" s="3" t="str">
        <f>VLOOKUP(TabelaPrincipal[[#This Row],[ITEM]],TabelaModelo,2,FALSE)</f>
        <v>Paracetamol, apresentação: associado com codeína, dosagem: 500 mg + 30 mg</v>
      </c>
      <c r="C215" s="1" t="str">
        <f>VLOOKUP(TabelaPrincipal[[#This Row],[ITEM]],TabelaModelo,3,FALSE)</f>
        <v>Comprimido</v>
      </c>
      <c r="D215" s="1">
        <f>VLOOKUP(TabelaPrincipal[[#This Row],[ITEM]],TabelaModelo,4,FALSE)</f>
        <v>2000</v>
      </c>
      <c r="E215" s="1" t="s">
        <v>803</v>
      </c>
      <c r="F215" s="23">
        <v>0.65</v>
      </c>
      <c r="G215" s="8">
        <f>IF(_xlfn.ISFORMULA(TabelaPrincipal[[#This Row],[CUSTO + PERCENTUAL DE ENTRADA]]),0.4,(TabelaPrincipal[[#This Row],[CUSTO + PERCENTUAL DE ENTRADA]]-TabelaPrincipal[[#This Row],[VALOR DE CUSTO]])/TabelaPrincipal[[#This Row],[VALOR DE CUSTO]])</f>
        <v>0.63076923076923075</v>
      </c>
      <c r="H215" s="2">
        <v>1.06</v>
      </c>
      <c r="I215" s="5">
        <f t="shared" si="3"/>
        <v>2120</v>
      </c>
      <c r="J215" s="8">
        <v>0.15</v>
      </c>
      <c r="K215" s="2">
        <f>ROUND(F215+(F215*TabelaPrincipal[[#This Row],[PERCENTUAL MÍNIMO]]), 2)</f>
        <v>0.75</v>
      </c>
      <c r="L215" s="24">
        <v>0.75</v>
      </c>
      <c r="M215" s="25"/>
      <c r="N215" s="23">
        <f>TabelaPrincipal[[#This Row],[LANCE ATUAL]]*TabelaPrincipal[[#This Row],[QTD]]</f>
        <v>1500</v>
      </c>
      <c r="O215" s="41" t="str">
        <f>IF(TabelaPrincipal[[#This Row],[LANCE ATUAL]]&lt;=(VLOOKUP(TabelaPrincipal[[#This Row],[ITEM]],TabelaModelo,5,FALSE)*0.5),"Inexequível","")</f>
        <v/>
      </c>
    </row>
    <row r="216" spans="1:15" ht="15" customHeight="1" x14ac:dyDescent="0.25">
      <c r="A216" s="4">
        <v>512</v>
      </c>
      <c r="B216" s="3" t="str">
        <f>VLOOKUP(TabelaPrincipal[[#This Row],[ITEM]],TabelaModelo,2,FALSE)</f>
        <v>Dexclorfeniramina 2 mg comprimido</v>
      </c>
      <c r="C216" s="1" t="str">
        <f>VLOOKUP(TabelaPrincipal[[#This Row],[ITEM]],TabelaModelo,3,FALSE)</f>
        <v>Comprimido</v>
      </c>
      <c r="D216" s="1">
        <f>VLOOKUP(TabelaPrincipal[[#This Row],[ITEM]],TabelaModelo,4,FALSE)</f>
        <v>1000</v>
      </c>
      <c r="E216" s="1" t="s">
        <v>803</v>
      </c>
      <c r="F216" s="23">
        <v>0.1</v>
      </c>
      <c r="G216" s="8">
        <f>IF(_xlfn.ISFORMULA(TabelaPrincipal[[#This Row],[CUSTO + PERCENTUAL DE ENTRADA]]),0.4,(TabelaPrincipal[[#This Row],[CUSTO + PERCENTUAL DE ENTRADA]]-TabelaPrincipal[[#This Row],[VALOR DE CUSTO]])/TabelaPrincipal[[#This Row],[VALOR DE CUSTO]])</f>
        <v>0.89999999999999991</v>
      </c>
      <c r="H216" s="2">
        <v>0.19</v>
      </c>
      <c r="I216" s="5">
        <f t="shared" si="3"/>
        <v>190</v>
      </c>
      <c r="J216" s="8">
        <v>0.15</v>
      </c>
      <c r="K216" s="2">
        <f>ROUND(F216+(F216*TabelaPrincipal[[#This Row],[PERCENTUAL MÍNIMO]]), 2)</f>
        <v>0.12</v>
      </c>
      <c r="L216" s="24">
        <v>0.12</v>
      </c>
      <c r="M216" s="25"/>
      <c r="N216" s="23">
        <f>TabelaPrincipal[[#This Row],[LANCE ATUAL]]*TabelaPrincipal[[#This Row],[QTD]]</f>
        <v>120</v>
      </c>
      <c r="O216" s="41" t="str">
        <f>IF(TabelaPrincipal[[#This Row],[LANCE ATUAL]]&lt;=(VLOOKUP(TabelaPrincipal[[#This Row],[ITEM]],TabelaModelo,5,FALSE)*0.5),"Inexequível","")</f>
        <v/>
      </c>
    </row>
    <row r="217" spans="1:15" ht="15" customHeight="1" x14ac:dyDescent="0.25">
      <c r="A217" s="4">
        <v>513</v>
      </c>
      <c r="B217" s="3" t="str">
        <f>VLOOKUP(TabelaPrincipal[[#This Row],[ITEM]],TabelaModelo,2,FALSE)</f>
        <v>Loratadina 10 mg comprimido</v>
      </c>
      <c r="C217" s="1" t="str">
        <f>VLOOKUP(TabelaPrincipal[[#This Row],[ITEM]],TabelaModelo,3,FALSE)</f>
        <v>Comprimido</v>
      </c>
      <c r="D217" s="1">
        <f>VLOOKUP(TabelaPrincipal[[#This Row],[ITEM]],TabelaModelo,4,FALSE)</f>
        <v>3000</v>
      </c>
      <c r="E217" s="1" t="s">
        <v>811</v>
      </c>
      <c r="F217" s="23">
        <v>0.13</v>
      </c>
      <c r="G217" s="8">
        <f>IF(_xlfn.ISFORMULA(TabelaPrincipal[[#This Row],[CUSTO + PERCENTUAL DE ENTRADA]]),0.4,(TabelaPrincipal[[#This Row],[CUSTO + PERCENTUAL DE ENTRADA]]-TabelaPrincipal[[#This Row],[VALOR DE CUSTO]])/TabelaPrincipal[[#This Row],[VALOR DE CUSTO]])</f>
        <v>0.69230769230769229</v>
      </c>
      <c r="H217" s="2">
        <v>0.22</v>
      </c>
      <c r="I217" s="5">
        <f t="shared" si="3"/>
        <v>660</v>
      </c>
      <c r="J217" s="8">
        <v>0.15</v>
      </c>
      <c r="K217" s="2">
        <f>ROUND(F217+(F217*TabelaPrincipal[[#This Row],[PERCENTUAL MÍNIMO]]), 2)</f>
        <v>0.15</v>
      </c>
      <c r="L217" s="24">
        <v>0.15</v>
      </c>
      <c r="M217" s="25"/>
      <c r="N217" s="23">
        <f>TabelaPrincipal[[#This Row],[LANCE ATUAL]]*TabelaPrincipal[[#This Row],[QTD]]</f>
        <v>450</v>
      </c>
      <c r="O217" s="41" t="str">
        <f>IF(TabelaPrincipal[[#This Row],[LANCE ATUAL]]&lt;=(VLOOKUP(TabelaPrincipal[[#This Row],[ITEM]],TabelaModelo,5,FALSE)*0.5),"Inexequível","")</f>
        <v/>
      </c>
    </row>
    <row r="218" spans="1:15" ht="15" customHeight="1" x14ac:dyDescent="0.25">
      <c r="A218" s="4">
        <v>514</v>
      </c>
      <c r="B218" s="3" t="str">
        <f>VLOOKUP(TabelaPrincipal[[#This Row],[ITEM]],TabelaModelo,2,FALSE)</f>
        <v>Tramadol 50mg/ml solução injetável</v>
      </c>
      <c r="C218" s="1" t="str">
        <f>VLOOKUP(TabelaPrincipal[[#This Row],[ITEM]],TabelaModelo,3,FALSE)</f>
        <v>Ampola 2 ml</v>
      </c>
      <c r="D218" s="1">
        <f>VLOOKUP(TabelaPrincipal[[#This Row],[ITEM]],TabelaModelo,4,FALSE)</f>
        <v>200</v>
      </c>
      <c r="E218" s="1" t="s">
        <v>796</v>
      </c>
      <c r="F218" s="23">
        <v>1.8</v>
      </c>
      <c r="G218" s="8">
        <f>IF(_xlfn.ISFORMULA(TabelaPrincipal[[#This Row],[CUSTO + PERCENTUAL DE ENTRADA]]),0.4,(TabelaPrincipal[[#This Row],[CUSTO + PERCENTUAL DE ENTRADA]]-TabelaPrincipal[[#This Row],[VALOR DE CUSTO]])/TabelaPrincipal[[#This Row],[VALOR DE CUSTO]])</f>
        <v>0.4</v>
      </c>
      <c r="H218" s="2">
        <f>ROUND(F218+(F218*TabelaPrincipal[[#This Row],[PERCENTUAL DE ENTRADA]]), 2)</f>
        <v>2.52</v>
      </c>
      <c r="I218" s="5">
        <f t="shared" si="3"/>
        <v>504</v>
      </c>
      <c r="J218" s="8">
        <v>0.15</v>
      </c>
      <c r="K218" s="2">
        <f>ROUND(F218+(F218*TabelaPrincipal[[#This Row],[PERCENTUAL MÍNIMO]]), 2)</f>
        <v>2.0699999999999998</v>
      </c>
      <c r="L218" s="24">
        <v>2.0699999999999998</v>
      </c>
      <c r="M218" s="25"/>
      <c r="N218" s="23">
        <f>TabelaPrincipal[[#This Row],[LANCE ATUAL]]*TabelaPrincipal[[#This Row],[QTD]]</f>
        <v>413.99999999999994</v>
      </c>
      <c r="O218" s="41" t="str">
        <f>IF(TabelaPrincipal[[#This Row],[LANCE ATUAL]]&lt;=(VLOOKUP(TabelaPrincipal[[#This Row],[ITEM]],TabelaModelo,5,FALSE)*0.5),"Inexequível","")</f>
        <v/>
      </c>
    </row>
    <row r="219" spans="1:15" ht="15" customHeight="1" x14ac:dyDescent="0.25">
      <c r="A219" s="4">
        <v>515</v>
      </c>
      <c r="B219" s="3" t="str">
        <f>VLOOKUP(TabelaPrincipal[[#This Row],[ITEM]],TabelaModelo,2,FALSE)</f>
        <v>Ipratrópio brometo, dosagem: 0,25 mg/ml, uso: solução para inalação</v>
      </c>
      <c r="C219" s="1" t="str">
        <f>VLOOKUP(TabelaPrincipal[[#This Row],[ITEM]],TabelaModelo,3,FALSE)</f>
        <v>Frasco 20 mL</v>
      </c>
      <c r="D219" s="1">
        <f>VLOOKUP(TabelaPrincipal[[#This Row],[ITEM]],TabelaModelo,4,FALSE)</f>
        <v>50</v>
      </c>
      <c r="E219" s="1" t="s">
        <v>801</v>
      </c>
      <c r="F219" s="23">
        <v>3.91</v>
      </c>
      <c r="G219" s="8">
        <f>IF(_xlfn.ISFORMULA(TabelaPrincipal[[#This Row],[CUSTO + PERCENTUAL DE ENTRADA]]),0.4,(TabelaPrincipal[[#This Row],[CUSTO + PERCENTUAL DE ENTRADA]]-TabelaPrincipal[[#This Row],[VALOR DE CUSTO]])/TabelaPrincipal[[#This Row],[VALOR DE CUSTO]])</f>
        <v>0.4</v>
      </c>
      <c r="H219" s="2">
        <f>ROUND(F219+(F219*TabelaPrincipal[[#This Row],[PERCENTUAL DE ENTRADA]]), 2)</f>
        <v>5.47</v>
      </c>
      <c r="I219" s="5">
        <f t="shared" si="3"/>
        <v>273.5</v>
      </c>
      <c r="J219" s="8">
        <v>0.15</v>
      </c>
      <c r="K219" s="2">
        <f>ROUND(F219+(F219*TabelaPrincipal[[#This Row],[PERCENTUAL MÍNIMO]]), 2)</f>
        <v>4.5</v>
      </c>
      <c r="L219" s="24">
        <v>4.5</v>
      </c>
      <c r="M219" s="25"/>
      <c r="N219" s="23">
        <f>TabelaPrincipal[[#This Row],[LANCE ATUAL]]*TabelaPrincipal[[#This Row],[QTD]]</f>
        <v>225</v>
      </c>
      <c r="O219" s="41" t="str">
        <f>IF(TabelaPrincipal[[#This Row],[LANCE ATUAL]]&lt;=(VLOOKUP(TabelaPrincipal[[#This Row],[ITEM]],TabelaModelo,5,FALSE)*0.5),"Inexequível","")</f>
        <v/>
      </c>
    </row>
    <row r="220" spans="1:15" ht="15" customHeight="1" x14ac:dyDescent="0.25">
      <c r="A220" s="4">
        <v>517</v>
      </c>
      <c r="B220" s="3" t="str">
        <f>VLOOKUP(TabelaPrincipal[[#This Row],[ITEM]],TabelaModelo,2,FALSE)</f>
        <v>Midazolam 1 mg/mL solução injetável</v>
      </c>
      <c r="C220" s="1" t="str">
        <f>VLOOKUP(TabelaPrincipal[[#This Row],[ITEM]],TabelaModelo,3,FALSE)</f>
        <v>Ampola 5 ml</v>
      </c>
      <c r="D220" s="1">
        <f>VLOOKUP(TabelaPrincipal[[#This Row],[ITEM]],TabelaModelo,4,FALSE)</f>
        <v>100</v>
      </c>
      <c r="E220" s="1" t="s">
        <v>807</v>
      </c>
      <c r="F220" s="23">
        <v>6.98</v>
      </c>
      <c r="G220" s="8">
        <v>0</v>
      </c>
      <c r="H220" s="2">
        <f>ROUND(F220+(F220*TabelaPrincipal[[#This Row],[PERCENTUAL DE ENTRADA]]), 2)</f>
        <v>6.98</v>
      </c>
      <c r="I220" s="5">
        <f t="shared" si="3"/>
        <v>698</v>
      </c>
      <c r="J220" s="8">
        <f>IF(TabelaPrincipal[[#This Row],[PERCENTUAL DE ENTRADA]]&gt;0,0.15,0)</f>
        <v>0</v>
      </c>
      <c r="K220" s="2">
        <f>ROUND(F220+(F220*TabelaPrincipal[[#This Row],[PERCENTUAL MÍNIMO]]), 2)</f>
        <v>6.98</v>
      </c>
      <c r="L220" s="24">
        <f>IF(TabelaPrincipal[[#This Row],[PERCENTUAL DE ENTRADA]]=0,TabelaPrincipal[[#This Row],[VALOR MÍNIMO]],0)</f>
        <v>6.98</v>
      </c>
      <c r="M220" s="25"/>
      <c r="N220" s="23">
        <f>TabelaPrincipal[[#This Row],[LANCE ATUAL]]*TabelaPrincipal[[#This Row],[QTD]]</f>
        <v>698</v>
      </c>
      <c r="O220" s="41" t="str">
        <f>IF(TabelaPrincipal[[#This Row],[LANCE ATUAL]]&lt;=(VLOOKUP(TabelaPrincipal[[#This Row],[ITEM]],TabelaModelo,5,FALSE)*0.5),"Inexequível","")</f>
        <v/>
      </c>
    </row>
    <row r="221" spans="1:15" ht="15" customHeight="1" x14ac:dyDescent="0.25">
      <c r="A221" s="4">
        <v>518</v>
      </c>
      <c r="B221" s="3" t="str">
        <f>VLOOKUP(TabelaPrincipal[[#This Row],[ITEM]],TabelaModelo,2,FALSE)</f>
        <v>Midazolam 5 mg/mL solução injetável</v>
      </c>
      <c r="C221" s="1" t="str">
        <f>VLOOKUP(TabelaPrincipal[[#This Row],[ITEM]],TabelaModelo,3,FALSE)</f>
        <v>Ampola 10 ml</v>
      </c>
      <c r="D221" s="1">
        <f>VLOOKUP(TabelaPrincipal[[#This Row],[ITEM]],TabelaModelo,4,FALSE)</f>
        <v>100</v>
      </c>
      <c r="E221" s="1" t="s">
        <v>796</v>
      </c>
      <c r="F221" s="23">
        <v>4.9000000000000004</v>
      </c>
      <c r="G221" s="8">
        <f>IF(_xlfn.ISFORMULA(TabelaPrincipal[[#This Row],[CUSTO + PERCENTUAL DE ENTRADA]]),0.4,(TabelaPrincipal[[#This Row],[CUSTO + PERCENTUAL DE ENTRADA]]-TabelaPrincipal[[#This Row],[VALOR DE CUSTO]])/TabelaPrincipal[[#This Row],[VALOR DE CUSTO]])</f>
        <v>1.4999999999999998</v>
      </c>
      <c r="H221" s="2">
        <v>12.25</v>
      </c>
      <c r="I221" s="5">
        <f t="shared" si="3"/>
        <v>1225</v>
      </c>
      <c r="J221" s="8">
        <v>0.15</v>
      </c>
      <c r="K221" s="2">
        <f>ROUND(F221+(F221*TabelaPrincipal[[#This Row],[PERCENTUAL MÍNIMO]]), 2)</f>
        <v>5.64</v>
      </c>
      <c r="L221" s="24">
        <v>5.64</v>
      </c>
      <c r="M221" s="25"/>
      <c r="N221" s="23">
        <f>TabelaPrincipal[[#This Row],[LANCE ATUAL]]*TabelaPrincipal[[#This Row],[QTD]]</f>
        <v>564</v>
      </c>
      <c r="O221" s="41" t="str">
        <f>IF(TabelaPrincipal[[#This Row],[LANCE ATUAL]]&lt;=(VLOOKUP(TabelaPrincipal[[#This Row],[ITEM]],TabelaModelo,5,FALSE)*0.5),"Inexequível","")</f>
        <v>Inexequível</v>
      </c>
    </row>
    <row r="222" spans="1:15" ht="15" customHeight="1" x14ac:dyDescent="0.25">
      <c r="A222" s="4">
        <v>519</v>
      </c>
      <c r="B222" s="3" t="str">
        <f>VLOOKUP(TabelaPrincipal[[#This Row],[ITEM]],TabelaModelo,2,FALSE)</f>
        <v>Fentanila, apresentação: sal citrato, dosagem: 0,05 mg/ml, indicação: solução injetável</v>
      </c>
      <c r="C222" s="1" t="str">
        <f>VLOOKUP(TabelaPrincipal[[#This Row],[ITEM]],TabelaModelo,3,FALSE)</f>
        <v>Ampola 10 ml</v>
      </c>
      <c r="D222" s="1">
        <f>VLOOKUP(TabelaPrincipal[[#This Row],[ITEM]],TabelaModelo,4,FALSE)</f>
        <v>100</v>
      </c>
      <c r="E222" s="1" t="s">
        <v>807</v>
      </c>
      <c r="F222" s="23">
        <v>6.9</v>
      </c>
      <c r="G222" s="8">
        <f>IF(_xlfn.ISFORMULA(TabelaPrincipal[[#This Row],[CUSTO + PERCENTUAL DE ENTRADA]]),0.4,(TabelaPrincipal[[#This Row],[CUSTO + PERCENTUAL DE ENTRADA]]-TabelaPrincipal[[#This Row],[VALOR DE CUSTO]])/TabelaPrincipal[[#This Row],[VALOR DE CUSTO]])</f>
        <v>1.0840579710144929</v>
      </c>
      <c r="H222" s="2">
        <v>14.38</v>
      </c>
      <c r="I222" s="5">
        <f t="shared" si="3"/>
        <v>1438</v>
      </c>
      <c r="J222" s="8">
        <v>0.15</v>
      </c>
      <c r="K222" s="2">
        <f>ROUND(F222+(F222*TabelaPrincipal[[#This Row],[PERCENTUAL MÍNIMO]]), 2)</f>
        <v>7.94</v>
      </c>
      <c r="L222" s="24">
        <v>7.94</v>
      </c>
      <c r="M222" s="25"/>
      <c r="N222" s="23">
        <f>TabelaPrincipal[[#This Row],[LANCE ATUAL]]*TabelaPrincipal[[#This Row],[QTD]]</f>
        <v>794</v>
      </c>
      <c r="O222" s="41" t="str">
        <f>IF(TabelaPrincipal[[#This Row],[LANCE ATUAL]]&lt;=(VLOOKUP(TabelaPrincipal[[#This Row],[ITEM]],TabelaModelo,5,FALSE)*0.5),"Inexequível","")</f>
        <v/>
      </c>
    </row>
    <row r="223" spans="1:15" ht="15" customHeight="1" x14ac:dyDescent="0.25">
      <c r="A223" s="4">
        <v>520</v>
      </c>
      <c r="B223" s="3" t="str">
        <f>VLOOKUP(TabelaPrincipal[[#This Row],[ITEM]],TabelaModelo,2,FALSE)</f>
        <v>Ondansetrona 2 mg/mL solução injetável</v>
      </c>
      <c r="C223" s="1" t="str">
        <f>VLOOKUP(TabelaPrincipal[[#This Row],[ITEM]],TabelaModelo,3,FALSE)</f>
        <v>Ampola 2 ml</v>
      </c>
      <c r="D223" s="1">
        <f>VLOOKUP(TabelaPrincipal[[#This Row],[ITEM]],TabelaModelo,4,FALSE)</f>
        <v>300</v>
      </c>
      <c r="E223" s="1" t="s">
        <v>850</v>
      </c>
      <c r="F223" s="23">
        <v>1.4</v>
      </c>
      <c r="G223" s="8">
        <f>IF(_xlfn.ISFORMULA(TabelaPrincipal[[#This Row],[CUSTO + PERCENTUAL DE ENTRADA]]),0.4,(TabelaPrincipal[[#This Row],[CUSTO + PERCENTUAL DE ENTRADA]]-TabelaPrincipal[[#This Row],[VALOR DE CUSTO]])/TabelaPrincipal[[#This Row],[VALOR DE CUSTO]])</f>
        <v>0.60714285714285721</v>
      </c>
      <c r="H223" s="2">
        <v>2.25</v>
      </c>
      <c r="I223" s="5">
        <f t="shared" si="3"/>
        <v>675</v>
      </c>
      <c r="J223" s="8">
        <v>0.15</v>
      </c>
      <c r="K223" s="2">
        <f>ROUND(F223+(F223*TabelaPrincipal[[#This Row],[PERCENTUAL MÍNIMO]]), 2)</f>
        <v>1.61</v>
      </c>
      <c r="L223" s="24">
        <v>1.61</v>
      </c>
      <c r="M223" s="25"/>
      <c r="N223" s="23">
        <f>TabelaPrincipal[[#This Row],[LANCE ATUAL]]*TabelaPrincipal[[#This Row],[QTD]]</f>
        <v>483.00000000000006</v>
      </c>
      <c r="O223" s="41" t="str">
        <f>IF(TabelaPrincipal[[#This Row],[LANCE ATUAL]]&lt;=(VLOOKUP(TabelaPrincipal[[#This Row],[ITEM]],TabelaModelo,5,FALSE)*0.5),"Inexequível","")</f>
        <v/>
      </c>
    </row>
    <row r="224" spans="1:15" ht="15" customHeight="1" x14ac:dyDescent="0.25">
      <c r="A224" s="4">
        <v>521</v>
      </c>
      <c r="B224" s="3" t="str">
        <f>VLOOKUP(TabelaPrincipal[[#This Row],[ITEM]],TabelaModelo,2,FALSE)</f>
        <v>Ondansetrona 4 mg comprimido</v>
      </c>
      <c r="C224" s="1" t="str">
        <f>VLOOKUP(TabelaPrincipal[[#This Row],[ITEM]],TabelaModelo,3,FALSE)</f>
        <v>Comprimido</v>
      </c>
      <c r="D224" s="1">
        <f>VLOOKUP(TabelaPrincipal[[#This Row],[ITEM]],TabelaModelo,4,FALSE)</f>
        <v>300</v>
      </c>
      <c r="E224" s="1" t="s">
        <v>803</v>
      </c>
      <c r="F224" s="23">
        <v>0.57999999999999996</v>
      </c>
      <c r="G224" s="8">
        <f>IF(_xlfn.ISFORMULA(TabelaPrincipal[[#This Row],[CUSTO + PERCENTUAL DE ENTRADA]]),0.4,(TabelaPrincipal[[#This Row],[CUSTO + PERCENTUAL DE ENTRADA]]-TabelaPrincipal[[#This Row],[VALOR DE CUSTO]])/TabelaPrincipal[[#This Row],[VALOR DE CUSTO]])</f>
        <v>2.862068965517242</v>
      </c>
      <c r="H224" s="2">
        <v>2.2400000000000002</v>
      </c>
      <c r="I224" s="5">
        <f t="shared" si="3"/>
        <v>672.00000000000011</v>
      </c>
      <c r="J224" s="8">
        <v>0.15</v>
      </c>
      <c r="K224" s="2">
        <f>ROUND(F224+(F224*TabelaPrincipal[[#This Row],[PERCENTUAL MÍNIMO]]), 2)</f>
        <v>0.67</v>
      </c>
      <c r="L224" s="24">
        <v>0.67</v>
      </c>
      <c r="M224" s="25"/>
      <c r="N224" s="23">
        <f>TabelaPrincipal[[#This Row],[LANCE ATUAL]]*TabelaPrincipal[[#This Row],[QTD]]</f>
        <v>201</v>
      </c>
      <c r="O224" s="41" t="str">
        <f>IF(TabelaPrincipal[[#This Row],[LANCE ATUAL]]&lt;=(VLOOKUP(TabelaPrincipal[[#This Row],[ITEM]],TabelaModelo,5,FALSE)*0.5),"Inexequível","")</f>
        <v>Inexequível</v>
      </c>
    </row>
    <row r="225" spans="1:15" ht="15" customHeight="1" x14ac:dyDescent="0.25">
      <c r="A225" s="4">
        <v>522</v>
      </c>
      <c r="B225" s="3" t="str">
        <f>VLOOKUP(TabelaPrincipal[[#This Row],[ITEM]],TabelaModelo,2,FALSE)</f>
        <v>Neostigmina metilsulfato, dosagem: 0,5 mg/ml, apresentação: solução injetável</v>
      </c>
      <c r="C225" s="1" t="str">
        <f>VLOOKUP(TabelaPrincipal[[#This Row],[ITEM]],TabelaModelo,3,FALSE)</f>
        <v>Ampola</v>
      </c>
      <c r="D225" s="1">
        <f>VLOOKUP(TabelaPrincipal[[#This Row],[ITEM]],TabelaModelo,4,FALSE)</f>
        <v>50</v>
      </c>
      <c r="E225" s="1" t="s">
        <v>814</v>
      </c>
      <c r="F225" s="23">
        <v>2.27</v>
      </c>
      <c r="G225" s="8">
        <v>0</v>
      </c>
      <c r="H225" s="2">
        <f>ROUND(F225+(F225*TabelaPrincipal[[#This Row],[PERCENTUAL DE ENTRADA]]), 2)</f>
        <v>2.27</v>
      </c>
      <c r="I225" s="5">
        <f t="shared" si="3"/>
        <v>113.5</v>
      </c>
      <c r="J225" s="8">
        <f>IF(TabelaPrincipal[[#This Row],[PERCENTUAL DE ENTRADA]]&gt;0,0.15,0)</f>
        <v>0</v>
      </c>
      <c r="K225" s="2">
        <f>ROUND(F225+(F225*TabelaPrincipal[[#This Row],[PERCENTUAL MÍNIMO]]), 2)</f>
        <v>2.27</v>
      </c>
      <c r="L225" s="24">
        <f>IF(TabelaPrincipal[[#This Row],[PERCENTUAL DE ENTRADA]]=0,TabelaPrincipal[[#This Row],[VALOR MÍNIMO]],0)</f>
        <v>2.27</v>
      </c>
      <c r="M225" s="25">
        <v>1</v>
      </c>
      <c r="N225" s="23">
        <f>TabelaPrincipal[[#This Row],[LANCE ATUAL]]*TabelaPrincipal[[#This Row],[QTD]]</f>
        <v>113.5</v>
      </c>
      <c r="O225" s="41" t="str">
        <f>IF(TabelaPrincipal[[#This Row],[LANCE ATUAL]]&lt;=(VLOOKUP(TabelaPrincipal[[#This Row],[ITEM]],TabelaModelo,5,FALSE)*0.5),"Inexequível","")</f>
        <v/>
      </c>
    </row>
    <row r="226" spans="1:15" ht="15" customHeight="1" x14ac:dyDescent="0.25">
      <c r="A226" s="4">
        <v>523</v>
      </c>
      <c r="B226" s="3" t="str">
        <f>VLOOKUP(TabelaPrincipal[[#This Row],[ITEM]],TabelaModelo,2,FALSE)</f>
        <v>Nitroglicerina, dosagem: 5 mg/ml, aplicação: injetável</v>
      </c>
      <c r="C226" s="1" t="str">
        <f>VLOOKUP(TabelaPrincipal[[#This Row],[ITEM]],TabelaModelo,3,FALSE)</f>
        <v>Ampola 5 ml</v>
      </c>
      <c r="D226" s="1">
        <f>VLOOKUP(TabelaPrincipal[[#This Row],[ITEM]],TabelaModelo,4,FALSE)</f>
        <v>50</v>
      </c>
      <c r="E226" s="1" t="s">
        <v>797</v>
      </c>
      <c r="F226" s="23">
        <v>36</v>
      </c>
      <c r="G226" s="8">
        <f>IF(_xlfn.ISFORMULA(TabelaPrincipal[[#This Row],[CUSTO + PERCENTUAL DE ENTRADA]]),0.4,(TabelaPrincipal[[#This Row],[CUSTO + PERCENTUAL DE ENTRADA]]-TabelaPrincipal[[#This Row],[VALOR DE CUSTO]])/TabelaPrincipal[[#This Row],[VALOR DE CUSTO]])</f>
        <v>0.4</v>
      </c>
      <c r="H226" s="2">
        <f>ROUND(F226+(F226*TabelaPrincipal[[#This Row],[PERCENTUAL DE ENTRADA]]), 2)</f>
        <v>50.4</v>
      </c>
      <c r="I226" s="5">
        <f t="shared" si="3"/>
        <v>2520</v>
      </c>
      <c r="J226" s="8">
        <v>0.15</v>
      </c>
      <c r="K226" s="2">
        <f>ROUND(F226+(F226*TabelaPrincipal[[#This Row],[PERCENTUAL MÍNIMO]]), 2)</f>
        <v>41.4</v>
      </c>
      <c r="L226" s="24">
        <v>41.91</v>
      </c>
      <c r="M226" s="25">
        <v>1</v>
      </c>
      <c r="N226" s="23">
        <f>TabelaPrincipal[[#This Row],[LANCE ATUAL]]*TabelaPrincipal[[#This Row],[QTD]]</f>
        <v>2095.5</v>
      </c>
      <c r="O226" s="41" t="str">
        <f>IF(TabelaPrincipal[[#This Row],[LANCE ATUAL]]&lt;=(VLOOKUP(TabelaPrincipal[[#This Row],[ITEM]],TabelaModelo,5,FALSE)*0.5),"Inexequível","")</f>
        <v/>
      </c>
    </row>
    <row r="227" spans="1:15" ht="15" customHeight="1" x14ac:dyDescent="0.25">
      <c r="A227" s="4">
        <v>524</v>
      </c>
      <c r="B227" s="3" t="str">
        <f>VLOOKUP(TabelaPrincipal[[#This Row],[ITEM]],TabelaModelo,2,FALSE)</f>
        <v>Nitroprusseto de sódio, concentração: 25 mg/ml, forma farmacêutica: solução injetável</v>
      </c>
      <c r="C227" s="1" t="str">
        <f>VLOOKUP(TabelaPrincipal[[#This Row],[ITEM]],TabelaModelo,3,FALSE)</f>
        <v>Ampola 2 ml</v>
      </c>
      <c r="D227" s="1">
        <f>VLOOKUP(TabelaPrincipal[[#This Row],[ITEM]],TabelaModelo,4,FALSE)</f>
        <v>50</v>
      </c>
      <c r="E227" s="1" t="s">
        <v>850</v>
      </c>
      <c r="F227" s="23">
        <v>15.56</v>
      </c>
      <c r="G227" s="8">
        <v>0</v>
      </c>
      <c r="H227" s="2">
        <f>ROUND(F227+(F227*TabelaPrincipal[[#This Row],[PERCENTUAL DE ENTRADA]]), 2)</f>
        <v>15.56</v>
      </c>
      <c r="I227" s="5">
        <f t="shared" si="3"/>
        <v>778</v>
      </c>
      <c r="J227" s="8">
        <f>IF(TabelaPrincipal[[#This Row],[PERCENTUAL DE ENTRADA]]&gt;0,0.15,0)</f>
        <v>0</v>
      </c>
      <c r="K227" s="2">
        <f>ROUND(F227+(F227*TabelaPrincipal[[#This Row],[PERCENTUAL MÍNIMO]]), 2)</f>
        <v>15.56</v>
      </c>
      <c r="L227" s="24">
        <f>IF(TabelaPrincipal[[#This Row],[PERCENTUAL DE ENTRADA]]=0,TabelaPrincipal[[#This Row],[VALOR MÍNIMO]],0)</f>
        <v>15.56</v>
      </c>
      <c r="M227" s="25">
        <v>1</v>
      </c>
      <c r="N227" s="23">
        <f>TabelaPrincipal[[#This Row],[LANCE ATUAL]]*TabelaPrincipal[[#This Row],[QTD]]</f>
        <v>778</v>
      </c>
      <c r="O227" s="41" t="str">
        <f>IF(TabelaPrincipal[[#This Row],[LANCE ATUAL]]&lt;=(VLOOKUP(TabelaPrincipal[[#This Row],[ITEM]],TabelaModelo,5,FALSE)*0.5),"Inexequível","")</f>
        <v/>
      </c>
    </row>
    <row r="228" spans="1:15" ht="15" customHeight="1" x14ac:dyDescent="0.25">
      <c r="A228" s="4">
        <v>525</v>
      </c>
      <c r="B228" s="3" t="str">
        <f>VLOOKUP(TabelaPrincipal[[#This Row],[ITEM]],TabelaModelo,2,FALSE)</f>
        <v>Bromoprida 10 mg comprimido</v>
      </c>
      <c r="C228" s="1" t="str">
        <f>VLOOKUP(TabelaPrincipal[[#This Row],[ITEM]],TabelaModelo,3,FALSE)</f>
        <v>Comprimido</v>
      </c>
      <c r="D228" s="1">
        <f>VLOOKUP(TabelaPrincipal[[#This Row],[ITEM]],TabelaModelo,4,FALSE)</f>
        <v>1000</v>
      </c>
      <c r="E228" s="1" t="s">
        <v>823</v>
      </c>
      <c r="F228" s="23">
        <v>0.42</v>
      </c>
      <c r="G228" s="8">
        <f>IF(_xlfn.ISFORMULA(TabelaPrincipal[[#This Row],[CUSTO + PERCENTUAL DE ENTRADA]]),0.4,(TabelaPrincipal[[#This Row],[CUSTO + PERCENTUAL DE ENTRADA]]-TabelaPrincipal[[#This Row],[VALOR DE CUSTO]])/TabelaPrincipal[[#This Row],[VALOR DE CUSTO]])</f>
        <v>0.4</v>
      </c>
      <c r="H228" s="2">
        <f>ROUND(F228+(F228*TabelaPrincipal[[#This Row],[PERCENTUAL DE ENTRADA]]), 2)</f>
        <v>0.59</v>
      </c>
      <c r="I228" s="5">
        <f t="shared" si="3"/>
        <v>590</v>
      </c>
      <c r="J228" s="8">
        <v>0.15</v>
      </c>
      <c r="K228" s="2">
        <f>ROUND(F228+(F228*TabelaPrincipal[[#This Row],[PERCENTUAL MÍNIMO]]), 2)</f>
        <v>0.48</v>
      </c>
      <c r="L228" s="24">
        <v>0.48</v>
      </c>
      <c r="M228" s="25"/>
      <c r="N228" s="23">
        <f>TabelaPrincipal[[#This Row],[LANCE ATUAL]]*TabelaPrincipal[[#This Row],[QTD]]</f>
        <v>480</v>
      </c>
      <c r="O228" s="41" t="str">
        <f>IF(TabelaPrincipal[[#This Row],[LANCE ATUAL]]&lt;=(VLOOKUP(TabelaPrincipal[[#This Row],[ITEM]],TabelaModelo,5,FALSE)*0.5),"Inexequível","")</f>
        <v/>
      </c>
    </row>
    <row r="229" spans="1:15" ht="15" customHeight="1" x14ac:dyDescent="0.25">
      <c r="A229" s="4">
        <v>526</v>
      </c>
      <c r="B229" s="3" t="str">
        <f>VLOOKUP(TabelaPrincipal[[#This Row],[ITEM]],TabelaModelo,2,FALSE)</f>
        <v>Bromoprida 5 mg/mL solução injetável</v>
      </c>
      <c r="C229" s="1" t="str">
        <f>VLOOKUP(TabelaPrincipal[[#This Row],[ITEM]],TabelaModelo,3,FALSE)</f>
        <v>Ampola 2 ml</v>
      </c>
      <c r="D229" s="1">
        <f>VLOOKUP(TabelaPrincipal[[#This Row],[ITEM]],TabelaModelo,4,FALSE)</f>
        <v>100</v>
      </c>
      <c r="E229" s="1" t="s">
        <v>807</v>
      </c>
      <c r="F229" s="23">
        <v>1.5</v>
      </c>
      <c r="G229" s="8">
        <f>IF(_xlfn.ISFORMULA(TabelaPrincipal[[#This Row],[CUSTO + PERCENTUAL DE ENTRADA]]),0.4,(TabelaPrincipal[[#This Row],[CUSTO + PERCENTUAL DE ENTRADA]]-TabelaPrincipal[[#This Row],[VALOR DE CUSTO]])/TabelaPrincipal[[#This Row],[VALOR DE CUSTO]])</f>
        <v>0.4</v>
      </c>
      <c r="H229" s="2">
        <f>ROUND(F229+(F229*TabelaPrincipal[[#This Row],[PERCENTUAL DE ENTRADA]]), 2)</f>
        <v>2.1</v>
      </c>
      <c r="I229" s="5">
        <f t="shared" si="3"/>
        <v>210</v>
      </c>
      <c r="J229" s="8">
        <v>0.15</v>
      </c>
      <c r="K229" s="2">
        <f>ROUND(F229+(F229*TabelaPrincipal[[#This Row],[PERCENTUAL MÍNIMO]]), 2)</f>
        <v>1.73</v>
      </c>
      <c r="L229" s="24">
        <v>1.9</v>
      </c>
      <c r="M229" s="25">
        <v>1</v>
      </c>
      <c r="N229" s="23">
        <f>TabelaPrincipal[[#This Row],[LANCE ATUAL]]*TabelaPrincipal[[#This Row],[QTD]]</f>
        <v>190</v>
      </c>
      <c r="O229" s="41" t="str">
        <f>IF(TabelaPrincipal[[#This Row],[LANCE ATUAL]]&lt;=(VLOOKUP(TabelaPrincipal[[#This Row],[ITEM]],TabelaModelo,5,FALSE)*0.5),"Inexequível","")</f>
        <v/>
      </c>
    </row>
    <row r="230" spans="1:15" ht="15" customHeight="1" x14ac:dyDescent="0.25">
      <c r="A230" s="4">
        <v>527</v>
      </c>
      <c r="B230" s="3" t="str">
        <f>VLOOKUP(TabelaPrincipal[[#This Row],[ITEM]],TabelaModelo,2,FALSE)</f>
        <v>Salicilato de metila, composição: associada à cânfora, mentol, e ess. deterebentina, concentração: 0,0333 ml + 0,0333 g + 0,0083 g + 0,0833 ml,ml, forma farmacêutica: solução tópica, embalagem: frasco aerossol</v>
      </c>
      <c r="C230" s="1" t="str">
        <f>VLOOKUP(TabelaPrincipal[[#This Row],[ITEM]],TabelaModelo,3,FALSE)</f>
        <v>Frasco 120 ml</v>
      </c>
      <c r="D230" s="1">
        <f>VLOOKUP(TabelaPrincipal[[#This Row],[ITEM]],TabelaModelo,4,FALSE)</f>
        <v>300</v>
      </c>
      <c r="E230" s="1" t="s">
        <v>854</v>
      </c>
      <c r="F230" s="23">
        <v>14.95</v>
      </c>
      <c r="G230" s="8">
        <f>IF(_xlfn.ISFORMULA(TabelaPrincipal[[#This Row],[CUSTO + PERCENTUAL DE ENTRADA]]),0.4,(TabelaPrincipal[[#This Row],[CUSTO + PERCENTUAL DE ENTRADA]]-TabelaPrincipal[[#This Row],[VALOR DE CUSTO]])/TabelaPrincipal[[#This Row],[VALOR DE CUSTO]])</f>
        <v>0.4</v>
      </c>
      <c r="H230" s="2">
        <f>ROUND(F230+(F230*TabelaPrincipal[[#This Row],[PERCENTUAL DE ENTRADA]]), 2)</f>
        <v>20.93</v>
      </c>
      <c r="I230" s="5">
        <f t="shared" si="3"/>
        <v>6279</v>
      </c>
      <c r="J230" s="8">
        <v>0.15</v>
      </c>
      <c r="K230" s="2">
        <f>ROUND(F230+(F230*TabelaPrincipal[[#This Row],[PERCENTUAL MÍNIMO]]), 2)</f>
        <v>17.190000000000001</v>
      </c>
      <c r="L230" s="24">
        <v>17.190000000000001</v>
      </c>
      <c r="M230" s="25"/>
      <c r="N230" s="23">
        <f>TabelaPrincipal[[#This Row],[LANCE ATUAL]]*TabelaPrincipal[[#This Row],[QTD]]</f>
        <v>5157</v>
      </c>
      <c r="O230" s="41" t="str">
        <f>IF(TabelaPrincipal[[#This Row],[LANCE ATUAL]]&lt;=(VLOOKUP(TabelaPrincipal[[#This Row],[ITEM]],TabelaModelo,5,FALSE)*0.5),"Inexequível","")</f>
        <v/>
      </c>
    </row>
    <row r="231" spans="1:15" ht="15" customHeight="1" x14ac:dyDescent="0.25">
      <c r="A231" s="4">
        <v>528</v>
      </c>
      <c r="B231" s="3" t="str">
        <f>VLOOKUP(TabelaPrincipal[[#This Row],[ITEM]],TabelaModelo,2,FALSE)</f>
        <v>Salicilato de metila, composição: associado à ess. terebentina, cânfora e mentol, concentração: 0,02 ml + 0,05 ml + 30 mg + 5 mg,g, forma farmacêutica: pomada</v>
      </c>
      <c r="C231" s="1" t="str">
        <f>VLOOKUP(TabelaPrincipal[[#This Row],[ITEM]],TabelaModelo,3,FALSE)</f>
        <v>Bisnaga 30 g</v>
      </c>
      <c r="D231" s="1">
        <f>VLOOKUP(TabelaPrincipal[[#This Row],[ITEM]],TabelaModelo,4,FALSE)</f>
        <v>300</v>
      </c>
      <c r="E231" s="1" t="s">
        <v>854</v>
      </c>
      <c r="F231" s="23">
        <v>6.4</v>
      </c>
      <c r="G231" s="8">
        <f>IF(_xlfn.ISFORMULA(TabelaPrincipal[[#This Row],[CUSTO + PERCENTUAL DE ENTRADA]]),0.4,(TabelaPrincipal[[#This Row],[CUSTO + PERCENTUAL DE ENTRADA]]-TabelaPrincipal[[#This Row],[VALOR DE CUSTO]])/TabelaPrincipal[[#This Row],[VALOR DE CUSTO]])</f>
        <v>0.5078125</v>
      </c>
      <c r="H231" s="2">
        <v>9.65</v>
      </c>
      <c r="I231" s="5">
        <f t="shared" si="3"/>
        <v>2895</v>
      </c>
      <c r="J231" s="8">
        <v>0.15</v>
      </c>
      <c r="K231" s="2">
        <f>ROUND(F231+(F231*TabelaPrincipal[[#This Row],[PERCENTUAL MÍNIMO]]), 2)</f>
        <v>7.36</v>
      </c>
      <c r="L231" s="24">
        <v>6.65</v>
      </c>
      <c r="M231" s="25">
        <v>1</v>
      </c>
      <c r="N231" s="23">
        <f>TabelaPrincipal[[#This Row],[LANCE ATUAL]]*TabelaPrincipal[[#This Row],[QTD]]</f>
        <v>1995</v>
      </c>
      <c r="O231" s="41" t="str">
        <f>IF(TabelaPrincipal[[#This Row],[LANCE ATUAL]]&lt;=(VLOOKUP(TabelaPrincipal[[#This Row],[ITEM]],TabelaModelo,5,FALSE)*0.5),"Inexequível","")</f>
        <v/>
      </c>
    </row>
    <row r="232" spans="1:15" ht="15" customHeight="1" x14ac:dyDescent="0.25">
      <c r="A232" s="4">
        <v>529</v>
      </c>
      <c r="B232" s="3" t="str">
        <f>VLOOKUP(TabelaPrincipal[[#This Row],[ITEM]],TabelaModelo,2,FALSE)</f>
        <v>Nimesulida 100 mg comprimido</v>
      </c>
      <c r="C232" s="1" t="str">
        <f>VLOOKUP(TabelaPrincipal[[#This Row],[ITEM]],TabelaModelo,3,FALSE)</f>
        <v>Comprimido</v>
      </c>
      <c r="D232" s="1">
        <f>VLOOKUP(TabelaPrincipal[[#This Row],[ITEM]],TabelaModelo,4,FALSE)</f>
        <v>500</v>
      </c>
      <c r="E232" s="1" t="s">
        <v>820</v>
      </c>
      <c r="F232" s="23">
        <v>0.14000000000000001</v>
      </c>
      <c r="G232" s="8">
        <f>IF(_xlfn.ISFORMULA(TabelaPrincipal[[#This Row],[CUSTO + PERCENTUAL DE ENTRADA]]),0.4,(TabelaPrincipal[[#This Row],[CUSTO + PERCENTUAL DE ENTRADA]]-TabelaPrincipal[[#This Row],[VALOR DE CUSTO]])/TabelaPrincipal[[#This Row],[VALOR DE CUSTO]])</f>
        <v>0.64285714285714279</v>
      </c>
      <c r="H232" s="2">
        <v>0.23</v>
      </c>
      <c r="I232" s="5">
        <f t="shared" si="3"/>
        <v>115</v>
      </c>
      <c r="J232" s="8">
        <v>0.15</v>
      </c>
      <c r="K232" s="2">
        <f>ROUND(F232+(F232*TabelaPrincipal[[#This Row],[PERCENTUAL MÍNIMO]]), 2)</f>
        <v>0.16</v>
      </c>
      <c r="L232" s="24">
        <v>0.16</v>
      </c>
      <c r="M232" s="25"/>
      <c r="N232" s="23">
        <f>TabelaPrincipal[[#This Row],[LANCE ATUAL]]*TabelaPrincipal[[#This Row],[QTD]]</f>
        <v>80</v>
      </c>
      <c r="O232" s="41" t="str">
        <f>IF(TabelaPrincipal[[#This Row],[LANCE ATUAL]]&lt;=(VLOOKUP(TabelaPrincipal[[#This Row],[ITEM]],TabelaModelo,5,FALSE)*0.5),"Inexequível","")</f>
        <v/>
      </c>
    </row>
    <row r="233" spans="1:15" ht="15" customHeight="1" x14ac:dyDescent="0.25">
      <c r="A233" s="4">
        <v>530</v>
      </c>
      <c r="B233" s="3" t="str">
        <f>VLOOKUP(TabelaPrincipal[[#This Row],[ITEM]],TabelaModelo,2,FALSE)</f>
        <v>Triancinolona, composição: acetonida, concentração: 1 mg/g, forma farmacêutica: pasta oral</v>
      </c>
      <c r="C233" s="1" t="str">
        <f>VLOOKUP(TabelaPrincipal[[#This Row],[ITEM]],TabelaModelo,3,FALSE)</f>
        <v>Bisnaga 10 g</v>
      </c>
      <c r="D233" s="1">
        <f>VLOOKUP(TabelaPrincipal[[#This Row],[ITEM]],TabelaModelo,4,FALSE)</f>
        <v>500</v>
      </c>
      <c r="E233" s="1" t="s">
        <v>801</v>
      </c>
      <c r="F233" s="23">
        <v>4.7</v>
      </c>
      <c r="G233" s="8">
        <f>IF(_xlfn.ISFORMULA(TabelaPrincipal[[#This Row],[CUSTO + PERCENTUAL DE ENTRADA]]),0.4,(TabelaPrincipal[[#This Row],[CUSTO + PERCENTUAL DE ENTRADA]]-TabelaPrincipal[[#This Row],[VALOR DE CUSTO]])/TabelaPrincipal[[#This Row],[VALOR DE CUSTO]])</f>
        <v>0.65531914893617016</v>
      </c>
      <c r="H233" s="2">
        <v>7.78</v>
      </c>
      <c r="I233" s="5">
        <f t="shared" si="3"/>
        <v>3890</v>
      </c>
      <c r="J233" s="8">
        <v>0.15</v>
      </c>
      <c r="K233" s="2">
        <f>ROUND(F233+(F233*TabelaPrincipal[[#This Row],[PERCENTUAL MÍNIMO]]), 2)</f>
        <v>5.41</v>
      </c>
      <c r="L233" s="24">
        <v>5.41</v>
      </c>
      <c r="M233" s="25">
        <v>1</v>
      </c>
      <c r="N233" s="23">
        <f>TabelaPrincipal[[#This Row],[LANCE ATUAL]]*TabelaPrincipal[[#This Row],[QTD]]</f>
        <v>2705</v>
      </c>
      <c r="O233" s="41" t="str">
        <f>IF(TabelaPrincipal[[#This Row],[LANCE ATUAL]]&lt;=(VLOOKUP(TabelaPrincipal[[#This Row],[ITEM]],TabelaModelo,5,FALSE)*0.5),"Inexequível","")</f>
        <v/>
      </c>
    </row>
    <row r="234" spans="1:15" ht="15" customHeight="1" x14ac:dyDescent="0.25">
      <c r="A234" s="4">
        <v>531</v>
      </c>
      <c r="B234" s="3" t="str">
        <f>VLOOKUP(TabelaPrincipal[[#This Row],[ITEM]],TabelaModelo,2,FALSE)</f>
        <v>Betametasona, composição: dipropionato, associada ao cetoconazol e neomicina, concentração: 0,5 mg,g + 20 mg/g + 1,5 mg/g, forma farmacêutica: creme</v>
      </c>
      <c r="C234" s="1" t="str">
        <f>VLOOKUP(TabelaPrincipal[[#This Row],[ITEM]],TabelaModelo,3,FALSE)</f>
        <v>Bisnaga 30 g</v>
      </c>
      <c r="D234" s="1">
        <f>VLOOKUP(TabelaPrincipal[[#This Row],[ITEM]],TabelaModelo,4,FALSE)</f>
        <v>200</v>
      </c>
      <c r="E234" s="1" t="s">
        <v>803</v>
      </c>
      <c r="F234" s="23">
        <v>6.05</v>
      </c>
      <c r="G234" s="8">
        <f>IF(_xlfn.ISFORMULA(TabelaPrincipal[[#This Row],[CUSTO + PERCENTUAL DE ENTRADA]]),0.4,(TabelaPrincipal[[#This Row],[CUSTO + PERCENTUAL DE ENTRADA]]-TabelaPrincipal[[#This Row],[VALOR DE CUSTO]])/TabelaPrincipal[[#This Row],[VALOR DE CUSTO]])</f>
        <v>0.77024793388429769</v>
      </c>
      <c r="H234" s="2">
        <v>10.71</v>
      </c>
      <c r="I234" s="5">
        <f t="shared" si="3"/>
        <v>2142</v>
      </c>
      <c r="J234" s="8">
        <v>0.15</v>
      </c>
      <c r="K234" s="2">
        <f>ROUND(F234+(F234*TabelaPrincipal[[#This Row],[PERCENTUAL MÍNIMO]]), 2)</f>
        <v>6.96</v>
      </c>
      <c r="L234" s="24">
        <v>6.96</v>
      </c>
      <c r="M234" s="25"/>
      <c r="N234" s="23">
        <f>TabelaPrincipal[[#This Row],[LANCE ATUAL]]*TabelaPrincipal[[#This Row],[QTD]]</f>
        <v>1392</v>
      </c>
      <c r="O234" s="41" t="str">
        <f>IF(TabelaPrincipal[[#This Row],[LANCE ATUAL]]&lt;=(VLOOKUP(TabelaPrincipal[[#This Row],[ITEM]],TabelaModelo,5,FALSE)*0.5),"Inexequível","")</f>
        <v/>
      </c>
    </row>
    <row r="235" spans="1:15" ht="15" customHeight="1" x14ac:dyDescent="0.25">
      <c r="A235" s="4">
        <v>532</v>
      </c>
      <c r="B235" s="3" t="str">
        <f>VLOOKUP(TabelaPrincipal[[#This Row],[ITEM]],TabelaModelo,2,FALSE)</f>
        <v>Dipirona sódica 500 mg/mL solução oral, frasco 10 mL</v>
      </c>
      <c r="C235" s="1" t="str">
        <f>VLOOKUP(TabelaPrincipal[[#This Row],[ITEM]],TabelaModelo,3,FALSE)</f>
        <v>Frasco 10 mL</v>
      </c>
      <c r="D235" s="1">
        <f>VLOOKUP(TabelaPrincipal[[#This Row],[ITEM]],TabelaModelo,4,FALSE)</f>
        <v>100</v>
      </c>
      <c r="E235" s="1" t="s">
        <v>857</v>
      </c>
      <c r="F235" s="23">
        <v>2</v>
      </c>
      <c r="G235" s="8">
        <f>IF(_xlfn.ISFORMULA(TabelaPrincipal[[#This Row],[CUSTO + PERCENTUAL DE ENTRADA]]),0.4,(TabelaPrincipal[[#This Row],[CUSTO + PERCENTUAL DE ENTRADA]]-TabelaPrincipal[[#This Row],[VALOR DE CUSTO]])/TabelaPrincipal[[#This Row],[VALOR DE CUSTO]])</f>
        <v>2.0249999999999999</v>
      </c>
      <c r="H235" s="2">
        <v>6.05</v>
      </c>
      <c r="I235" s="5">
        <f t="shared" si="3"/>
        <v>605</v>
      </c>
      <c r="J235" s="8">
        <v>0.15</v>
      </c>
      <c r="K235" s="2">
        <f>ROUND(F235+(F235*TabelaPrincipal[[#This Row],[PERCENTUAL MÍNIMO]]), 2)</f>
        <v>2.2999999999999998</v>
      </c>
      <c r="L235" s="24">
        <v>2.2999999999999998</v>
      </c>
      <c r="M235" s="25"/>
      <c r="N235" s="23">
        <f>TabelaPrincipal[[#This Row],[LANCE ATUAL]]*TabelaPrincipal[[#This Row],[QTD]]</f>
        <v>229.99999999999997</v>
      </c>
      <c r="O235" s="41" t="str">
        <f>IF(TabelaPrincipal[[#This Row],[LANCE ATUAL]]&lt;=(VLOOKUP(TabelaPrincipal[[#This Row],[ITEM]],TabelaModelo,5,FALSE)*0.5),"Inexequível","")</f>
        <v>Inexequível</v>
      </c>
    </row>
    <row r="236" spans="1:15" ht="15" customHeight="1" x14ac:dyDescent="0.25">
      <c r="A236" s="4">
        <v>533</v>
      </c>
      <c r="B236" s="3" t="str">
        <f>VLOOKUP(TabelaPrincipal[[#This Row],[ITEM]],TabelaModelo,2,FALSE)</f>
        <v>Omeprazol 40 mg pó para solução injetável</v>
      </c>
      <c r="C236" s="1" t="str">
        <f>VLOOKUP(TabelaPrincipal[[#This Row],[ITEM]],TabelaModelo,3,FALSE)</f>
        <v>Frasco- ampola</v>
      </c>
      <c r="D236" s="1">
        <f>VLOOKUP(TabelaPrincipal[[#This Row],[ITEM]],TabelaModelo,4,FALSE)</f>
        <v>100</v>
      </c>
      <c r="E236" s="1" t="s">
        <v>795</v>
      </c>
      <c r="F236" s="23">
        <v>6.99</v>
      </c>
      <c r="G236" s="8">
        <f>IF(_xlfn.ISFORMULA(TabelaPrincipal[[#This Row],[CUSTO + PERCENTUAL DE ENTRADA]]),0.4,(TabelaPrincipal[[#This Row],[CUSTO + PERCENTUAL DE ENTRADA]]-TabelaPrincipal[[#This Row],[VALOR DE CUSTO]])/TabelaPrincipal[[#This Row],[VALOR DE CUSTO]])</f>
        <v>5.6251788268955654</v>
      </c>
      <c r="H236" s="2">
        <v>46.31</v>
      </c>
      <c r="I236" s="5">
        <f t="shared" si="3"/>
        <v>4631</v>
      </c>
      <c r="J236" s="8">
        <v>0.15</v>
      </c>
      <c r="K236" s="2">
        <f>ROUND(F236+(F236*TabelaPrincipal[[#This Row],[PERCENTUAL MÍNIMO]]), 2)</f>
        <v>8.0399999999999991</v>
      </c>
      <c r="L236" s="24">
        <v>8.57</v>
      </c>
      <c r="M236" s="25"/>
      <c r="N236" s="23">
        <f>TabelaPrincipal[[#This Row],[LANCE ATUAL]]*TabelaPrincipal[[#This Row],[QTD]]</f>
        <v>857</v>
      </c>
      <c r="O236" s="41" t="str">
        <f>IF(TabelaPrincipal[[#This Row],[LANCE ATUAL]]&lt;=(VLOOKUP(TabelaPrincipal[[#This Row],[ITEM]],TabelaModelo,5,FALSE)*0.5),"Inexequível","")</f>
        <v>Inexequível</v>
      </c>
    </row>
    <row r="237" spans="1:15" ht="15" customHeight="1" x14ac:dyDescent="0.25">
      <c r="A237" s="4">
        <v>534</v>
      </c>
      <c r="B237" s="3" t="str">
        <f>VLOOKUP(TabelaPrincipal[[#This Row],[ITEM]],TabelaModelo,2,FALSE)</f>
        <v>Cetoconazol 20 mg/g (2%) creme</v>
      </c>
      <c r="C237" s="1" t="str">
        <f>VLOOKUP(TabelaPrincipal[[#This Row],[ITEM]],TabelaModelo,3,FALSE)</f>
        <v>Bisnaga 30g</v>
      </c>
      <c r="D237" s="1">
        <f>VLOOKUP(TabelaPrincipal[[#This Row],[ITEM]],TabelaModelo,4,FALSE)</f>
        <v>300</v>
      </c>
      <c r="E237" s="1" t="s">
        <v>819</v>
      </c>
      <c r="F237" s="23">
        <v>5.8</v>
      </c>
      <c r="G237" s="8">
        <f>IF(_xlfn.ISFORMULA(TabelaPrincipal[[#This Row],[CUSTO + PERCENTUAL DE ENTRADA]]),0.4,(TabelaPrincipal[[#This Row],[CUSTO + PERCENTUAL DE ENTRADA]]-TabelaPrincipal[[#This Row],[VALOR DE CUSTO]])/TabelaPrincipal[[#This Row],[VALOR DE CUSTO]])</f>
        <v>0.4</v>
      </c>
      <c r="H237" s="2">
        <f>ROUND(F237+(F237*TabelaPrincipal[[#This Row],[PERCENTUAL DE ENTRADA]]), 2)</f>
        <v>8.1199999999999992</v>
      </c>
      <c r="I237" s="5">
        <f t="shared" si="3"/>
        <v>2435.9999999999995</v>
      </c>
      <c r="J237" s="8">
        <v>0.15</v>
      </c>
      <c r="K237" s="2">
        <f>ROUND(F237+(F237*TabelaPrincipal[[#This Row],[PERCENTUAL MÍNIMO]]), 2)</f>
        <v>6.67</v>
      </c>
      <c r="L237" s="24">
        <v>6.67</v>
      </c>
      <c r="M237" s="25"/>
      <c r="N237" s="23">
        <f>TabelaPrincipal[[#This Row],[LANCE ATUAL]]*TabelaPrincipal[[#This Row],[QTD]]</f>
        <v>2001</v>
      </c>
      <c r="O237" s="41" t="str">
        <f>IF(TabelaPrincipal[[#This Row],[LANCE ATUAL]]&lt;=(VLOOKUP(TabelaPrincipal[[#This Row],[ITEM]],TabelaModelo,5,FALSE)*0.5),"Inexequível","")</f>
        <v/>
      </c>
    </row>
    <row r="238" spans="1:15" ht="15" customHeight="1" x14ac:dyDescent="0.25">
      <c r="A238" s="4">
        <v>535</v>
      </c>
      <c r="B238" s="3" t="str">
        <f>VLOOKUP(TabelaPrincipal[[#This Row],[ITEM]],TabelaModelo,2,FALSE)</f>
        <v>Colagenase 0,6 UI/g creme</v>
      </c>
      <c r="C238" s="1" t="str">
        <f>VLOOKUP(TabelaPrincipal[[#This Row],[ITEM]],TabelaModelo,3,FALSE)</f>
        <v>Bisnaga 30g</v>
      </c>
      <c r="D238" s="1">
        <f>VLOOKUP(TabelaPrincipal[[#This Row],[ITEM]],TabelaModelo,4,FALSE)</f>
        <v>200</v>
      </c>
      <c r="E238" s="1" t="s">
        <v>797</v>
      </c>
      <c r="F238" s="23">
        <v>22</v>
      </c>
      <c r="G238" s="8">
        <f>IF(_xlfn.ISFORMULA(TabelaPrincipal[[#This Row],[CUSTO + PERCENTUAL DE ENTRADA]]),0.4,(TabelaPrincipal[[#This Row],[CUSTO + PERCENTUAL DE ENTRADA]]-TabelaPrincipal[[#This Row],[VALOR DE CUSTO]])/TabelaPrincipal[[#This Row],[VALOR DE CUSTO]])</f>
        <v>0.4</v>
      </c>
      <c r="H238" s="2">
        <f>ROUND(F238+(F238*TabelaPrincipal[[#This Row],[PERCENTUAL DE ENTRADA]]), 2)</f>
        <v>30.8</v>
      </c>
      <c r="I238" s="5">
        <f t="shared" si="3"/>
        <v>6160</v>
      </c>
      <c r="J238" s="8">
        <v>0.15</v>
      </c>
      <c r="K238" s="2">
        <f>ROUND(F238+(F238*TabelaPrincipal[[#This Row],[PERCENTUAL MÍNIMO]]), 2)</f>
        <v>25.3</v>
      </c>
      <c r="L238" s="24">
        <v>25.18</v>
      </c>
      <c r="M238" s="25"/>
      <c r="N238" s="23">
        <f>TabelaPrincipal[[#This Row],[LANCE ATUAL]]*TabelaPrincipal[[#This Row],[QTD]]</f>
        <v>5036</v>
      </c>
      <c r="O238" s="41" t="str">
        <f>IF(TabelaPrincipal[[#This Row],[LANCE ATUAL]]&lt;=(VLOOKUP(TabelaPrincipal[[#This Row],[ITEM]],TabelaModelo,5,FALSE)*0.5),"Inexequível","")</f>
        <v/>
      </c>
    </row>
    <row r="239" spans="1:15" ht="15" customHeight="1" x14ac:dyDescent="0.25">
      <c r="A239" s="4">
        <v>536</v>
      </c>
      <c r="B239" s="3" t="str">
        <f>VLOOKUP(TabelaPrincipal[[#This Row],[ITEM]],TabelaModelo,2,FALSE)</f>
        <v>Ácido acetilsalicílico, dosagem:100 mg, tipo uso: tamponado</v>
      </c>
      <c r="C239" s="1" t="str">
        <f>VLOOKUP(TabelaPrincipal[[#This Row],[ITEM]],TabelaModelo,3,FALSE)</f>
        <v>Comprimido</v>
      </c>
      <c r="D239" s="1">
        <f>VLOOKUP(TabelaPrincipal[[#This Row],[ITEM]],TabelaModelo,4,FALSE)</f>
        <v>720</v>
      </c>
      <c r="E239" s="1" t="s">
        <v>858</v>
      </c>
      <c r="F239" s="23">
        <v>0.72</v>
      </c>
      <c r="G239" s="8">
        <f>IF(_xlfn.ISFORMULA(TabelaPrincipal[[#This Row],[CUSTO + PERCENTUAL DE ENTRADA]]),0.4,(TabelaPrincipal[[#This Row],[CUSTO + PERCENTUAL DE ENTRADA]]-TabelaPrincipal[[#This Row],[VALOR DE CUSTO]])/TabelaPrincipal[[#This Row],[VALOR DE CUSTO]])</f>
        <v>0.4</v>
      </c>
      <c r="H239" s="2">
        <f>ROUND(F239+(F239*TabelaPrincipal[[#This Row],[PERCENTUAL DE ENTRADA]]), 2)</f>
        <v>1.01</v>
      </c>
      <c r="I239" s="5">
        <f t="shared" si="3"/>
        <v>727.2</v>
      </c>
      <c r="J239" s="8">
        <v>0.15</v>
      </c>
      <c r="K239" s="2">
        <f>ROUND(F239+(F239*TabelaPrincipal[[#This Row],[PERCENTUAL MÍNIMO]]), 2)</f>
        <v>0.83</v>
      </c>
      <c r="L239" s="24">
        <v>0.85</v>
      </c>
      <c r="M239" s="25"/>
      <c r="N239" s="23">
        <f>TabelaPrincipal[[#This Row],[LANCE ATUAL]]*TabelaPrincipal[[#This Row],[QTD]]</f>
        <v>612</v>
      </c>
      <c r="O239" s="41" t="str">
        <f>IF(TabelaPrincipal[[#This Row],[LANCE ATUAL]]&lt;=(VLOOKUP(TabelaPrincipal[[#This Row],[ITEM]],TabelaModelo,5,FALSE)*0.5),"Inexequível","")</f>
        <v/>
      </c>
    </row>
    <row r="240" spans="1:15" ht="15" customHeight="1" x14ac:dyDescent="0.25">
      <c r="A240" s="4">
        <v>537</v>
      </c>
      <c r="B240" s="3" t="str">
        <f>VLOOKUP(TabelaPrincipal[[#This Row],[ITEM]],TabelaModelo,2,FALSE)</f>
        <v>Paracetamol, apresentação: associado com tramadol cloridrato, dosagem:325mg + 37,5mg</v>
      </c>
      <c r="C240" s="1" t="str">
        <f>VLOOKUP(TabelaPrincipal[[#This Row],[ITEM]],TabelaModelo,3,FALSE)</f>
        <v>Comprimido</v>
      </c>
      <c r="D240" s="1">
        <f>VLOOKUP(TabelaPrincipal[[#This Row],[ITEM]],TabelaModelo,4,FALSE)</f>
        <v>480</v>
      </c>
      <c r="E240" s="1" t="s">
        <v>812</v>
      </c>
      <c r="F240" s="23">
        <v>1.44</v>
      </c>
      <c r="G240" s="8">
        <f>IF(_xlfn.ISFORMULA(TabelaPrincipal[[#This Row],[CUSTO + PERCENTUAL DE ENTRADA]]),0.4,(TabelaPrincipal[[#This Row],[CUSTO + PERCENTUAL DE ENTRADA]]-TabelaPrincipal[[#This Row],[VALOR DE CUSTO]])/TabelaPrincipal[[#This Row],[VALOR DE CUSTO]])</f>
        <v>3.4791666666666665</v>
      </c>
      <c r="H240" s="2">
        <v>6.45</v>
      </c>
      <c r="I240" s="5">
        <f t="shared" si="3"/>
        <v>3096</v>
      </c>
      <c r="J240" s="8">
        <v>0.15</v>
      </c>
      <c r="K240" s="2">
        <f>ROUND(F240+(F240*TabelaPrincipal[[#This Row],[PERCENTUAL MÍNIMO]]), 2)</f>
        <v>1.66</v>
      </c>
      <c r="L240" s="24">
        <v>1.76</v>
      </c>
      <c r="M240" s="25">
        <v>1</v>
      </c>
      <c r="N240" s="23">
        <f>TabelaPrincipal[[#This Row],[LANCE ATUAL]]*TabelaPrincipal[[#This Row],[QTD]]</f>
        <v>844.8</v>
      </c>
      <c r="O240" s="41" t="str">
        <f>IF(TabelaPrincipal[[#This Row],[LANCE ATUAL]]&lt;=(VLOOKUP(TabelaPrincipal[[#This Row],[ITEM]],TabelaModelo,5,FALSE)*0.5),"Inexequível","")</f>
        <v>Inexequível</v>
      </c>
    </row>
    <row r="241" spans="1:15" ht="15" customHeight="1" x14ac:dyDescent="0.25">
      <c r="A241" s="4">
        <v>538</v>
      </c>
      <c r="B241" s="3" t="str">
        <f>VLOOKUP(TabelaPrincipal[[#This Row],[ITEM]],TabelaModelo,2,FALSE)</f>
        <v>Zolpidem, dosagem:10 mg</v>
      </c>
      <c r="C241" s="1" t="str">
        <f>VLOOKUP(TabelaPrincipal[[#This Row],[ITEM]],TabelaModelo,3,FALSE)</f>
        <v>Comprimido</v>
      </c>
      <c r="D241" s="1">
        <f>VLOOKUP(TabelaPrincipal[[#This Row],[ITEM]],TabelaModelo,4,FALSE)</f>
        <v>360</v>
      </c>
      <c r="E241" s="1" t="s">
        <v>803</v>
      </c>
      <c r="F241" s="23">
        <v>0.17</v>
      </c>
      <c r="G241" s="8">
        <f>IF(_xlfn.ISFORMULA(TabelaPrincipal[[#This Row],[CUSTO + PERCENTUAL DE ENTRADA]]),0.4,(TabelaPrincipal[[#This Row],[CUSTO + PERCENTUAL DE ENTRADA]]-TabelaPrincipal[[#This Row],[VALOR DE CUSTO]])/TabelaPrincipal[[#This Row],[VALOR DE CUSTO]])</f>
        <v>6.2941176470588234</v>
      </c>
      <c r="H241" s="2">
        <v>1.24</v>
      </c>
      <c r="I241" s="5">
        <f t="shared" si="3"/>
        <v>446.4</v>
      </c>
      <c r="J241" s="8">
        <v>0.15</v>
      </c>
      <c r="K241" s="2">
        <f>ROUND(F241+(F241*TabelaPrincipal[[#This Row],[PERCENTUAL MÍNIMO]]), 2)</f>
        <v>0.2</v>
      </c>
      <c r="L241" s="24">
        <v>0.2</v>
      </c>
      <c r="M241" s="25">
        <v>1</v>
      </c>
      <c r="N241" s="23">
        <f>TabelaPrincipal[[#This Row],[LANCE ATUAL]]*TabelaPrincipal[[#This Row],[QTD]]</f>
        <v>72</v>
      </c>
      <c r="O241" s="41" t="str">
        <f>IF(TabelaPrincipal[[#This Row],[LANCE ATUAL]]&lt;=(VLOOKUP(TabelaPrincipal[[#This Row],[ITEM]],TabelaModelo,5,FALSE)*0.5),"Inexequível","")</f>
        <v>Inexequível</v>
      </c>
    </row>
    <row r="242" spans="1:15" ht="15" customHeight="1" x14ac:dyDescent="0.25">
      <c r="A242" s="4">
        <v>547</v>
      </c>
      <c r="B242" s="3" t="str">
        <f>VLOOKUP(TabelaPrincipal[[#This Row],[ITEM]],TabelaModelo,2,FALSE)</f>
        <v>Oxímetro, tipo dedo, faixa de medição saturação 1: 0 a 100%, faixa de medição pulso 1: cerca de 20 a 250 bpm, autonomia sistema 1: cerca 24h, alimentação: p ilha. Conforme modelo de referência (apêndice a) ou superior.</v>
      </c>
      <c r="C242" s="1" t="str">
        <f>VLOOKUP(TabelaPrincipal[[#This Row],[ITEM]],TabelaModelo,3,FALSE)</f>
        <v>Unidade</v>
      </c>
      <c r="D242" s="1">
        <f>VLOOKUP(TabelaPrincipal[[#This Row],[ITEM]],TabelaModelo,4,FALSE)</f>
        <v>10</v>
      </c>
      <c r="E242" s="1" t="s">
        <v>833</v>
      </c>
      <c r="F242" s="23">
        <v>78</v>
      </c>
      <c r="G242" s="8">
        <f>IF(_xlfn.ISFORMULA(TabelaPrincipal[[#This Row],[CUSTO + PERCENTUAL DE ENTRADA]]),0.4,(TabelaPrincipal[[#This Row],[CUSTO + PERCENTUAL DE ENTRADA]]-TabelaPrincipal[[#This Row],[VALOR DE CUSTO]])/TabelaPrincipal[[#This Row],[VALOR DE CUSTO]])</f>
        <v>1.0225641025641024</v>
      </c>
      <c r="H242" s="2">
        <v>157.76</v>
      </c>
      <c r="I242" s="5">
        <f t="shared" si="3"/>
        <v>1577.6</v>
      </c>
      <c r="J242" s="8">
        <v>0.15</v>
      </c>
      <c r="K242" s="2">
        <f>ROUND(F242+(F242*TabelaPrincipal[[#This Row],[PERCENTUAL MÍNIMO]]), 2)</f>
        <v>89.7</v>
      </c>
      <c r="L242" s="24">
        <v>89.7</v>
      </c>
      <c r="M242" s="25"/>
      <c r="N242" s="23">
        <f>TabelaPrincipal[[#This Row],[LANCE ATUAL]]*TabelaPrincipal[[#This Row],[QTD]]</f>
        <v>897</v>
      </c>
      <c r="O242" s="41" t="str">
        <f>IF(TabelaPrincipal[[#This Row],[LANCE ATUAL]]&lt;=(VLOOKUP(TabelaPrincipal[[#This Row],[ITEM]],TabelaModelo,5,FALSE)*0.5),"Inexequível","")</f>
        <v/>
      </c>
    </row>
    <row r="243" spans="1:15" ht="15" customHeight="1" x14ac:dyDescent="0.25">
      <c r="A243" s="4">
        <v>548</v>
      </c>
      <c r="B243" s="3" t="str">
        <f>VLOOKUP(TabelaPrincipal[[#This Row],[ITEM]],TabelaModelo,2,FALSE)</f>
        <v>Sonda trato digestivo, aplicação: oro ou nasogástrica, modelo: levine, material: pvc, calibre: nº 22, tamanho: longa, comprimento: cerca 120 cm, conector: conector padrão c, tampa, componentes: ponta distal fechada, c, orifícios laterais, esterilidade: estéril, descartável, embalagem: embalagem individual</v>
      </c>
      <c r="C243" s="1" t="str">
        <f>VLOOKUP(TabelaPrincipal[[#This Row],[ITEM]],TabelaModelo,3,FALSE)</f>
        <v>Unidade</v>
      </c>
      <c r="D243" s="1">
        <f>VLOOKUP(TabelaPrincipal[[#This Row],[ITEM]],TabelaModelo,4,FALSE)</f>
        <v>10</v>
      </c>
      <c r="E243" s="1" t="s">
        <v>860</v>
      </c>
      <c r="F243" s="23">
        <v>2.5299999999999998</v>
      </c>
      <c r="G243" s="8">
        <v>0</v>
      </c>
      <c r="H243" s="2">
        <f>ROUND(F243+(F243*TabelaPrincipal[[#This Row],[PERCENTUAL DE ENTRADA]]), 2)</f>
        <v>2.5299999999999998</v>
      </c>
      <c r="I243" s="5">
        <f t="shared" si="3"/>
        <v>25.299999999999997</v>
      </c>
      <c r="J243" s="8">
        <f>IF(TabelaPrincipal[[#This Row],[PERCENTUAL DE ENTRADA]]&gt;0,0.15,0)</f>
        <v>0</v>
      </c>
      <c r="K243" s="2">
        <f>ROUND(F243+(F243*TabelaPrincipal[[#This Row],[PERCENTUAL MÍNIMO]]), 2)</f>
        <v>2.5299999999999998</v>
      </c>
      <c r="L243" s="24">
        <f>IF(TabelaPrincipal[[#This Row],[PERCENTUAL DE ENTRADA]]=0,TabelaPrincipal[[#This Row],[VALOR MÍNIMO]],0)</f>
        <v>2.5299999999999998</v>
      </c>
      <c r="M243" s="25">
        <v>1</v>
      </c>
      <c r="N243" s="23">
        <f>TabelaPrincipal[[#This Row],[LANCE ATUAL]]*TabelaPrincipal[[#This Row],[QTD]]</f>
        <v>25.299999999999997</v>
      </c>
      <c r="O243" s="41" t="str">
        <f>IF(TabelaPrincipal[[#This Row],[LANCE ATUAL]]&lt;=(VLOOKUP(TabelaPrincipal[[#This Row],[ITEM]],TabelaModelo,5,FALSE)*0.5),"Inexequível","")</f>
        <v/>
      </c>
    </row>
    <row r="244" spans="1:15" ht="15" customHeight="1" x14ac:dyDescent="0.25">
      <c r="A244" s="4">
        <v>549</v>
      </c>
      <c r="B244" s="3" t="str">
        <f>VLOOKUP(TabelaPrincipal[[#This Row],[ITEM]],TabelaModelo,2,FALSE)</f>
        <v>Sonda trato digestivo, aplicação: oro ou nasogástrica, modelo: levine, material: pvc, calibre: nº 20, tamanho: longa, comprimento: cerca 120 cm, conector: conector padrão c, tampa, componentes: ponta distal fechada, c, orifícios laterais, esterilidade: estéril, descartável, embalagem: embalagem individual</v>
      </c>
      <c r="C244" s="1" t="str">
        <f>VLOOKUP(TabelaPrincipal[[#This Row],[ITEM]],TabelaModelo,3,FALSE)</f>
        <v>Unidade</v>
      </c>
      <c r="D244" s="1">
        <f>VLOOKUP(TabelaPrincipal[[#This Row],[ITEM]],TabelaModelo,4,FALSE)</f>
        <v>10</v>
      </c>
      <c r="E244" s="1" t="s">
        <v>860</v>
      </c>
      <c r="F244" s="23">
        <v>1.91</v>
      </c>
      <c r="G244" s="8">
        <v>0</v>
      </c>
      <c r="H244" s="2">
        <f>ROUND(F244+(F244*TabelaPrincipal[[#This Row],[PERCENTUAL DE ENTRADA]]), 2)</f>
        <v>1.91</v>
      </c>
      <c r="I244" s="5">
        <f t="shared" si="3"/>
        <v>19.099999999999998</v>
      </c>
      <c r="J244" s="8">
        <f>IF(TabelaPrincipal[[#This Row],[PERCENTUAL DE ENTRADA]]&gt;0,0.15,0)</f>
        <v>0</v>
      </c>
      <c r="K244" s="2">
        <f>ROUND(F244+(F244*TabelaPrincipal[[#This Row],[PERCENTUAL MÍNIMO]]), 2)</f>
        <v>1.91</v>
      </c>
      <c r="L244" s="24">
        <v>1.86</v>
      </c>
      <c r="M244" s="25">
        <v>1</v>
      </c>
      <c r="N244" s="23">
        <f>TabelaPrincipal[[#This Row],[LANCE ATUAL]]*TabelaPrincipal[[#This Row],[QTD]]</f>
        <v>18.600000000000001</v>
      </c>
      <c r="O244" s="41" t="str">
        <f>IF(TabelaPrincipal[[#This Row],[LANCE ATUAL]]&lt;=(VLOOKUP(TabelaPrincipal[[#This Row],[ITEM]],TabelaModelo,5,FALSE)*0.5),"Inexequível","")</f>
        <v/>
      </c>
    </row>
    <row r="245" spans="1:15" ht="15" customHeight="1" x14ac:dyDescent="0.25">
      <c r="A245" s="4">
        <v>550</v>
      </c>
      <c r="B245" s="3" t="str">
        <f>VLOOKUP(TabelaPrincipal[[#This Row],[ITEM]],TabelaModelo,2,FALSE)</f>
        <v>calibre: nº 18, tamanho: longa, comprimento: cerca 120 cm, conector: conector padrão c, tampa, componentes: ponta distal fechada, c, orifícios laterais, esterilidade: estéril, descartável, embalagem: embalagem individual</v>
      </c>
      <c r="C245" s="1" t="str">
        <f>VLOOKUP(TabelaPrincipal[[#This Row],[ITEM]],TabelaModelo,3,FALSE)</f>
        <v>Unidade</v>
      </c>
      <c r="D245" s="1">
        <f>VLOOKUP(TabelaPrincipal[[#This Row],[ITEM]],TabelaModelo,4,FALSE)</f>
        <v>10</v>
      </c>
      <c r="E245" s="1" t="s">
        <v>860</v>
      </c>
      <c r="F245" s="23">
        <v>2.0299999999999998</v>
      </c>
      <c r="G245" s="8">
        <v>0</v>
      </c>
      <c r="H245" s="2">
        <f>ROUND(F245+(F245*TabelaPrincipal[[#This Row],[PERCENTUAL DE ENTRADA]]), 2)</f>
        <v>2.0299999999999998</v>
      </c>
      <c r="I245" s="5">
        <f t="shared" si="3"/>
        <v>20.299999999999997</v>
      </c>
      <c r="J245" s="8">
        <f>IF(TabelaPrincipal[[#This Row],[PERCENTUAL DE ENTRADA]]&gt;0,0.15,0)</f>
        <v>0</v>
      </c>
      <c r="K245" s="2">
        <f>ROUND(F245+(F245*TabelaPrincipal[[#This Row],[PERCENTUAL MÍNIMO]]), 2)</f>
        <v>2.0299999999999998</v>
      </c>
      <c r="L245" s="24">
        <f>IF(TabelaPrincipal[[#This Row],[PERCENTUAL DE ENTRADA]]=0,TabelaPrincipal[[#This Row],[VALOR MÍNIMO]],0)</f>
        <v>2.0299999999999998</v>
      </c>
      <c r="M245" s="25">
        <v>1</v>
      </c>
      <c r="N245" s="23">
        <f>TabelaPrincipal[[#This Row],[LANCE ATUAL]]*TabelaPrincipal[[#This Row],[QTD]]</f>
        <v>20.299999999999997</v>
      </c>
      <c r="O245" s="41" t="str">
        <f>IF(TabelaPrincipal[[#This Row],[LANCE ATUAL]]&lt;=(VLOOKUP(TabelaPrincipal[[#This Row],[ITEM]],TabelaModelo,5,FALSE)*0.5),"Inexequível","")</f>
        <v/>
      </c>
    </row>
    <row r="246" spans="1:15" ht="15" customHeight="1" x14ac:dyDescent="0.25">
      <c r="A246" s="4">
        <v>551</v>
      </c>
      <c r="B246" s="3" t="str">
        <f>VLOOKUP(TabelaPrincipal[[#This Row],[ITEM]],TabelaModelo,2,FALSE)</f>
        <v>Sonda trato digestivo, aplicação: oro ou nasogástrica, modelo: levine, material: pvc, calibre: nº 16, tamanho: longa, comprimento: cerca 120 cm, conector: conector padrão c, tampa, componentes: ponta distal fechada, c, orifícios laterais, esterilidade: estéril, descartável, embalagem: embalagem individual</v>
      </c>
      <c r="C246" s="1" t="str">
        <f>VLOOKUP(TabelaPrincipal[[#This Row],[ITEM]],TabelaModelo,3,FALSE)</f>
        <v>Unidade</v>
      </c>
      <c r="D246" s="1">
        <f>VLOOKUP(TabelaPrincipal[[#This Row],[ITEM]],TabelaModelo,4,FALSE)</f>
        <v>10</v>
      </c>
      <c r="E246" s="1" t="s">
        <v>860</v>
      </c>
      <c r="F246" s="23">
        <v>2.7</v>
      </c>
      <c r="G246" s="8">
        <v>0</v>
      </c>
      <c r="H246" s="2">
        <f>ROUND(F246+(F246*TabelaPrincipal[[#This Row],[PERCENTUAL DE ENTRADA]]), 2)</f>
        <v>2.7</v>
      </c>
      <c r="I246" s="5">
        <f t="shared" si="3"/>
        <v>27</v>
      </c>
      <c r="J246" s="8">
        <f>IF(TabelaPrincipal[[#This Row],[PERCENTUAL DE ENTRADA]]&gt;0,0.15,0)</f>
        <v>0</v>
      </c>
      <c r="K246" s="2">
        <f>ROUND(F246+(F246*TabelaPrincipal[[#This Row],[PERCENTUAL MÍNIMO]]), 2)</f>
        <v>2.7</v>
      </c>
      <c r="L246" s="24">
        <f>IF(TabelaPrincipal[[#This Row],[PERCENTUAL DE ENTRADA]]=0,TabelaPrincipal[[#This Row],[VALOR MÍNIMO]],0)</f>
        <v>2.7</v>
      </c>
      <c r="M246" s="25">
        <v>1</v>
      </c>
      <c r="N246" s="23">
        <f>TabelaPrincipal[[#This Row],[LANCE ATUAL]]*TabelaPrincipal[[#This Row],[QTD]]</f>
        <v>27</v>
      </c>
      <c r="O246" s="41" t="str">
        <f>IF(TabelaPrincipal[[#This Row],[LANCE ATUAL]]&lt;=(VLOOKUP(TabelaPrincipal[[#This Row],[ITEM]],TabelaModelo,5,FALSE)*0.5),"Inexequível","")</f>
        <v/>
      </c>
    </row>
    <row r="247" spans="1:15" ht="15" customHeight="1" x14ac:dyDescent="0.25">
      <c r="A247" s="4">
        <v>552</v>
      </c>
      <c r="B247" s="3" t="str">
        <f>VLOOKUP(TabelaPrincipal[[#This Row],[ITEM]],TabelaModelo,2,FALSE)</f>
        <v>Sonda trato digestivo, aplicação: oro ou nasogástrica, modelo: levine, material: pvc, calibre: nº 14, tamanho: longa, comprimento: cerca 120 cm, conector: conector padrão c, tampa, componentes: ponta distal fechada, c, orifícios laterais, esterilidade: estéril, descartável, embalagem: embalagem individual</v>
      </c>
      <c r="C247" s="1" t="str">
        <f>VLOOKUP(TabelaPrincipal[[#This Row],[ITEM]],TabelaModelo,3,FALSE)</f>
        <v>Unidade</v>
      </c>
      <c r="D247" s="1">
        <f>VLOOKUP(TabelaPrincipal[[#This Row],[ITEM]],TabelaModelo,4,FALSE)</f>
        <v>10</v>
      </c>
      <c r="E247" s="1" t="s">
        <v>860</v>
      </c>
      <c r="F247" s="23">
        <v>2.99</v>
      </c>
      <c r="G247" s="8">
        <v>0</v>
      </c>
      <c r="H247" s="2">
        <f>ROUND(F247+(F247*TabelaPrincipal[[#This Row],[PERCENTUAL DE ENTRADA]]), 2)</f>
        <v>2.99</v>
      </c>
      <c r="I247" s="5">
        <f t="shared" si="3"/>
        <v>29.900000000000002</v>
      </c>
      <c r="J247" s="8">
        <f>IF(TabelaPrincipal[[#This Row],[PERCENTUAL DE ENTRADA]]&gt;0,0.15,0)</f>
        <v>0</v>
      </c>
      <c r="K247" s="2">
        <f>ROUND(F247+(F247*TabelaPrincipal[[#This Row],[PERCENTUAL MÍNIMO]]), 2)</f>
        <v>2.99</v>
      </c>
      <c r="L247" s="24">
        <f>IF(TabelaPrincipal[[#This Row],[PERCENTUAL DE ENTRADA]]=0,TabelaPrincipal[[#This Row],[VALOR MÍNIMO]],0)</f>
        <v>2.99</v>
      </c>
      <c r="M247" s="25">
        <v>1</v>
      </c>
      <c r="N247" s="23">
        <f>TabelaPrincipal[[#This Row],[LANCE ATUAL]]*TabelaPrincipal[[#This Row],[QTD]]</f>
        <v>29.900000000000002</v>
      </c>
      <c r="O247" s="41" t="str">
        <f>IF(TabelaPrincipal[[#This Row],[LANCE ATUAL]]&lt;=(VLOOKUP(TabelaPrincipal[[#This Row],[ITEM]],TabelaModelo,5,FALSE)*0.5),"Inexequível","")</f>
        <v/>
      </c>
    </row>
    <row r="248" spans="1:15" ht="15" customHeight="1" x14ac:dyDescent="0.25">
      <c r="A248" s="4">
        <v>553</v>
      </c>
      <c r="B248" s="3" t="str">
        <f>VLOOKUP(TabelaPrincipal[[#This Row],[ITEM]],TabelaModelo,2,FALSE)</f>
        <v>Sonda trato digestivo, aplicação: oro ou nasogástrica, modelo: levine, material: silicone, calibre: nº 12, tamanho: longa, comprimento: cerca 120 cm, conector: conector padrão c, tampa, componentes: ponta distal fechada, c, orifícios laterais, esterilidade: estéril, descartável, embalagem: embalagem individual</v>
      </c>
      <c r="C248" s="1" t="str">
        <f>VLOOKUP(TabelaPrincipal[[#This Row],[ITEM]],TabelaModelo,3,FALSE)</f>
        <v>Unidade</v>
      </c>
      <c r="D248" s="1">
        <f>VLOOKUP(TabelaPrincipal[[#This Row],[ITEM]],TabelaModelo,4,FALSE)</f>
        <v>10</v>
      </c>
      <c r="E248" s="1" t="s">
        <v>860</v>
      </c>
      <c r="F248" s="23">
        <v>1.92</v>
      </c>
      <c r="G248" s="8">
        <v>0</v>
      </c>
      <c r="H248" s="2">
        <f>ROUND(F248+(F248*TabelaPrincipal[[#This Row],[PERCENTUAL DE ENTRADA]]), 2)</f>
        <v>1.92</v>
      </c>
      <c r="I248" s="5">
        <f t="shared" si="3"/>
        <v>19.2</v>
      </c>
      <c r="J248" s="8">
        <f>IF(TabelaPrincipal[[#This Row],[PERCENTUAL DE ENTRADA]]&gt;0,0.15,0)</f>
        <v>0</v>
      </c>
      <c r="K248" s="2">
        <f>ROUND(F248+(F248*TabelaPrincipal[[#This Row],[PERCENTUAL MÍNIMO]]), 2)</f>
        <v>1.92</v>
      </c>
      <c r="L248" s="24">
        <f>IF(TabelaPrincipal[[#This Row],[PERCENTUAL DE ENTRADA]]=0,TabelaPrincipal[[#This Row],[VALOR MÍNIMO]],0)</f>
        <v>1.92</v>
      </c>
      <c r="M248" s="25">
        <v>1</v>
      </c>
      <c r="N248" s="23">
        <f>TabelaPrincipal[[#This Row],[LANCE ATUAL]]*TabelaPrincipal[[#This Row],[QTD]]</f>
        <v>19.2</v>
      </c>
      <c r="O248" s="41" t="str">
        <f>IF(TabelaPrincipal[[#This Row],[LANCE ATUAL]]&lt;=(VLOOKUP(TabelaPrincipal[[#This Row],[ITEM]],TabelaModelo,5,FALSE)*0.5),"Inexequível","")</f>
        <v/>
      </c>
    </row>
    <row r="249" spans="1:15" ht="15" customHeight="1" x14ac:dyDescent="0.25">
      <c r="A249" s="4">
        <v>554</v>
      </c>
      <c r="B249" s="3" t="str">
        <f>VLOOKUP(TabelaPrincipal[[#This Row],[ITEM]],TabelaModelo,2,FALSE)</f>
        <v>Sonda trato digestivo, aplicação: oro ou nasogástrica, modelo: levine, material: silicone, calibre: nº 10, tamanho: longa, comprimento: cerca 120 cm, conector: conector padrão c, tampa, componentes: ponta distal fechada, c, orifícios laterais, esterilidade: estéril, descartável, embalagem: embalagem individual</v>
      </c>
      <c r="C249" s="1" t="str">
        <f>VLOOKUP(TabelaPrincipal[[#This Row],[ITEM]],TabelaModelo,3,FALSE)</f>
        <v>Unidade</v>
      </c>
      <c r="D249" s="1">
        <f>VLOOKUP(TabelaPrincipal[[#This Row],[ITEM]],TabelaModelo,4,FALSE)</f>
        <v>10</v>
      </c>
      <c r="E249" s="1" t="s">
        <v>860</v>
      </c>
      <c r="F249" s="23">
        <v>1.87</v>
      </c>
      <c r="G249" s="8">
        <v>0</v>
      </c>
      <c r="H249" s="2">
        <f>ROUND(F249+(F249*TabelaPrincipal[[#This Row],[PERCENTUAL DE ENTRADA]]), 2)</f>
        <v>1.87</v>
      </c>
      <c r="I249" s="5">
        <f t="shared" si="3"/>
        <v>18.700000000000003</v>
      </c>
      <c r="J249" s="8">
        <f>IF(TabelaPrincipal[[#This Row],[PERCENTUAL DE ENTRADA]]&gt;0,0.15,0)</f>
        <v>0</v>
      </c>
      <c r="K249" s="2">
        <f>ROUND(F249+(F249*TabelaPrincipal[[#This Row],[PERCENTUAL MÍNIMO]]), 2)</f>
        <v>1.87</v>
      </c>
      <c r="L249" s="24">
        <f>IF(TabelaPrincipal[[#This Row],[PERCENTUAL DE ENTRADA]]=0,TabelaPrincipal[[#This Row],[VALOR MÍNIMO]],0)</f>
        <v>1.87</v>
      </c>
      <c r="M249" s="25">
        <v>1</v>
      </c>
      <c r="N249" s="23">
        <f>TabelaPrincipal[[#This Row],[LANCE ATUAL]]*TabelaPrincipal[[#This Row],[QTD]]</f>
        <v>18.700000000000003</v>
      </c>
      <c r="O249" s="41" t="str">
        <f>IF(TabelaPrincipal[[#This Row],[LANCE ATUAL]]&lt;=(VLOOKUP(TabelaPrincipal[[#This Row],[ITEM]],TabelaModelo,5,FALSE)*0.5),"Inexequível","")</f>
        <v/>
      </c>
    </row>
    <row r="250" spans="1:15" ht="15" customHeight="1" x14ac:dyDescent="0.25">
      <c r="A250" s="4">
        <v>555</v>
      </c>
      <c r="B250" s="3" t="str">
        <f>VLOOKUP(TabelaPrincipal[[#This Row],[ITEM]],TabelaModelo,2,FALSE)</f>
        <v>Sonda trato digestivo, aplicação: oro ou nasogástrica, modelo: levine, material: silicone, calibre: nº 8, tamanho: longa, comprimento: cerca 100 cm, conector: conector padrão c, tampa, componentes: ponta distal fechada, c, orifícios laterais, esterilidade: estéril, descartável, embalagem: embalagem individual</v>
      </c>
      <c r="C250" s="1" t="str">
        <f>VLOOKUP(TabelaPrincipal[[#This Row],[ITEM]],TabelaModelo,3,FALSE)</f>
        <v>Unidade</v>
      </c>
      <c r="D250" s="1">
        <f>VLOOKUP(TabelaPrincipal[[#This Row],[ITEM]],TabelaModelo,4,FALSE)</f>
        <v>10</v>
      </c>
      <c r="E250" s="1" t="s">
        <v>860</v>
      </c>
      <c r="F250" s="23">
        <v>2.17</v>
      </c>
      <c r="G250" s="8">
        <v>0</v>
      </c>
      <c r="H250" s="2">
        <f>ROUND(F250+(F250*TabelaPrincipal[[#This Row],[PERCENTUAL DE ENTRADA]]), 2)</f>
        <v>2.17</v>
      </c>
      <c r="I250" s="5">
        <f t="shared" si="3"/>
        <v>21.7</v>
      </c>
      <c r="J250" s="8">
        <f>IF(TabelaPrincipal[[#This Row],[PERCENTUAL DE ENTRADA]]&gt;0,0.15,0)</f>
        <v>0</v>
      </c>
      <c r="K250" s="2">
        <f>ROUND(F250+(F250*TabelaPrincipal[[#This Row],[PERCENTUAL MÍNIMO]]), 2)</f>
        <v>2.17</v>
      </c>
      <c r="L250" s="24">
        <f>IF(TabelaPrincipal[[#This Row],[PERCENTUAL DE ENTRADA]]=0,TabelaPrincipal[[#This Row],[VALOR MÍNIMO]],0)</f>
        <v>2.17</v>
      </c>
      <c r="M250" s="25">
        <v>1</v>
      </c>
      <c r="N250" s="23">
        <f>TabelaPrincipal[[#This Row],[LANCE ATUAL]]*TabelaPrincipal[[#This Row],[QTD]]</f>
        <v>21.7</v>
      </c>
      <c r="O250" s="41" t="str">
        <f>IF(TabelaPrincipal[[#This Row],[LANCE ATUAL]]&lt;=(VLOOKUP(TabelaPrincipal[[#This Row],[ITEM]],TabelaModelo,5,FALSE)*0.5),"Inexequível","")</f>
        <v/>
      </c>
    </row>
    <row r="251" spans="1:15" ht="15" customHeight="1" x14ac:dyDescent="0.25">
      <c r="A251" s="4">
        <v>556</v>
      </c>
      <c r="B251" s="3" t="str">
        <f>VLOOKUP(TabelaPrincipal[[#This Row],[ITEM]],TabelaModelo,2,FALSE)</f>
        <v>adicionais: ponta atraumática, orifícios distais lateralizados, tipo embalagem: estéril, embalagem individual. Espessura: nº 16</v>
      </c>
      <c r="C251" s="1" t="str">
        <f>VLOOKUP(TabelaPrincipal[[#This Row],[ITEM]],TabelaModelo,3,FALSE)</f>
        <v>Unidade</v>
      </c>
      <c r="D251" s="1">
        <f>VLOOKUP(TabelaPrincipal[[#This Row],[ITEM]],TabelaModelo,4,FALSE)</f>
        <v>10</v>
      </c>
      <c r="E251" s="1" t="s">
        <v>861</v>
      </c>
      <c r="F251" s="23">
        <v>4.41</v>
      </c>
      <c r="G251" s="8">
        <v>0</v>
      </c>
      <c r="H251" s="2">
        <f>ROUND(F251+(F251*TabelaPrincipal[[#This Row],[PERCENTUAL DE ENTRADA]]), 2)</f>
        <v>4.41</v>
      </c>
      <c r="I251" s="5">
        <f t="shared" si="3"/>
        <v>44.1</v>
      </c>
      <c r="J251" s="8">
        <f>IF(TabelaPrincipal[[#This Row],[PERCENTUAL DE ENTRADA]]&gt;0,0.15,0)</f>
        <v>0</v>
      </c>
      <c r="K251" s="2">
        <f>ROUND(F251+(F251*TabelaPrincipal[[#This Row],[PERCENTUAL MÍNIMO]]), 2)</f>
        <v>4.41</v>
      </c>
      <c r="L251" s="24">
        <f>IF(TabelaPrincipal[[#This Row],[PERCENTUAL DE ENTRADA]]=0,TabelaPrincipal[[#This Row],[VALOR MÍNIMO]],0)</f>
        <v>4.41</v>
      </c>
      <c r="M251" s="25">
        <v>1</v>
      </c>
      <c r="N251" s="23">
        <f>TabelaPrincipal[[#This Row],[LANCE ATUAL]]*TabelaPrincipal[[#This Row],[QTD]]</f>
        <v>44.1</v>
      </c>
      <c r="O251" s="41" t="str">
        <f>IF(TabelaPrincipal[[#This Row],[LANCE ATUAL]]&lt;=(VLOOKUP(TabelaPrincipal[[#This Row],[ITEM]],TabelaModelo,5,FALSE)*0.5),"Inexequível","")</f>
        <v/>
      </c>
    </row>
    <row r="252" spans="1:15" ht="15" customHeight="1" x14ac:dyDescent="0.25">
      <c r="A252" s="4">
        <v>557</v>
      </c>
      <c r="B252" s="3" t="str">
        <f>VLOOKUP(TabelaPrincipal[[#This Row],[ITEM]],TabelaModelo,2,FALSE)</f>
        <v>Cateter aspiração traqueal, material: pvc, atóxico, flexível, tipo uso: descartável, características adicionais: ponta atraumática, orifícios distais lateralizados, tipo embalagem: estéril, embalagem individual. Espessura: nº 14</v>
      </c>
      <c r="C252" s="1" t="str">
        <f>VLOOKUP(TabelaPrincipal[[#This Row],[ITEM]],TabelaModelo,3,FALSE)</f>
        <v>Unidade</v>
      </c>
      <c r="D252" s="1">
        <f>VLOOKUP(TabelaPrincipal[[#This Row],[ITEM]],TabelaModelo,4,FALSE)</f>
        <v>10</v>
      </c>
      <c r="E252" s="1" t="s">
        <v>861</v>
      </c>
      <c r="F252" s="23">
        <v>1.72</v>
      </c>
      <c r="G252" s="8">
        <v>0</v>
      </c>
      <c r="H252" s="2">
        <f>ROUND(F252+(F252*TabelaPrincipal[[#This Row],[PERCENTUAL DE ENTRADA]]), 2)</f>
        <v>1.72</v>
      </c>
      <c r="I252" s="5">
        <f t="shared" si="3"/>
        <v>17.2</v>
      </c>
      <c r="J252" s="8">
        <f>IF(TabelaPrincipal[[#This Row],[PERCENTUAL DE ENTRADA]]&gt;0,0.15,0)</f>
        <v>0</v>
      </c>
      <c r="K252" s="2">
        <f>ROUND(F252+(F252*TabelaPrincipal[[#This Row],[PERCENTUAL MÍNIMO]]), 2)</f>
        <v>1.72</v>
      </c>
      <c r="L252" s="24">
        <f>IF(TabelaPrincipal[[#This Row],[PERCENTUAL DE ENTRADA]]=0,TabelaPrincipal[[#This Row],[VALOR MÍNIMO]],0)</f>
        <v>1.72</v>
      </c>
      <c r="M252" s="25">
        <v>1</v>
      </c>
      <c r="N252" s="23">
        <f>TabelaPrincipal[[#This Row],[LANCE ATUAL]]*TabelaPrincipal[[#This Row],[QTD]]</f>
        <v>17.2</v>
      </c>
      <c r="O252" s="41" t="str">
        <f>IF(TabelaPrincipal[[#This Row],[LANCE ATUAL]]&lt;=(VLOOKUP(TabelaPrincipal[[#This Row],[ITEM]],TabelaModelo,5,FALSE)*0.5),"Inexequível","")</f>
        <v/>
      </c>
    </row>
    <row r="253" spans="1:15" ht="15" customHeight="1" x14ac:dyDescent="0.25">
      <c r="A253" s="4">
        <v>558</v>
      </c>
      <c r="B253" s="3" t="str">
        <f>VLOOKUP(TabelaPrincipal[[#This Row],[ITEM]],TabelaModelo,2,FALSE)</f>
        <v>Cateter aspiração traqueal, material: pvc, atóxico, flexível, tipo uso: descartável, características adicionais: ponta atraumática, orifícios distais lateralizados, tipo embalagem: estéril, embalagem individual. Espessura: nº 12</v>
      </c>
      <c r="C253" s="1" t="str">
        <f>VLOOKUP(TabelaPrincipal[[#This Row],[ITEM]],TabelaModelo,3,FALSE)</f>
        <v>Unidade</v>
      </c>
      <c r="D253" s="1">
        <f>VLOOKUP(TabelaPrincipal[[#This Row],[ITEM]],TabelaModelo,4,FALSE)</f>
        <v>10</v>
      </c>
      <c r="E253" s="1" t="s">
        <v>861</v>
      </c>
      <c r="F253" s="23">
        <v>1.61</v>
      </c>
      <c r="G253" s="8">
        <v>0</v>
      </c>
      <c r="H253" s="2">
        <f>ROUND(F253+(F253*TabelaPrincipal[[#This Row],[PERCENTUAL DE ENTRADA]]), 2)</f>
        <v>1.61</v>
      </c>
      <c r="I253" s="5">
        <f t="shared" si="3"/>
        <v>16.100000000000001</v>
      </c>
      <c r="J253" s="8">
        <f>IF(TabelaPrincipal[[#This Row],[PERCENTUAL DE ENTRADA]]&gt;0,0.15,0)</f>
        <v>0</v>
      </c>
      <c r="K253" s="2">
        <f>ROUND(F253+(F253*TabelaPrincipal[[#This Row],[PERCENTUAL MÍNIMO]]), 2)</f>
        <v>1.61</v>
      </c>
      <c r="L253" s="24">
        <f>IF(TabelaPrincipal[[#This Row],[PERCENTUAL DE ENTRADA]]=0,TabelaPrincipal[[#This Row],[VALOR MÍNIMO]],0)</f>
        <v>1.61</v>
      </c>
      <c r="M253" s="25">
        <v>1</v>
      </c>
      <c r="N253" s="23">
        <f>TabelaPrincipal[[#This Row],[LANCE ATUAL]]*TabelaPrincipal[[#This Row],[QTD]]</f>
        <v>16.100000000000001</v>
      </c>
      <c r="O253" s="41" t="str">
        <f>IF(TabelaPrincipal[[#This Row],[LANCE ATUAL]]&lt;=(VLOOKUP(TabelaPrincipal[[#This Row],[ITEM]],TabelaModelo,5,FALSE)*0.5),"Inexequível","")</f>
        <v/>
      </c>
    </row>
    <row r="254" spans="1:15" ht="15" customHeight="1" x14ac:dyDescent="0.25">
      <c r="A254" s="4">
        <v>559</v>
      </c>
      <c r="B254" s="3" t="str">
        <f>VLOOKUP(TabelaPrincipal[[#This Row],[ITEM]],TabelaModelo,2,FALSE)</f>
        <v>Cateter aspiração traqueal, material: pvc, atóxico, flexível, tipo uso: descartável, características adicionais: ponta atraumática, orifícios distais lateralizados, tipo embalagem: estéril, embalagem individual. Espessura: nº 8</v>
      </c>
      <c r="C254" s="1" t="str">
        <f>VLOOKUP(TabelaPrincipal[[#This Row],[ITEM]],TabelaModelo,3,FALSE)</f>
        <v>Unidade</v>
      </c>
      <c r="D254" s="1">
        <f>VLOOKUP(TabelaPrincipal[[#This Row],[ITEM]],TabelaModelo,4,FALSE)</f>
        <v>10</v>
      </c>
      <c r="E254" s="1" t="s">
        <v>861</v>
      </c>
      <c r="F254" s="23">
        <v>1.69</v>
      </c>
      <c r="G254" s="8">
        <v>0</v>
      </c>
      <c r="H254" s="2">
        <f>ROUND(F254+(F254*TabelaPrincipal[[#This Row],[PERCENTUAL DE ENTRADA]]), 2)</f>
        <v>1.69</v>
      </c>
      <c r="I254" s="5">
        <f t="shared" si="3"/>
        <v>16.899999999999999</v>
      </c>
      <c r="J254" s="8">
        <f>IF(TabelaPrincipal[[#This Row],[PERCENTUAL DE ENTRADA]]&gt;0,0.15,0)</f>
        <v>0</v>
      </c>
      <c r="K254" s="2">
        <f>ROUND(F254+(F254*TabelaPrincipal[[#This Row],[PERCENTUAL MÍNIMO]]), 2)</f>
        <v>1.69</v>
      </c>
      <c r="L254" s="24">
        <f>IF(TabelaPrincipal[[#This Row],[PERCENTUAL DE ENTRADA]]=0,TabelaPrincipal[[#This Row],[VALOR MÍNIMO]],0)</f>
        <v>1.69</v>
      </c>
      <c r="M254" s="25">
        <v>1</v>
      </c>
      <c r="N254" s="23">
        <f>TabelaPrincipal[[#This Row],[LANCE ATUAL]]*TabelaPrincipal[[#This Row],[QTD]]</f>
        <v>16.899999999999999</v>
      </c>
      <c r="O254" s="41" t="str">
        <f>IF(TabelaPrincipal[[#This Row],[LANCE ATUAL]]&lt;=(VLOOKUP(TabelaPrincipal[[#This Row],[ITEM]],TabelaModelo,5,FALSE)*0.5),"Inexequível","")</f>
        <v/>
      </c>
    </row>
    <row r="255" spans="1:15" ht="15" customHeight="1" x14ac:dyDescent="0.25">
      <c r="A255" s="4">
        <v>562</v>
      </c>
      <c r="B255" s="3" t="str">
        <f>VLOOKUP(TabelaPrincipal[[#This Row],[ITEM]],TabelaModelo,2,FALSE)</f>
        <v>Máscara cirúrgica, material: SMS, camadas: 3 camadas c, dobras, fixação: tiras elásticas, adicional: c, clipe nasal, componentes: filtração de partículas mínima de 95%, esterilidade: uso único</v>
      </c>
      <c r="C255" s="1" t="str">
        <f>VLOOKUP(TabelaPrincipal[[#This Row],[ITEM]],TabelaModelo,3,FALSE)</f>
        <v>Unidade</v>
      </c>
      <c r="D255" s="1">
        <f>VLOOKUP(TabelaPrincipal[[#This Row],[ITEM]],TabelaModelo,4,FALSE)</f>
        <v>1000</v>
      </c>
      <c r="E255" s="1" t="s">
        <v>862</v>
      </c>
      <c r="F255" s="23">
        <v>0.1</v>
      </c>
      <c r="G255" s="8">
        <f>IF(_xlfn.ISFORMULA(TabelaPrincipal[[#This Row],[CUSTO + PERCENTUAL DE ENTRADA]]),0.4,(TabelaPrincipal[[#This Row],[CUSTO + PERCENTUAL DE ENTRADA]]-TabelaPrincipal[[#This Row],[VALOR DE CUSTO]])/TabelaPrincipal[[#This Row],[VALOR DE CUSTO]])</f>
        <v>31.799999999999997</v>
      </c>
      <c r="H255" s="2">
        <v>3.28</v>
      </c>
      <c r="I255" s="5">
        <f t="shared" si="3"/>
        <v>3280</v>
      </c>
      <c r="J255" s="8">
        <v>0.15</v>
      </c>
      <c r="K255" s="2">
        <f>ROUND(F255+(F255*TabelaPrincipal[[#This Row],[PERCENTUAL MÍNIMO]]), 2)</f>
        <v>0.12</v>
      </c>
      <c r="L255" s="24">
        <v>0.12</v>
      </c>
      <c r="M255" s="25">
        <v>1</v>
      </c>
      <c r="N255" s="23">
        <f>TabelaPrincipal[[#This Row],[LANCE ATUAL]]*TabelaPrincipal[[#This Row],[QTD]]</f>
        <v>120</v>
      </c>
      <c r="O255" s="41" t="str">
        <f>IF(TabelaPrincipal[[#This Row],[LANCE ATUAL]]&lt;=(VLOOKUP(TabelaPrincipal[[#This Row],[ITEM]],TabelaModelo,5,FALSE)*0.5),"Inexequível","")</f>
        <v>Inexequível</v>
      </c>
    </row>
    <row r="256" spans="1:15" ht="15" customHeight="1" x14ac:dyDescent="0.25">
      <c r="A256" s="4">
        <v>563</v>
      </c>
      <c r="B256" s="3" t="str">
        <f>VLOOKUP(TabelaPrincipal[[#This Row],[ITEM]],TabelaModelo,2,FALSE)</f>
        <v>Máscara cirúrgica, tipo: não tecido,3 camadas, pregas horizontais, atóxica, tipo fixação: com elástico, características adicionais: clip nasal embutido, hipoalergênica, tipo uso: descartável</v>
      </c>
      <c r="C256" s="1" t="str">
        <f>VLOOKUP(TabelaPrincipal[[#This Row],[ITEM]],TabelaModelo,3,FALSE)</f>
        <v>Unidade</v>
      </c>
      <c r="D256" s="1">
        <f>VLOOKUP(TabelaPrincipal[[#This Row],[ITEM]],TabelaModelo,4,FALSE)</f>
        <v>1000</v>
      </c>
      <c r="E256" s="1" t="s">
        <v>845</v>
      </c>
      <c r="F256" s="23">
        <v>0.8</v>
      </c>
      <c r="G256" s="8">
        <f>IF(_xlfn.ISFORMULA(TabelaPrincipal[[#This Row],[CUSTO + PERCENTUAL DE ENTRADA]]),0.4,(TabelaPrincipal[[#This Row],[CUSTO + PERCENTUAL DE ENTRADA]]-TabelaPrincipal[[#This Row],[VALOR DE CUSTO]])/TabelaPrincipal[[#This Row],[VALOR DE CUSTO]])</f>
        <v>5.2250000000000005</v>
      </c>
      <c r="H256" s="2">
        <v>4.9800000000000004</v>
      </c>
      <c r="I256" s="5">
        <f t="shared" si="3"/>
        <v>4980</v>
      </c>
      <c r="J256" s="8">
        <v>0.15</v>
      </c>
      <c r="K256" s="2">
        <f>ROUND(F256+(F256*TabelaPrincipal[[#This Row],[PERCENTUAL MÍNIMO]]), 2)</f>
        <v>0.92</v>
      </c>
      <c r="L256" s="24">
        <v>1.45</v>
      </c>
      <c r="M256" s="25">
        <v>1</v>
      </c>
      <c r="N256" s="23">
        <f>TabelaPrincipal[[#This Row],[LANCE ATUAL]]*TabelaPrincipal[[#This Row],[QTD]]</f>
        <v>1450</v>
      </c>
      <c r="O256" s="41" t="str">
        <f>IF(TabelaPrincipal[[#This Row],[LANCE ATUAL]]&lt;=(VLOOKUP(TabelaPrincipal[[#This Row],[ITEM]],TabelaModelo,5,FALSE)*0.5),"Inexequível","")</f>
        <v>Inexequível</v>
      </c>
    </row>
    <row r="257" spans="1:15" ht="15" customHeight="1" x14ac:dyDescent="0.25">
      <c r="A257" s="4">
        <v>566</v>
      </c>
      <c r="B257" s="3" t="str">
        <f>VLOOKUP(TabelaPrincipal[[#This Row],[ITEM]],TabelaModelo,2,FALSE)</f>
        <v>Avental hospitalar, tipo: capote cirúrgico, material: polipropileno, tamanho: g, gramatura cerca de 50 g/cm2, cor: branco, característica adicional: manga longa, esterilidade: estéril, uso único.</v>
      </c>
      <c r="C257" s="1" t="str">
        <f>VLOOKUP(TabelaPrincipal[[#This Row],[ITEM]],TabelaModelo,3,FALSE)</f>
        <v>Unidade</v>
      </c>
      <c r="D257" s="1">
        <f>VLOOKUP(TabelaPrincipal[[#This Row],[ITEM]],TabelaModelo,4,FALSE)</f>
        <v>100</v>
      </c>
      <c r="E257" s="1" t="s">
        <v>841</v>
      </c>
      <c r="F257" s="23">
        <v>4.9000000000000004</v>
      </c>
      <c r="G257" s="8">
        <f>IF(_xlfn.ISFORMULA(TabelaPrincipal[[#This Row],[CUSTO + PERCENTUAL DE ENTRADA]]),0.4,(TabelaPrincipal[[#This Row],[CUSTO + PERCENTUAL DE ENTRADA]]-TabelaPrincipal[[#This Row],[VALOR DE CUSTO]])/TabelaPrincipal[[#This Row],[VALOR DE CUSTO]])</f>
        <v>2.6408163265306119</v>
      </c>
      <c r="H257" s="2">
        <v>17.84</v>
      </c>
      <c r="I257" s="5">
        <f t="shared" si="3"/>
        <v>1784</v>
      </c>
      <c r="J257" s="8">
        <v>0.15</v>
      </c>
      <c r="K257" s="2">
        <f>ROUND(F257+(F257*TabelaPrincipal[[#This Row],[PERCENTUAL MÍNIMO]]), 2)</f>
        <v>5.64</v>
      </c>
      <c r="L257" s="24">
        <v>5.64</v>
      </c>
      <c r="M257" s="25">
        <v>1</v>
      </c>
      <c r="N257" s="23">
        <f>TabelaPrincipal[[#This Row],[LANCE ATUAL]]*TabelaPrincipal[[#This Row],[QTD]]</f>
        <v>564</v>
      </c>
      <c r="O257" s="41" t="str">
        <f>IF(TabelaPrincipal[[#This Row],[LANCE ATUAL]]&lt;=(VLOOKUP(TabelaPrincipal[[#This Row],[ITEM]],TabelaModelo,5,FALSE)*0.5),"Inexequível","")</f>
        <v>Inexequível</v>
      </c>
    </row>
    <row r="258" spans="1:15" ht="15" customHeight="1" x14ac:dyDescent="0.25">
      <c r="A258" s="4">
        <v>571</v>
      </c>
      <c r="B258" s="3" t="str">
        <f>VLOOKUP(TabelaPrincipal[[#This Row],[ITEM]],TabelaModelo,2,FALSE)</f>
        <v>máximos e mínimos da temperatura e da umidade. Visor: triplo, de cristal líquido (LCD) para visualização simultânea da temperatura interna, externa e umidade. Funções: temperatura interna e externa (registro do máximo e do mínimo) e umidade relativa (registro do máximo e mínimo). Temperatura de operação: de 0ºC A 50ºC. Alimentação:pilhas AAA DE 1,5V. peso: 150G (incluindo as pilhas). Alcance do sensor externo: 2 metros.</v>
      </c>
      <c r="C258" s="1" t="str">
        <f>VLOOKUP(TabelaPrincipal[[#This Row],[ITEM]],TabelaModelo,3,FALSE)</f>
        <v>Unidade</v>
      </c>
      <c r="D258" s="1">
        <f>VLOOKUP(TabelaPrincipal[[#This Row],[ITEM]],TabelaModelo,4,FALSE)</f>
        <v>3</v>
      </c>
      <c r="E258" s="1" t="s">
        <v>864</v>
      </c>
      <c r="F258" s="23">
        <v>188.55</v>
      </c>
      <c r="G258" s="8">
        <v>0</v>
      </c>
      <c r="H258" s="2">
        <f>ROUND(F258+(F258*TabelaPrincipal[[#This Row],[PERCENTUAL DE ENTRADA]]), 2)</f>
        <v>188.55</v>
      </c>
      <c r="I258" s="5">
        <f t="shared" ref="I258" si="4">D258*H258</f>
        <v>565.65000000000009</v>
      </c>
      <c r="J258" s="8">
        <f>IF(TabelaPrincipal[[#This Row],[PERCENTUAL DE ENTRADA]]&gt;0,0.15,0)</f>
        <v>0</v>
      </c>
      <c r="K258" s="2">
        <f>ROUND(F258+(F258*TabelaPrincipal[[#This Row],[PERCENTUAL MÍNIMO]]), 2)</f>
        <v>188.55</v>
      </c>
      <c r="L258" s="24">
        <f>IF(TabelaPrincipal[[#This Row],[PERCENTUAL DE ENTRADA]]=0,TabelaPrincipal[[#This Row],[VALOR MÍNIMO]],0)</f>
        <v>188.55</v>
      </c>
      <c r="M258" s="25"/>
      <c r="N258" s="23">
        <f>TabelaPrincipal[[#This Row],[LANCE ATUAL]]*TabelaPrincipal[[#This Row],[QTD]]</f>
        <v>565.65000000000009</v>
      </c>
      <c r="O258" s="41" t="str">
        <f>IF(TabelaPrincipal[[#This Row],[LANCE ATUAL]]&lt;=(VLOOKUP(TabelaPrincipal[[#This Row],[ITEM]],TabelaModelo,5,FALSE)*0.5),"Inexequível","")</f>
        <v/>
      </c>
    </row>
  </sheetData>
  <conditionalFormatting sqref="L2:L258">
    <cfRule type="expression" dxfId="71" priority="1">
      <formula>$L2&lt;$K2</formula>
    </cfRule>
  </conditionalFormatting>
  <conditionalFormatting sqref="A2:N258">
    <cfRule type="expression" dxfId="70" priority="2">
      <formula>$M2=1</formula>
    </cfRule>
  </conditionalFormatting>
  <conditionalFormatting sqref="L2:L258">
    <cfRule type="expression" dxfId="69" priority="5">
      <formula>$G2=0</formula>
    </cfRule>
  </conditionalFormatting>
  <conditionalFormatting sqref="G2:G258">
    <cfRule type="expression" dxfId="68" priority="4">
      <formula>$G2&gt;0.4</formula>
    </cfRule>
  </conditionalFormatting>
  <pageMargins left="0.7" right="0.7" top="0.75" bottom="0.75" header="0.3" footer="0.3"/>
  <pageSetup paperSize="9"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D8FF3-5204-4880-8DDC-464519987614}">
  <dimension ref="A1:M20"/>
  <sheetViews>
    <sheetView workbookViewId="0">
      <selection activeCell="M7" sqref="M7"/>
    </sheetView>
  </sheetViews>
  <sheetFormatPr defaultRowHeight="15" x14ac:dyDescent="0.25"/>
  <cols>
    <col min="1" max="1" width="5.42578125" style="41" bestFit="1" customWidth="1"/>
    <col min="2" max="2" width="50.7109375" style="42" customWidth="1"/>
    <col min="3" max="3" width="14.42578125" style="41" bestFit="1" customWidth="1"/>
    <col min="4" max="4" width="6.85546875" style="41" customWidth="1"/>
    <col min="5" max="5" width="11.42578125" style="41" bestFit="1" customWidth="1"/>
    <col min="6" max="6" width="9.5703125" style="41" bestFit="1" customWidth="1"/>
    <col min="7" max="8" width="12" style="41" bestFit="1" customWidth="1"/>
    <col min="9" max="9" width="12.42578125" style="41" bestFit="1" customWidth="1"/>
    <col min="10" max="10" width="15.7109375" style="41" customWidth="1"/>
    <col min="11" max="11" width="12.5703125" customWidth="1"/>
    <col min="12" max="13" width="9.5703125" bestFit="1" customWidth="1"/>
  </cols>
  <sheetData>
    <row r="1" spans="1:13" ht="30" x14ac:dyDescent="0.25">
      <c r="A1" s="6" t="s">
        <v>0</v>
      </c>
      <c r="B1" s="21" t="s">
        <v>5</v>
      </c>
      <c r="C1" s="7" t="s">
        <v>2</v>
      </c>
      <c r="D1" s="7" t="s">
        <v>1</v>
      </c>
      <c r="E1" s="7" t="s">
        <v>6</v>
      </c>
      <c r="F1" s="21" t="s">
        <v>878</v>
      </c>
      <c r="G1" s="21" t="s">
        <v>880</v>
      </c>
      <c r="H1" s="21" t="s">
        <v>881</v>
      </c>
      <c r="I1" s="21" t="s">
        <v>879</v>
      </c>
      <c r="J1" s="21" t="s">
        <v>877</v>
      </c>
      <c r="K1" s="22" t="s">
        <v>882</v>
      </c>
      <c r="L1" s="21" t="s">
        <v>883</v>
      </c>
    </row>
    <row r="2" spans="1:13" ht="45" x14ac:dyDescent="0.25">
      <c r="A2" s="44">
        <v>4</v>
      </c>
      <c r="B2" s="43" t="s">
        <v>867</v>
      </c>
      <c r="C2" s="1" t="s">
        <v>868</v>
      </c>
      <c r="D2" s="1">
        <v>1000</v>
      </c>
      <c r="E2" s="1" t="s">
        <v>800</v>
      </c>
      <c r="F2" s="53">
        <v>15</v>
      </c>
      <c r="G2" s="53">
        <v>0.25</v>
      </c>
      <c r="H2" s="53">
        <v>0.54</v>
      </c>
      <c r="I2" s="51"/>
      <c r="J2" s="2">
        <f>SUBTOTAL(9,Tabela4[[#This Row],[PREÇO DE COMPRA]:[OUTRA TAXA (SUGESTÃO)]])</f>
        <v>15.79</v>
      </c>
      <c r="K2" s="5">
        <v>18.79</v>
      </c>
      <c r="L2" s="49">
        <f>IF(ISERR(((Tabela4[[#This Row],[PREÇO GANHO]]-Tabela4[[#This Row],[PREÇO UNIT FINAL]])/Tabela4[[#This Row],[PREÇO UNIT FINAL]])),"",((Tabela4[[#This Row],[PREÇO GANHO]]-Tabela4[[#This Row],[PREÇO UNIT FINAL]])/Tabela4[[#This Row],[PREÇO UNIT FINAL]]))</f>
        <v>0.18999366687777075</v>
      </c>
      <c r="M2" s="50"/>
    </row>
    <row r="3" spans="1:13" ht="45" x14ac:dyDescent="0.25">
      <c r="A3" s="44">
        <v>5</v>
      </c>
      <c r="B3" s="43" t="s">
        <v>869</v>
      </c>
      <c r="C3" s="1" t="s">
        <v>870</v>
      </c>
      <c r="D3" s="1">
        <v>1000</v>
      </c>
      <c r="E3" s="1" t="s">
        <v>797</v>
      </c>
      <c r="F3" s="53">
        <v>13.9</v>
      </c>
      <c r="G3" s="53">
        <v>0.25</v>
      </c>
      <c r="H3" s="53">
        <v>0.3</v>
      </c>
      <c r="I3" s="51"/>
      <c r="J3" s="2">
        <f>SUBTOTAL(9,Tabela4[[#This Row],[PREÇO DE COMPRA]:[OUTRA TAXA (SUGESTÃO)]])</f>
        <v>14.450000000000001</v>
      </c>
      <c r="K3" s="5">
        <v>14.87</v>
      </c>
      <c r="L3" s="49">
        <f>IF(ISERR(((Tabela4[[#This Row],[PREÇO GANHO]]-Tabela4[[#This Row],[PREÇO UNIT FINAL]])/Tabela4[[#This Row],[PREÇO UNIT FINAL]])),"",((Tabela4[[#This Row],[PREÇO GANHO]]-Tabela4[[#This Row],[PREÇO UNIT FINAL]])/Tabela4[[#This Row],[PREÇO UNIT FINAL]]))</f>
        <v>2.9065743944636548E-2</v>
      </c>
    </row>
    <row r="4" spans="1:13" x14ac:dyDescent="0.25">
      <c r="A4" s="44">
        <v>7</v>
      </c>
      <c r="B4" s="43" t="s">
        <v>508</v>
      </c>
      <c r="C4" s="1" t="s">
        <v>509</v>
      </c>
      <c r="D4" s="1">
        <v>1600</v>
      </c>
      <c r="E4" s="1" t="s">
        <v>802</v>
      </c>
      <c r="F4" s="53">
        <v>2.4500000000000002</v>
      </c>
      <c r="G4" s="53">
        <v>0.1</v>
      </c>
      <c r="H4" s="53">
        <v>0.08</v>
      </c>
      <c r="I4" s="51"/>
      <c r="J4" s="2">
        <f>SUBTOTAL(9,Tabela4[[#This Row],[PREÇO DE COMPRA]:[OUTRA TAXA (SUGESTÃO)]])</f>
        <v>2.6300000000000003</v>
      </c>
      <c r="K4" s="5">
        <v>3</v>
      </c>
      <c r="L4" s="49">
        <f>IF(ISERR(((Tabela4[[#This Row],[PREÇO GANHO]]-Tabela4[[#This Row],[PREÇO UNIT FINAL]])/Tabela4[[#This Row],[PREÇO UNIT FINAL]])),"",((Tabela4[[#This Row],[PREÇO GANHO]]-Tabela4[[#This Row],[PREÇO UNIT FINAL]])/Tabela4[[#This Row],[PREÇO UNIT FINAL]]))</f>
        <v>0.14068441064638768</v>
      </c>
    </row>
    <row r="5" spans="1:13" ht="30" x14ac:dyDescent="0.25">
      <c r="A5" s="44">
        <v>25</v>
      </c>
      <c r="B5" s="43" t="s">
        <v>871</v>
      </c>
      <c r="C5" s="1" t="s">
        <v>511</v>
      </c>
      <c r="D5" s="1">
        <v>10000</v>
      </c>
      <c r="E5" s="1" t="s">
        <v>812</v>
      </c>
      <c r="F5" s="53">
        <v>0.15</v>
      </c>
      <c r="G5" s="53">
        <v>0.05</v>
      </c>
      <c r="H5" s="53">
        <v>0.03</v>
      </c>
      <c r="I5" s="51"/>
      <c r="J5" s="2">
        <f>SUBTOTAL(9,Tabela4[[#This Row],[PREÇO DE COMPRA]:[OUTRA TAXA (SUGESTÃO)]])</f>
        <v>0.23</v>
      </c>
      <c r="K5" s="5">
        <v>0.28999999999999998</v>
      </c>
      <c r="L5" s="49">
        <f>IF(ISERR(((Tabela4[[#This Row],[PREÇO GANHO]]-Tabela4[[#This Row],[PREÇO UNIT FINAL]])/Tabela4[[#This Row],[PREÇO UNIT FINAL]])),"",((Tabela4[[#This Row],[PREÇO GANHO]]-Tabela4[[#This Row],[PREÇO UNIT FINAL]])/Tabela4[[#This Row],[PREÇO UNIT FINAL]]))</f>
        <v>0.26086956521739119</v>
      </c>
    </row>
    <row r="6" spans="1:13" x14ac:dyDescent="0.25">
      <c r="A6" s="44">
        <v>36</v>
      </c>
      <c r="B6" s="43" t="s">
        <v>542</v>
      </c>
      <c r="C6" s="1" t="s">
        <v>511</v>
      </c>
      <c r="D6" s="1">
        <v>1750</v>
      </c>
      <c r="E6" s="1" t="s">
        <v>817</v>
      </c>
      <c r="F6" s="53">
        <v>0.65</v>
      </c>
      <c r="G6" s="53">
        <v>0.08</v>
      </c>
      <c r="H6" s="53">
        <v>0.12</v>
      </c>
      <c r="I6" s="51"/>
      <c r="J6" s="2">
        <f>SUBTOTAL(9,Tabela4[[#This Row],[PREÇO DE COMPRA]:[OUTRA TAXA (SUGESTÃO)]])</f>
        <v>0.85</v>
      </c>
      <c r="K6" s="5">
        <v>1</v>
      </c>
      <c r="L6" s="49">
        <f>IF(ISERR(((Tabela4[[#This Row],[PREÇO GANHO]]-Tabela4[[#This Row],[PREÇO UNIT FINAL]])/Tabela4[[#This Row],[PREÇO UNIT FINAL]])),"",((Tabela4[[#This Row],[PREÇO GANHO]]-Tabela4[[#This Row],[PREÇO UNIT FINAL]])/Tabela4[[#This Row],[PREÇO UNIT FINAL]]))</f>
        <v>0.17647058823529416</v>
      </c>
    </row>
    <row r="7" spans="1:13" ht="30" x14ac:dyDescent="0.25">
      <c r="A7" s="44">
        <v>110</v>
      </c>
      <c r="B7" s="43" t="s">
        <v>592</v>
      </c>
      <c r="C7" s="1" t="s">
        <v>514</v>
      </c>
      <c r="D7" s="1">
        <v>500</v>
      </c>
      <c r="E7" s="1" t="s">
        <v>807</v>
      </c>
      <c r="F7" s="53">
        <v>1.39</v>
      </c>
      <c r="G7" s="53">
        <v>0.05</v>
      </c>
      <c r="H7" s="53">
        <v>0.13</v>
      </c>
      <c r="I7" s="51"/>
      <c r="J7" s="2">
        <f>SUBTOTAL(9,Tabela4[[#This Row],[PREÇO DE COMPRA]:[OUTRA TAXA (SUGESTÃO)]])</f>
        <v>1.5699999999999998</v>
      </c>
      <c r="K7" s="5">
        <v>1.9</v>
      </c>
      <c r="L7" s="49">
        <f>IF(ISERR(((Tabela4[[#This Row],[PREÇO GANHO]]-Tabela4[[#This Row],[PREÇO UNIT FINAL]])/Tabela4[[#This Row],[PREÇO UNIT FINAL]])),"",((Tabela4[[#This Row],[PREÇO GANHO]]-Tabela4[[#This Row],[PREÇO UNIT FINAL]])/Tabela4[[#This Row],[PREÇO UNIT FINAL]]))</f>
        <v>0.21019108280254784</v>
      </c>
    </row>
    <row r="8" spans="1:13" ht="30" x14ac:dyDescent="0.25">
      <c r="A8" s="44">
        <v>177</v>
      </c>
      <c r="B8" s="43" t="s">
        <v>872</v>
      </c>
      <c r="C8" s="1" t="s">
        <v>520</v>
      </c>
      <c r="D8" s="1">
        <v>200</v>
      </c>
      <c r="E8" s="1" t="s">
        <v>796</v>
      </c>
      <c r="F8" s="53">
        <v>3.49</v>
      </c>
      <c r="G8" s="53">
        <v>0.11</v>
      </c>
      <c r="H8" s="53">
        <v>0.12</v>
      </c>
      <c r="I8" s="51"/>
      <c r="J8" s="2">
        <f>SUBTOTAL(9,Tabela4[[#This Row],[PREÇO DE COMPRA]:[OUTRA TAXA (SUGESTÃO)]])</f>
        <v>3.72</v>
      </c>
      <c r="K8" s="5">
        <v>4.3</v>
      </c>
      <c r="L8" s="49">
        <f>IF(ISERR(((Tabela4[[#This Row],[PREÇO GANHO]]-Tabela4[[#This Row],[PREÇO UNIT FINAL]])/Tabela4[[#This Row],[PREÇO UNIT FINAL]])),"",((Tabela4[[#This Row],[PREÇO GANHO]]-Tabela4[[#This Row],[PREÇO UNIT FINAL]])/Tabela4[[#This Row],[PREÇO UNIT FINAL]]))</f>
        <v>0.15591397849462355</v>
      </c>
    </row>
    <row r="9" spans="1:13" x14ac:dyDescent="0.25">
      <c r="A9" s="44">
        <v>207</v>
      </c>
      <c r="B9" s="43" t="s">
        <v>664</v>
      </c>
      <c r="C9" s="1" t="s">
        <v>520</v>
      </c>
      <c r="D9" s="1">
        <v>150</v>
      </c>
      <c r="E9" s="1" t="s">
        <v>795</v>
      </c>
      <c r="F9" s="53">
        <v>5.58</v>
      </c>
      <c r="G9" s="53">
        <v>0.16</v>
      </c>
      <c r="H9" s="53">
        <v>0.18</v>
      </c>
      <c r="I9" s="51"/>
      <c r="J9" s="2">
        <f>SUBTOTAL(9,Tabela4[[#This Row],[PREÇO DE COMPRA]:[OUTRA TAXA (SUGESTÃO)]])</f>
        <v>5.92</v>
      </c>
      <c r="K9" s="5">
        <v>6.99</v>
      </c>
      <c r="L9" s="49">
        <f>IF(ISERR(((Tabela4[[#This Row],[PREÇO GANHO]]-Tabela4[[#This Row],[PREÇO UNIT FINAL]])/Tabela4[[#This Row],[PREÇO UNIT FINAL]])),"",((Tabela4[[#This Row],[PREÇO GANHO]]-Tabela4[[#This Row],[PREÇO UNIT FINAL]])/Tabela4[[#This Row],[PREÇO UNIT FINAL]]))</f>
        <v>0.18074324324324328</v>
      </c>
    </row>
    <row r="10" spans="1:13" ht="45" x14ac:dyDescent="0.25">
      <c r="A10" s="44">
        <v>215</v>
      </c>
      <c r="B10" s="43" t="s">
        <v>873</v>
      </c>
      <c r="C10" s="1" t="s">
        <v>511</v>
      </c>
      <c r="D10" s="1">
        <v>1440</v>
      </c>
      <c r="E10" s="1" t="s">
        <v>859</v>
      </c>
      <c r="F10" s="53">
        <v>0.94</v>
      </c>
      <c r="G10" s="53">
        <v>0.05</v>
      </c>
      <c r="H10" s="53">
        <v>0.06</v>
      </c>
      <c r="I10" s="51"/>
      <c r="J10" s="2">
        <f>SUBTOTAL(9,Tabela4[[#This Row],[PREÇO DE COMPRA]:[OUTRA TAXA (SUGESTÃO)]])</f>
        <v>1.05</v>
      </c>
      <c r="K10" s="5">
        <v>1.34</v>
      </c>
      <c r="L10" s="49">
        <f>IF(ISERR(((Tabela4[[#This Row],[PREÇO GANHO]]-Tabela4[[#This Row],[PREÇO UNIT FINAL]])/Tabela4[[#This Row],[PREÇO UNIT FINAL]])),"",((Tabela4[[#This Row],[PREÇO GANHO]]-Tabela4[[#This Row],[PREÇO UNIT FINAL]])/Tabela4[[#This Row],[PREÇO UNIT FINAL]]))</f>
        <v>0.27619047619047621</v>
      </c>
    </row>
    <row r="11" spans="1:13" ht="45" x14ac:dyDescent="0.25">
      <c r="A11" s="44">
        <v>216</v>
      </c>
      <c r="B11" s="43" t="s">
        <v>874</v>
      </c>
      <c r="C11" s="1" t="s">
        <v>511</v>
      </c>
      <c r="D11" s="1">
        <v>1440</v>
      </c>
      <c r="E11" s="1" t="s">
        <v>823</v>
      </c>
      <c r="F11" s="53">
        <v>1.19</v>
      </c>
      <c r="G11" s="53">
        <v>0.06</v>
      </c>
      <c r="H11" s="53">
        <v>0.09</v>
      </c>
      <c r="I11" s="51"/>
      <c r="J11" s="2">
        <f>SUBTOTAL(9,Tabela4[[#This Row],[PREÇO DE COMPRA]:[OUTRA TAXA (SUGESTÃO)]])</f>
        <v>1.34</v>
      </c>
      <c r="K11" s="5">
        <v>1.6</v>
      </c>
      <c r="L11" s="49">
        <f>IF(ISERR(((Tabela4[[#This Row],[PREÇO GANHO]]-Tabela4[[#This Row],[PREÇO UNIT FINAL]])/Tabela4[[#This Row],[PREÇO UNIT FINAL]])),"",((Tabela4[[#This Row],[PREÇO GANHO]]-Tabela4[[#This Row],[PREÇO UNIT FINAL]])/Tabela4[[#This Row],[PREÇO UNIT FINAL]]))</f>
        <v>0.19402985074626866</v>
      </c>
    </row>
    <row r="12" spans="1:13" x14ac:dyDescent="0.25">
      <c r="A12" s="44">
        <v>217</v>
      </c>
      <c r="B12" s="43" t="s">
        <v>670</v>
      </c>
      <c r="C12" s="1" t="s">
        <v>511</v>
      </c>
      <c r="D12" s="1">
        <v>1440</v>
      </c>
      <c r="E12" s="1" t="s">
        <v>803</v>
      </c>
      <c r="F12" s="53">
        <v>0.12</v>
      </c>
      <c r="G12" s="53">
        <v>0.01</v>
      </c>
      <c r="H12" s="53">
        <v>0.01</v>
      </c>
      <c r="I12" s="51"/>
      <c r="J12" s="2">
        <f>SUBTOTAL(9,Tabela4[[#This Row],[PREÇO DE COMPRA]:[OUTRA TAXA (SUGESTÃO)]])</f>
        <v>0.14000000000000001</v>
      </c>
      <c r="K12" s="5">
        <v>0.17</v>
      </c>
      <c r="L12" s="49">
        <f>IF(ISERR(((Tabela4[[#This Row],[PREÇO GANHO]]-Tabela4[[#This Row],[PREÇO UNIT FINAL]])/Tabela4[[#This Row],[PREÇO UNIT FINAL]])),"",((Tabela4[[#This Row],[PREÇO GANHO]]-Tabela4[[#This Row],[PREÇO UNIT FINAL]])/Tabela4[[#This Row],[PREÇO UNIT FINAL]]))</f>
        <v>0.21428571428571425</v>
      </c>
    </row>
    <row r="13" spans="1:13" ht="105" x14ac:dyDescent="0.25">
      <c r="A13" s="44">
        <v>241</v>
      </c>
      <c r="B13" s="43" t="s">
        <v>875</v>
      </c>
      <c r="C13" s="1" t="s">
        <v>562</v>
      </c>
      <c r="D13" s="1">
        <v>1000</v>
      </c>
      <c r="E13" s="1" t="s">
        <v>862</v>
      </c>
      <c r="F13" s="53">
        <v>0.05</v>
      </c>
      <c r="G13" s="53">
        <v>0.01</v>
      </c>
      <c r="H13" s="53">
        <v>0.01</v>
      </c>
      <c r="I13" s="51"/>
      <c r="J13" s="2">
        <f>SUBTOTAL(9,Tabela4[[#This Row],[PREÇO DE COMPRA]:[OUTRA TAXA (SUGESTÃO)]])</f>
        <v>7.0000000000000007E-2</v>
      </c>
      <c r="K13" s="5">
        <v>0.1</v>
      </c>
      <c r="L13" s="49">
        <f>IF(ISERR(((Tabela4[[#This Row],[PREÇO GANHO]]-Tabela4[[#This Row],[PREÇO UNIT FINAL]])/Tabela4[[#This Row],[PREÇO UNIT FINAL]])),"",((Tabela4[[#This Row],[PREÇO GANHO]]-Tabela4[[#This Row],[PREÇO UNIT FINAL]])/Tabela4[[#This Row],[PREÇO UNIT FINAL]]))</f>
        <v>0.42857142857142849</v>
      </c>
    </row>
    <row r="14" spans="1:13" ht="90" x14ac:dyDescent="0.25">
      <c r="A14" s="44">
        <v>245</v>
      </c>
      <c r="B14" s="43" t="s">
        <v>876</v>
      </c>
      <c r="C14" s="1" t="s">
        <v>562</v>
      </c>
      <c r="D14" s="1">
        <v>500</v>
      </c>
      <c r="E14" s="1" t="s">
        <v>841</v>
      </c>
      <c r="F14" s="53">
        <v>3.97</v>
      </c>
      <c r="G14" s="53">
        <v>0.1</v>
      </c>
      <c r="H14" s="53">
        <v>0.16</v>
      </c>
      <c r="I14" s="51"/>
      <c r="J14" s="2">
        <f>SUBTOTAL(9,Tabela4[[#This Row],[PREÇO DE COMPRA]:[OUTRA TAXA (SUGESTÃO)]])</f>
        <v>4.2300000000000004</v>
      </c>
      <c r="K14" s="5">
        <v>4.9000000000000004</v>
      </c>
      <c r="L14" s="49">
        <f>IF(ISERR(((Tabela4[[#This Row],[PREÇO GANHO]]-Tabela4[[#This Row],[PREÇO UNIT FINAL]])/Tabela4[[#This Row],[PREÇO UNIT FINAL]])),"",((Tabela4[[#This Row],[PREÇO GANHO]]-Tabela4[[#This Row],[PREÇO UNIT FINAL]])/Tabela4[[#This Row],[PREÇO UNIT FINAL]]))</f>
        <v>0.15839243498817965</v>
      </c>
    </row>
    <row r="15" spans="1:13" ht="60" x14ac:dyDescent="0.25">
      <c r="A15" s="44">
        <v>466</v>
      </c>
      <c r="B15" s="43" t="s">
        <v>589</v>
      </c>
      <c r="C15" s="1" t="s">
        <v>562</v>
      </c>
      <c r="D15" s="1">
        <v>500</v>
      </c>
      <c r="E15" s="1" t="s">
        <v>838</v>
      </c>
      <c r="F15" s="53">
        <v>4.4000000000000004</v>
      </c>
      <c r="G15" s="53">
        <v>0.11</v>
      </c>
      <c r="H15" s="53">
        <v>0.17</v>
      </c>
      <c r="I15" s="51"/>
      <c r="J15" s="2">
        <f>SUBTOTAL(9,Tabela4[[#This Row],[PREÇO DE COMPRA]:[OUTRA TAXA (SUGESTÃO)]])</f>
        <v>4.6800000000000006</v>
      </c>
      <c r="K15" s="5">
        <v>5.18</v>
      </c>
      <c r="L15" s="49">
        <f>IF(ISERR(((Tabela4[[#This Row],[PREÇO GANHO]]-Tabela4[[#This Row],[PREÇO UNIT FINAL]])/Tabela4[[#This Row],[PREÇO UNIT FINAL]])),"",((Tabela4[[#This Row],[PREÇO GANHO]]-Tabela4[[#This Row],[PREÇO UNIT FINAL]])/Tabela4[[#This Row],[PREÇO UNIT FINAL]]))</f>
        <v>0.10683760683760664</v>
      </c>
    </row>
    <row r="16" spans="1:13" ht="30" x14ac:dyDescent="0.25">
      <c r="A16" s="44">
        <v>537</v>
      </c>
      <c r="B16" s="43" t="s">
        <v>669</v>
      </c>
      <c r="C16" s="1" t="s">
        <v>511</v>
      </c>
      <c r="D16" s="1">
        <v>480</v>
      </c>
      <c r="E16" s="1" t="s">
        <v>812</v>
      </c>
      <c r="F16" s="53">
        <v>1.35</v>
      </c>
      <c r="G16" s="53">
        <v>0.05</v>
      </c>
      <c r="H16" s="53">
        <v>0.09</v>
      </c>
      <c r="I16" s="51"/>
      <c r="J16" s="2">
        <f>SUBTOTAL(9,Tabela4[[#This Row],[PREÇO DE COMPRA]:[OUTRA TAXA (SUGESTÃO)]])</f>
        <v>1.4900000000000002</v>
      </c>
      <c r="K16" s="5">
        <v>1.76</v>
      </c>
      <c r="L16" s="49">
        <f>IF(ISERR(((Tabela4[[#This Row],[PREÇO GANHO]]-Tabela4[[#This Row],[PREÇO UNIT FINAL]])/Tabela4[[#This Row],[PREÇO UNIT FINAL]])),"",((Tabela4[[#This Row],[PREÇO GANHO]]-Tabela4[[#This Row],[PREÇO UNIT FINAL]])/Tabela4[[#This Row],[PREÇO UNIT FINAL]]))</f>
        <v>0.18120805369127502</v>
      </c>
    </row>
    <row r="17" spans="1:12" x14ac:dyDescent="0.25">
      <c r="A17" s="44">
        <v>538</v>
      </c>
      <c r="B17" s="43" t="s">
        <v>670</v>
      </c>
      <c r="C17" s="1" t="s">
        <v>511</v>
      </c>
      <c r="D17" s="1">
        <v>360</v>
      </c>
      <c r="E17" s="1" t="s">
        <v>803</v>
      </c>
      <c r="F17" s="53">
        <v>0.12</v>
      </c>
      <c r="G17" s="53">
        <v>0.1</v>
      </c>
      <c r="H17" s="53">
        <v>0.01</v>
      </c>
      <c r="I17" s="51"/>
      <c r="J17" s="2">
        <f>SUBTOTAL(9,Tabela4[[#This Row],[PREÇO DE COMPRA]:[OUTRA TAXA (SUGESTÃO)]])</f>
        <v>0.23</v>
      </c>
      <c r="K17" s="5">
        <v>0.2</v>
      </c>
      <c r="L17" s="49">
        <f>IF(ISERR(((Tabela4[[#This Row],[PREÇO GANHO]]-Tabela4[[#This Row],[PREÇO UNIT FINAL]])/Tabela4[[#This Row],[PREÇO UNIT FINAL]])),"",((Tabela4[[#This Row],[PREÇO GANHO]]-Tabela4[[#This Row],[PREÇO UNIT FINAL]])/Tabela4[[#This Row],[PREÇO UNIT FINAL]]))</f>
        <v>-0.13043478260869565</v>
      </c>
    </row>
    <row r="18" spans="1:12" ht="60" x14ac:dyDescent="0.25">
      <c r="A18" s="44">
        <v>562</v>
      </c>
      <c r="B18" s="43" t="s">
        <v>695</v>
      </c>
      <c r="C18" s="1" t="s">
        <v>562</v>
      </c>
      <c r="D18" s="1">
        <v>1000</v>
      </c>
      <c r="E18" s="1" t="s">
        <v>862</v>
      </c>
      <c r="F18" s="53">
        <v>0.05</v>
      </c>
      <c r="G18" s="53">
        <v>0.01</v>
      </c>
      <c r="H18" s="53">
        <v>0.01</v>
      </c>
      <c r="I18" s="51"/>
      <c r="J18" s="2">
        <f>SUBTOTAL(9,Tabela4[[#This Row],[PREÇO DE COMPRA]:[OUTRA TAXA (SUGESTÃO)]])</f>
        <v>7.0000000000000007E-2</v>
      </c>
      <c r="K18" s="5">
        <v>0.12</v>
      </c>
      <c r="L18" s="49">
        <f>IF(ISERR(((Tabela4[[#This Row],[PREÇO GANHO]]-Tabela4[[#This Row],[PREÇO UNIT FINAL]])/Tabela4[[#This Row],[PREÇO UNIT FINAL]])),"",((Tabela4[[#This Row],[PREÇO GANHO]]-Tabela4[[#This Row],[PREÇO UNIT FINAL]])/Tabela4[[#This Row],[PREÇO UNIT FINAL]]))</f>
        <v>0.71428571428571408</v>
      </c>
    </row>
    <row r="19" spans="1:12" ht="60" x14ac:dyDescent="0.25">
      <c r="A19" s="44">
        <v>563</v>
      </c>
      <c r="B19" s="43" t="s">
        <v>696</v>
      </c>
      <c r="C19" s="1" t="s">
        <v>562</v>
      </c>
      <c r="D19" s="1">
        <v>1000</v>
      </c>
      <c r="E19" s="1" t="s">
        <v>845</v>
      </c>
      <c r="F19" s="53">
        <v>1.01</v>
      </c>
      <c r="G19" s="53">
        <v>0.06</v>
      </c>
      <c r="H19" s="53">
        <v>0.11</v>
      </c>
      <c r="I19" s="51"/>
      <c r="J19" s="2">
        <f>SUBTOTAL(9,Tabela4[[#This Row],[PREÇO DE COMPRA]:[OUTRA TAXA (SUGESTÃO)]])</f>
        <v>1.1800000000000002</v>
      </c>
      <c r="K19" s="5">
        <v>1.45</v>
      </c>
      <c r="L19" s="49">
        <f>IF(ISERR(((Tabela4[[#This Row],[PREÇO GANHO]]-Tabela4[[#This Row],[PREÇO UNIT FINAL]])/Tabela4[[#This Row],[PREÇO UNIT FINAL]])),"",((Tabela4[[#This Row],[PREÇO GANHO]]-Tabela4[[#This Row],[PREÇO UNIT FINAL]])/Tabela4[[#This Row],[PREÇO UNIT FINAL]]))</f>
        <v>0.2288135593220337</v>
      </c>
    </row>
    <row r="20" spans="1:12" ht="60" x14ac:dyDescent="0.25">
      <c r="A20" s="45">
        <v>566</v>
      </c>
      <c r="B20" s="46" t="s">
        <v>699</v>
      </c>
      <c r="C20" s="47" t="s">
        <v>562</v>
      </c>
      <c r="D20" s="47">
        <v>100</v>
      </c>
      <c r="E20" s="47" t="s">
        <v>841</v>
      </c>
      <c r="F20" s="53">
        <v>3.97</v>
      </c>
      <c r="G20" s="53">
        <v>0.1</v>
      </c>
      <c r="H20" s="53">
        <v>0.16</v>
      </c>
      <c r="I20" s="51"/>
      <c r="J20" s="2">
        <f>SUBTOTAL(9,Tabela4[[#This Row],[PREÇO DE COMPRA]:[OUTRA TAXA (SUGESTÃO)]])</f>
        <v>4.2300000000000004</v>
      </c>
      <c r="K20" s="48">
        <v>5.64</v>
      </c>
      <c r="L20" s="49">
        <f>IF(ISERR(((Tabela4[[#This Row],[PREÇO GANHO]]-Tabela4[[#This Row],[PREÇO UNIT FINAL]])/Tabela4[[#This Row],[PREÇO UNIT FINAL]])),"",((Tabela4[[#This Row],[PREÇO GANHO]]-Tabela4[[#This Row],[PREÇO UNIT FINAL]])/Tabela4[[#This Row],[PREÇO UNIT FINAL]]))</f>
        <v>0.33333333333333315</v>
      </c>
    </row>
  </sheetData>
  <conditionalFormatting sqref="L2:L20">
    <cfRule type="expression" dxfId="117" priority="1">
      <formula>$L2&lt;=0</formula>
    </cfRule>
  </conditionalFormatting>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9C911-A47A-4C3A-8458-1839611C3750}">
  <dimension ref="A1:Y83"/>
  <sheetViews>
    <sheetView workbookViewId="0">
      <selection activeCell="T79" sqref="T2:T79"/>
    </sheetView>
  </sheetViews>
  <sheetFormatPr defaultRowHeight="15" customHeight="1" x14ac:dyDescent="0.25"/>
  <cols>
    <col min="1" max="1" width="11.140625" bestFit="1" customWidth="1"/>
    <col min="2" max="2" width="10.5703125" hidden="1" customWidth="1"/>
    <col min="3" max="3" width="9.5703125" hidden="1" customWidth="1"/>
    <col min="4" max="4" width="10.5703125" hidden="1" customWidth="1"/>
    <col min="5" max="5" width="20.7109375" hidden="1" customWidth="1"/>
    <col min="7" max="7" width="10.85546875" style="41" customWidth="1"/>
    <col min="8" max="8" width="37.7109375" hidden="1" customWidth="1"/>
    <col min="9" max="9" width="8.85546875" style="41" hidden="1" customWidth="1"/>
    <col min="10" max="11" width="13.5703125" style="41" hidden="1" customWidth="1"/>
    <col min="12" max="12" width="10.5703125" style="41" hidden="1" customWidth="1"/>
    <col min="13" max="14" width="15" style="41" hidden="1" customWidth="1"/>
    <col min="15" max="15" width="21.5703125" style="41" hidden="1" customWidth="1"/>
    <col min="16" max="16" width="20.140625" hidden="1" customWidth="1"/>
    <col min="18" max="18" width="12.28515625" style="41" bestFit="1" customWidth="1"/>
    <col min="20" max="20" width="9.140625" style="41"/>
    <col min="21" max="21" width="12.42578125" style="41" bestFit="1" customWidth="1"/>
  </cols>
  <sheetData>
    <row r="1" spans="1:25" ht="60" x14ac:dyDescent="0.25">
      <c r="A1" s="42" t="s">
        <v>894</v>
      </c>
      <c r="B1" t="s">
        <v>884</v>
      </c>
      <c r="C1" t="s">
        <v>885</v>
      </c>
      <c r="D1" t="s">
        <v>886</v>
      </c>
      <c r="E1" t="s">
        <v>887</v>
      </c>
      <c r="G1" s="54" t="s">
        <v>895</v>
      </c>
      <c r="H1" s="54" t="s">
        <v>888</v>
      </c>
      <c r="I1" s="54" t="s">
        <v>892</v>
      </c>
      <c r="J1" s="21" t="s">
        <v>889</v>
      </c>
      <c r="K1" s="21" t="s">
        <v>890</v>
      </c>
      <c r="L1" s="21" t="s">
        <v>885</v>
      </c>
      <c r="M1" s="21" t="s">
        <v>891</v>
      </c>
      <c r="N1" s="22" t="s">
        <v>7</v>
      </c>
      <c r="O1" s="22" t="s">
        <v>887</v>
      </c>
      <c r="P1" s="21" t="s">
        <v>866</v>
      </c>
      <c r="R1" s="68" t="s">
        <v>897</v>
      </c>
      <c r="T1" s="41" t="s">
        <v>896</v>
      </c>
      <c r="U1" s="41" t="s">
        <v>887</v>
      </c>
    </row>
    <row r="2" spans="1:25" ht="30" x14ac:dyDescent="0.25">
      <c r="A2">
        <v>1</v>
      </c>
      <c r="B2" s="52">
        <f>VLOOKUP(itens_neg[[#This Row],[Itens Ganhos Abaixo da REF]],TabelaModelo,5,FALSE)</f>
        <v>26.85</v>
      </c>
      <c r="C2" s="52">
        <f>VLOOKUP(itens_neg[[#This Row],[Itens Ganhos Abaixo da REF]],TabelaPrincipal[],11,FALSE)</f>
        <v>26.85</v>
      </c>
      <c r="D2" s="52">
        <f>VLOOKUP(itens_neg[[#This Row],[Itens Ganhos Abaixo da REF]],TabelaPrincipal[],12,FALSE)</f>
        <v>26.85</v>
      </c>
      <c r="E2" s="52" t="str">
        <f>IF(itens_neg[[#This Row],[Ganho]]&gt;itens_neg[[#This Row],[Referenc]],"Acima da Referência","Abaixo da Referência")</f>
        <v>Abaixo da Referência</v>
      </c>
      <c r="G2" s="4">
        <v>111</v>
      </c>
      <c r="H2" s="55" t="str">
        <f>VLOOKUP(Tabela7[[#This Row],[Itens Ganhos Acima da REF]],TabelaModelo,2,FALSE)</f>
        <v>Valerato de betametasona 1 mg/g creme dermatológico</v>
      </c>
      <c r="I2" s="57">
        <f>VLOOKUP(Tabela7[[#This Row],[Itens Ganhos Acima da REF]],TabelaModelo,4,FALSE)</f>
        <v>300</v>
      </c>
      <c r="J2" s="66">
        <f>VLOOKUP(Tabela7[[#This Row],[Itens Ganhos Acima da REF]],TabelaModelo,5,FALSE)</f>
        <v>7.98</v>
      </c>
      <c r="K2" s="59">
        <f>VLOOKUP(Tabela7[[#This Row],[Itens Ganhos Acima da REF]],TabelaPrincipal[],6,FALSE)</f>
        <v>7.85</v>
      </c>
      <c r="L2" s="59">
        <f>VLOOKUP(Tabela7[[#This Row],[Itens Ganhos Acima da REF]],TabelaPrincipal[],11,FALSE)</f>
        <v>7.85</v>
      </c>
      <c r="M2" s="59">
        <f>VLOOKUP(Tabela7[[#This Row],[Itens Ganhos Acima da REF]],TabelaPrincipal[],12,FALSE)</f>
        <v>7.98</v>
      </c>
      <c r="N2" s="60">
        <f>Tabela7[[#This Row],[Qtd]]*Tabela7[[#This Row],[Preço Estimado]]</f>
        <v>2394</v>
      </c>
      <c r="O2" s="60" t="str">
        <f>IF(Tabela7[[#This Row],[Preço que Ganhamos]]&gt;Tabela7[[#This Row],[Preço Estimado]],"Acima da Referência","Abaixo da Referência")</f>
        <v>Abaixo da Referência</v>
      </c>
      <c r="P2" s="59" t="s">
        <v>893</v>
      </c>
      <c r="R2" s="41">
        <v>1</v>
      </c>
      <c r="T2" s="41">
        <v>1</v>
      </c>
      <c r="U2" s="41" t="b">
        <f>itens_neg__4[[#This Row],[Itens ganhos de acordo c/ Pregoeiro]]=T2</f>
        <v>1</v>
      </c>
      <c r="W2">
        <v>7</v>
      </c>
      <c r="Y2">
        <v>1</v>
      </c>
    </row>
    <row r="3" spans="1:25" ht="30" x14ac:dyDescent="0.25">
      <c r="A3">
        <v>20</v>
      </c>
      <c r="B3" s="52">
        <f>VLOOKUP(itens_neg[[#This Row],[Itens Ganhos Abaixo da REF]],TabelaModelo,5,FALSE)</f>
        <v>1.27</v>
      </c>
      <c r="C3" s="52">
        <f>VLOOKUP(itens_neg[[#This Row],[Itens Ganhos Abaixo da REF]],TabelaPrincipal[],11,FALSE)</f>
        <v>0.9</v>
      </c>
      <c r="D3" s="52">
        <f>VLOOKUP(itens_neg[[#This Row],[Itens Ganhos Abaixo da REF]],TabelaPrincipal[],12,FALSE)</f>
        <v>1.26</v>
      </c>
      <c r="E3" s="52" t="str">
        <f>IF(itens_neg[[#This Row],[Ganho]]&gt;itens_neg[[#This Row],[Referenc]],"Acima da Referência","Abaixo da Referência")</f>
        <v>Abaixo da Referência</v>
      </c>
      <c r="G3" s="4">
        <v>186</v>
      </c>
      <c r="H3" s="55" t="str">
        <f>VLOOKUP(Tabela7[[#This Row],[Itens Ganhos Acima da REF]],TabelaModelo,2,FALSE)</f>
        <v>Nitroglicerina, dosagem: 5 mg/ml, aplicação: injetável</v>
      </c>
      <c r="I3" s="57">
        <f>VLOOKUP(Tabela7[[#This Row],[Itens Ganhos Acima da REF]],TabelaModelo,4,FALSE)</f>
        <v>50</v>
      </c>
      <c r="J3" s="66">
        <f>VLOOKUP(Tabela7[[#This Row],[Itens Ganhos Acima da REF]],TabelaModelo,5,FALSE)</f>
        <v>41.91</v>
      </c>
      <c r="K3" s="59">
        <f>VLOOKUP(Tabela7[[#This Row],[Itens Ganhos Acima da REF]],TabelaPrincipal[],6,FALSE)</f>
        <v>36</v>
      </c>
      <c r="L3" s="59">
        <f>VLOOKUP(Tabela7[[#This Row],[Itens Ganhos Acima da REF]],TabelaPrincipal[],11,FALSE)</f>
        <v>36</v>
      </c>
      <c r="M3" s="59">
        <f>VLOOKUP(Tabela7[[#This Row],[Itens Ganhos Acima da REF]],TabelaPrincipal[],12,FALSE)</f>
        <v>41.91</v>
      </c>
      <c r="N3" s="60">
        <f>Tabela7[[#This Row],[Qtd]]*Tabela7[[#This Row],[Preço Estimado]]</f>
        <v>2095.5</v>
      </c>
      <c r="O3" s="60" t="str">
        <f>IF(Tabela7[[#This Row],[Preço que Ganhamos]]&gt;Tabela7[[#This Row],[Preço Estimado]],"Acima da Referência","Abaixo da Referência")</f>
        <v>Abaixo da Referência</v>
      </c>
      <c r="P3" s="59" t="s">
        <v>893</v>
      </c>
      <c r="R3" s="41">
        <v>4</v>
      </c>
      <c r="T3" s="41">
        <v>4</v>
      </c>
      <c r="U3" s="41" t="b">
        <f>itens_neg__4[[#This Row],[Itens ganhos de acordo c/ Pregoeiro]]=T3</f>
        <v>1</v>
      </c>
      <c r="W3" s="41">
        <v>189</v>
      </c>
      <c r="Y3">
        <v>4</v>
      </c>
    </row>
    <row r="4" spans="1:25" x14ac:dyDescent="0.25">
      <c r="A4">
        <v>21</v>
      </c>
      <c r="B4" s="52">
        <f>VLOOKUP(itens_neg[[#This Row],[Itens Ganhos Abaixo da REF]],TabelaModelo,5,FALSE)</f>
        <v>1.39</v>
      </c>
      <c r="C4" s="52">
        <f>VLOOKUP(itens_neg[[#This Row],[Itens Ganhos Abaixo da REF]],TabelaPrincipal[],11,FALSE)</f>
        <v>1</v>
      </c>
      <c r="D4" s="52">
        <f>VLOOKUP(itens_neg[[#This Row],[Itens Ganhos Abaixo da REF]],TabelaPrincipal[],12,FALSE)</f>
        <v>1.3</v>
      </c>
      <c r="E4" s="52" t="str">
        <f>IF(itens_neg[[#This Row],[Ganho]]&gt;itens_neg[[#This Row],[Referenc]],"Acima da Referência","Abaixo da Referência")</f>
        <v>Abaixo da Referência</v>
      </c>
      <c r="G4" s="4">
        <v>189</v>
      </c>
      <c r="H4" s="55" t="str">
        <f>VLOOKUP(Tabela7[[#This Row],[Itens Ganhos Acima da REF]],TabelaModelo,2,FALSE)</f>
        <v>Bromoprida 5 mg/mL solução injetável</v>
      </c>
      <c r="I4" s="57">
        <f>VLOOKUP(Tabela7[[#This Row],[Itens Ganhos Acima da REF]],TabelaModelo,4,FALSE)</f>
        <v>100</v>
      </c>
      <c r="J4" s="66">
        <f>VLOOKUP(Tabela7[[#This Row],[Itens Ganhos Acima da REF]],TabelaModelo,5,FALSE)</f>
        <v>1.9</v>
      </c>
      <c r="K4" s="59">
        <f>VLOOKUP(Tabela7[[#This Row],[Itens Ganhos Acima da REF]],TabelaPrincipal[],6,FALSE)</f>
        <v>1.5</v>
      </c>
      <c r="L4" s="59">
        <f>VLOOKUP(Tabela7[[#This Row],[Itens Ganhos Acima da REF]],TabelaPrincipal[],11,FALSE)</f>
        <v>1.5</v>
      </c>
      <c r="M4" s="59">
        <f>VLOOKUP(Tabela7[[#This Row],[Itens Ganhos Acima da REF]],TabelaPrincipal[],12,FALSE)</f>
        <v>1.9</v>
      </c>
      <c r="N4" s="60">
        <f>Tabela7[[#This Row],[Qtd]]*Tabela7[[#This Row],[Preço Estimado]]</f>
        <v>190</v>
      </c>
      <c r="O4" s="60" t="str">
        <f>IF(Tabela7[[#This Row],[Preço que Ganhamos]]&gt;Tabela7[[#This Row],[Preço Estimado]],"Acima da Referência","Abaixo da Referência")</f>
        <v>Abaixo da Referência</v>
      </c>
      <c r="P4" s="59" t="s">
        <v>893</v>
      </c>
      <c r="R4" s="41">
        <v>5</v>
      </c>
      <c r="T4" s="41">
        <v>5</v>
      </c>
      <c r="U4" s="41" t="b">
        <f>itens_neg__4[[#This Row],[Itens ganhos de acordo c/ Pregoeiro]]=T4</f>
        <v>1</v>
      </c>
      <c r="Y4">
        <v>5</v>
      </c>
    </row>
    <row r="5" spans="1:25" ht="60" x14ac:dyDescent="0.25">
      <c r="A5">
        <v>33</v>
      </c>
      <c r="B5" s="52">
        <f>VLOOKUP(itens_neg[[#This Row],[Itens Ganhos Abaixo da REF]],TabelaModelo,5,FALSE)</f>
        <v>0.5</v>
      </c>
      <c r="C5" s="52">
        <f>VLOOKUP(itens_neg[[#This Row],[Itens Ganhos Abaixo da REF]],TabelaPrincipal[],11,FALSE)</f>
        <v>0.4</v>
      </c>
      <c r="D5" s="52">
        <f>VLOOKUP(itens_neg[[#This Row],[Itens Ganhos Abaixo da REF]],TabelaPrincipal[],12,FALSE)</f>
        <v>0.45</v>
      </c>
      <c r="E5" s="52" t="str">
        <f>IF(itens_neg[[#This Row],[Ganho]]&gt;itens_neg[[#This Row],[Referenc]],"Acima da Referência","Abaixo da Referência")</f>
        <v>Abaixo da Referência</v>
      </c>
      <c r="G5" s="4">
        <v>191</v>
      </c>
      <c r="H5" s="55" t="str">
        <f>VLOOKUP(Tabela7[[#This Row],[Itens Ganhos Acima da REF]],TabelaModelo,2,FALSE)</f>
        <v>Tobramicina, composição: associada a dexametasona, concentraçao: 3 mg + 1 mg,ml, forma farmaceutica: suspensão oftálmica</v>
      </c>
      <c r="I5" s="57">
        <f>VLOOKUP(Tabela7[[#This Row],[Itens Ganhos Acima da REF]],TabelaModelo,4,FALSE)</f>
        <v>200</v>
      </c>
      <c r="J5" s="66">
        <f>VLOOKUP(Tabela7[[#This Row],[Itens Ganhos Acima da REF]],TabelaModelo,5,FALSE)</f>
        <v>32.47</v>
      </c>
      <c r="K5" s="59">
        <f>VLOOKUP(Tabela7[[#This Row],[Itens Ganhos Acima da REF]],TabelaPrincipal[],6,FALSE)</f>
        <v>32.6</v>
      </c>
      <c r="L5" s="59">
        <f>VLOOKUP(Tabela7[[#This Row],[Itens Ganhos Acima da REF]],TabelaPrincipal[],11,FALSE)</f>
        <v>32.6</v>
      </c>
      <c r="M5" s="59">
        <f>VLOOKUP(Tabela7[[#This Row],[Itens Ganhos Acima da REF]],TabelaPrincipal[],12,FALSE)</f>
        <v>32.47</v>
      </c>
      <c r="N5" s="60">
        <f>Tabela7[[#This Row],[Qtd]]*Tabela7[[#This Row],[Preço Estimado]]</f>
        <v>6494</v>
      </c>
      <c r="O5" s="60" t="str">
        <f>IF(Tabela7[[#This Row],[Preço que Ganhamos]]&gt;Tabela7[[#This Row],[Preço Estimado]],"Acima da Referência","Abaixo da Referência")</f>
        <v>Abaixo da Referência</v>
      </c>
      <c r="P5" s="59" t="s">
        <v>893</v>
      </c>
      <c r="R5" s="41">
        <v>20</v>
      </c>
      <c r="T5" s="41">
        <v>20</v>
      </c>
      <c r="U5" s="41" t="b">
        <f>itens_neg__4[[#This Row],[Itens ganhos de acordo c/ Pregoeiro]]=T5</f>
        <v>1</v>
      </c>
      <c r="Y5">
        <v>7</v>
      </c>
    </row>
    <row r="6" spans="1:25" x14ac:dyDescent="0.25">
      <c r="A6">
        <v>47</v>
      </c>
      <c r="B6" s="52">
        <f>VLOOKUP(itens_neg[[#This Row],[Itens Ganhos Abaixo da REF]],TabelaModelo,5,FALSE)</f>
        <v>8.06</v>
      </c>
      <c r="C6" s="52">
        <f>VLOOKUP(itens_neg[[#This Row],[Itens Ganhos Abaixo da REF]],TabelaPrincipal[],11,FALSE)</f>
        <v>8.06</v>
      </c>
      <c r="D6" s="52">
        <f>VLOOKUP(itens_neg[[#This Row],[Itens Ganhos Abaixo da REF]],TabelaPrincipal[],12,FALSE)</f>
        <v>8.06</v>
      </c>
      <c r="E6" s="52" t="str">
        <f>IF(itens_neg[[#This Row],[Ganho]]&gt;itens_neg[[#This Row],[Referenc]],"Acima da Referência","Abaixo da Referência")</f>
        <v>Abaixo da Referência</v>
      </c>
      <c r="G6" s="4">
        <v>201</v>
      </c>
      <c r="H6" s="55" t="str">
        <f>VLOOKUP(Tabela7[[#This Row],[Itens Ganhos Acima da REF]],TabelaModelo,2,FALSE)</f>
        <v>Aripiprazol 1 mg/mL suspensão oral</v>
      </c>
      <c r="I6" s="57">
        <f>VLOOKUP(Tabela7[[#This Row],[Itens Ganhos Acima da REF]],TabelaModelo,4,FALSE)</f>
        <v>60</v>
      </c>
      <c r="J6" s="66">
        <f>VLOOKUP(Tabela7[[#This Row],[Itens Ganhos Acima da REF]],TabelaModelo,5,FALSE)</f>
        <v>145.01</v>
      </c>
      <c r="K6" s="59">
        <f>VLOOKUP(Tabela7[[#This Row],[Itens Ganhos Acima da REF]],TabelaPrincipal[],6,FALSE)</f>
        <v>168.2</v>
      </c>
      <c r="L6" s="59">
        <f>VLOOKUP(Tabela7[[#This Row],[Itens Ganhos Acima da REF]],TabelaPrincipal[],11,FALSE)</f>
        <v>168.2</v>
      </c>
      <c r="M6" s="59">
        <f>VLOOKUP(Tabela7[[#This Row],[Itens Ganhos Acima da REF]],TabelaPrincipal[],12,FALSE)</f>
        <v>145.01</v>
      </c>
      <c r="N6" s="60">
        <f>Tabela7[[#This Row],[Qtd]]*Tabela7[[#This Row],[Preço Estimado]]</f>
        <v>8700.5999999999985</v>
      </c>
      <c r="O6" s="60" t="str">
        <f>IF(Tabela7[[#This Row],[Preço que Ganhamos]]&gt;Tabela7[[#This Row],[Preço Estimado]],"Acima da Referência","Abaixo da Referência")</f>
        <v>Abaixo da Referência</v>
      </c>
      <c r="P6" s="59" t="s">
        <v>893</v>
      </c>
      <c r="R6" s="41">
        <v>21</v>
      </c>
      <c r="T6" s="41">
        <v>21</v>
      </c>
      <c r="U6" s="41" t="b">
        <f>itens_neg__4[[#This Row],[Itens ganhos de acordo c/ Pregoeiro]]=T6</f>
        <v>1</v>
      </c>
      <c r="Y6">
        <v>20</v>
      </c>
    </row>
    <row r="7" spans="1:25" ht="30" x14ac:dyDescent="0.25">
      <c r="A7">
        <v>61</v>
      </c>
      <c r="B7" s="52">
        <f>VLOOKUP(itens_neg[[#This Row],[Itens Ganhos Abaixo da REF]],TabelaModelo,5,FALSE)</f>
        <v>40.909999999999997</v>
      </c>
      <c r="C7" s="52">
        <f>VLOOKUP(itens_neg[[#This Row],[Itens Ganhos Abaixo da REF]],TabelaPrincipal[],11,FALSE)</f>
        <v>28</v>
      </c>
      <c r="D7" s="52">
        <f>VLOOKUP(itens_neg[[#This Row],[Itens Ganhos Abaixo da REF]],TabelaPrincipal[],12,FALSE)</f>
        <v>28</v>
      </c>
      <c r="E7" s="52" t="str">
        <f>IF(itens_neg[[#This Row],[Ganho]]&gt;itens_neg[[#This Row],[Referenc]],"Acima da Referência","Abaixo da Referência")</f>
        <v>Abaixo da Referência</v>
      </c>
      <c r="G7" s="4">
        <v>417</v>
      </c>
      <c r="H7" s="55" t="str">
        <f>VLOOKUP(Tabela7[[#This Row],[Itens Ganhos Acima da REF]],TabelaModelo,2,FALSE)</f>
        <v>Cloreto de sódio 3,4 mEq/mL (20%) solução injetável</v>
      </c>
      <c r="I7" s="57">
        <f>VLOOKUP(Tabela7[[#This Row],[Itens Ganhos Acima da REF]],TabelaModelo,4,FALSE)</f>
        <v>100</v>
      </c>
      <c r="J7" s="66">
        <f>VLOOKUP(Tabela7[[#This Row],[Itens Ganhos Acima da REF]],TabelaModelo,5,FALSE)</f>
        <v>1.39</v>
      </c>
      <c r="K7" s="59">
        <f>VLOOKUP(Tabela7[[#This Row],[Itens Ganhos Acima da REF]],TabelaPrincipal[],6,FALSE)</f>
        <v>1</v>
      </c>
      <c r="L7" s="59">
        <f>VLOOKUP(Tabela7[[#This Row],[Itens Ganhos Acima da REF]],TabelaPrincipal[],11,FALSE)</f>
        <v>1.1499999999999999</v>
      </c>
      <c r="M7" s="59">
        <f>VLOOKUP(Tabela7[[#This Row],[Itens Ganhos Acima da REF]],TabelaPrincipal[],12,FALSE)</f>
        <v>1.39</v>
      </c>
      <c r="N7" s="60">
        <f>Tabela7[[#This Row],[Qtd]]*Tabela7[[#This Row],[Preço Estimado]]</f>
        <v>139</v>
      </c>
      <c r="O7" s="60" t="str">
        <f>IF(Tabela7[[#This Row],[Preço que Ganhamos]]&gt;Tabela7[[#This Row],[Preço Estimado]],"Acima da Referência","Abaixo da Referência")</f>
        <v>Abaixo da Referência</v>
      </c>
      <c r="P7" s="59" t="s">
        <v>893</v>
      </c>
      <c r="R7" s="41">
        <v>25</v>
      </c>
      <c r="T7" s="41">
        <v>25</v>
      </c>
      <c r="U7" s="41" t="b">
        <f>itens_neg__4[[#This Row],[Itens ganhos de acordo c/ Pregoeiro]]=T7</f>
        <v>1</v>
      </c>
      <c r="Y7">
        <v>21</v>
      </c>
    </row>
    <row r="8" spans="1:25" ht="30" x14ac:dyDescent="0.25">
      <c r="A8">
        <v>73</v>
      </c>
      <c r="B8" s="52">
        <f>VLOOKUP(itens_neg[[#This Row],[Itens Ganhos Abaixo da REF]],TabelaModelo,5,FALSE)</f>
        <v>1.92</v>
      </c>
      <c r="C8" s="52">
        <f>VLOOKUP(itens_neg[[#This Row],[Itens Ganhos Abaixo da REF]],TabelaPrincipal[],11,FALSE)</f>
        <v>1.3</v>
      </c>
      <c r="D8" s="52">
        <f>VLOOKUP(itens_neg[[#This Row],[Itens Ganhos Abaixo da REF]],TabelaPrincipal[],12,FALSE)</f>
        <v>1.65</v>
      </c>
      <c r="E8" s="52" t="str">
        <f>IF(itens_neg[[#This Row],[Ganho]]&gt;itens_neg[[#This Row],[Referenc]],"Acima da Referência","Abaixo da Referência")</f>
        <v>Abaixo da Referência</v>
      </c>
      <c r="G8" s="4">
        <v>470</v>
      </c>
      <c r="H8" s="55" t="str">
        <f>VLOOKUP(Tabela7[[#This Row],[Itens Ganhos Acima da REF]],TabelaModelo,2,FALSE)</f>
        <v>Valerato de betametasona 1 mg/g creme dermatológico</v>
      </c>
      <c r="I8" s="57">
        <f>VLOOKUP(Tabela7[[#This Row],[Itens Ganhos Acima da REF]],TabelaModelo,4,FALSE)</f>
        <v>200</v>
      </c>
      <c r="J8" s="66">
        <f>VLOOKUP(Tabela7[[#This Row],[Itens Ganhos Acima da REF]],TabelaModelo,5,FALSE)</f>
        <v>7.98</v>
      </c>
      <c r="K8" s="59">
        <f>VLOOKUP(Tabela7[[#This Row],[Itens Ganhos Acima da REF]],TabelaPrincipal[],6,FALSE)</f>
        <v>7.85</v>
      </c>
      <c r="L8" s="59">
        <f>VLOOKUP(Tabela7[[#This Row],[Itens Ganhos Acima da REF]],TabelaPrincipal[],11,FALSE)</f>
        <v>9.0299999999999994</v>
      </c>
      <c r="M8" s="59">
        <f>VLOOKUP(Tabela7[[#This Row],[Itens Ganhos Acima da REF]],TabelaPrincipal[],12,FALSE)</f>
        <v>7.98</v>
      </c>
      <c r="N8" s="60">
        <f>Tabela7[[#This Row],[Qtd]]*Tabela7[[#This Row],[Preço Estimado]]</f>
        <v>1596</v>
      </c>
      <c r="O8" s="60" t="str">
        <f>IF(Tabela7[[#This Row],[Preço que Ganhamos]]&gt;Tabela7[[#This Row],[Preço Estimado]],"Acima da Referência","Abaixo da Referência")</f>
        <v>Abaixo da Referência</v>
      </c>
      <c r="P8" s="59" t="s">
        <v>893</v>
      </c>
      <c r="R8" s="41">
        <v>33</v>
      </c>
      <c r="T8" s="41">
        <v>33</v>
      </c>
      <c r="U8" s="41" t="b">
        <f>itens_neg__4[[#This Row],[Itens ganhos de acordo c/ Pregoeiro]]=T8</f>
        <v>1</v>
      </c>
      <c r="Y8">
        <v>25</v>
      </c>
    </row>
    <row r="9" spans="1:25" ht="30" x14ac:dyDescent="0.25">
      <c r="A9">
        <v>165</v>
      </c>
      <c r="B9" s="52">
        <f>VLOOKUP(itens_neg[[#This Row],[Itens Ganhos Abaixo da REF]],TabelaModelo,5,FALSE)</f>
        <v>0.63</v>
      </c>
      <c r="C9" s="52">
        <f>VLOOKUP(itens_neg[[#This Row],[Itens Ganhos Abaixo da REF]],TabelaPrincipal[],11,FALSE)</f>
        <v>0.63</v>
      </c>
      <c r="D9" s="52">
        <f>VLOOKUP(itens_neg[[#This Row],[Itens Ganhos Abaixo da REF]],TabelaPrincipal[],12,FALSE)</f>
        <v>0.63</v>
      </c>
      <c r="E9" s="52" t="str">
        <f>IF(itens_neg[[#This Row],[Ganho]]&gt;itens_neg[[#This Row],[Referenc]],"Acima da Referência","Abaixo da Referência")</f>
        <v>Abaixo da Referência</v>
      </c>
      <c r="G9" s="4">
        <v>523</v>
      </c>
      <c r="H9" s="55" t="str">
        <f>VLOOKUP(Tabela7[[#This Row],[Itens Ganhos Acima da REF]],TabelaModelo,2,FALSE)</f>
        <v>Nitroglicerina, dosagem: 5 mg/ml, aplicação: injetável</v>
      </c>
      <c r="I9" s="57">
        <f>VLOOKUP(Tabela7[[#This Row],[Itens Ganhos Acima da REF]],TabelaModelo,4,FALSE)</f>
        <v>50</v>
      </c>
      <c r="J9" s="66">
        <f>VLOOKUP(Tabela7[[#This Row],[Itens Ganhos Acima da REF]],TabelaModelo,5,FALSE)</f>
        <v>41.91</v>
      </c>
      <c r="K9" s="59">
        <f>VLOOKUP(Tabela7[[#This Row],[Itens Ganhos Acima da REF]],TabelaPrincipal[],6,FALSE)</f>
        <v>36</v>
      </c>
      <c r="L9" s="59">
        <f>VLOOKUP(Tabela7[[#This Row],[Itens Ganhos Acima da REF]],TabelaPrincipal[],11,FALSE)</f>
        <v>41.4</v>
      </c>
      <c r="M9" s="59">
        <f>VLOOKUP(Tabela7[[#This Row],[Itens Ganhos Acima da REF]],TabelaPrincipal[],12,FALSE)</f>
        <v>41.91</v>
      </c>
      <c r="N9" s="60">
        <f>Tabela7[[#This Row],[Qtd]]*Tabela7[[#This Row],[Preço Estimado]]</f>
        <v>2095.5</v>
      </c>
      <c r="O9" s="60" t="str">
        <f>IF(Tabela7[[#This Row],[Preço que Ganhamos]]&gt;Tabela7[[#This Row],[Preço Estimado]],"Acima da Referência","Abaixo da Referência")</f>
        <v>Abaixo da Referência</v>
      </c>
      <c r="P9" s="59" t="s">
        <v>893</v>
      </c>
      <c r="R9" s="41">
        <v>36</v>
      </c>
      <c r="T9" s="41">
        <v>36</v>
      </c>
      <c r="U9" s="41" t="b">
        <f>itens_neg__4[[#This Row],[Itens ganhos de acordo c/ Pregoeiro]]=T9</f>
        <v>1</v>
      </c>
      <c r="Y9">
        <v>26</v>
      </c>
    </row>
    <row r="10" spans="1:25" x14ac:dyDescent="0.25">
      <c r="A10">
        <v>166</v>
      </c>
      <c r="B10" s="52">
        <f>VLOOKUP(itens_neg[[#This Row],[Itens Ganhos Abaixo da REF]],TabelaModelo,5,FALSE)</f>
        <v>1.06</v>
      </c>
      <c r="C10" s="52">
        <f>VLOOKUP(itens_neg[[#This Row],[Itens Ganhos Abaixo da REF]],TabelaPrincipal[],11,FALSE)</f>
        <v>0.65</v>
      </c>
      <c r="D10" s="52">
        <f>VLOOKUP(itens_neg[[#This Row],[Itens Ganhos Abaixo da REF]],TabelaPrincipal[],12,FALSE)</f>
        <v>0.65</v>
      </c>
      <c r="E10" s="52" t="str">
        <f>IF(itens_neg[[#This Row],[Ganho]]&gt;itens_neg[[#This Row],[Referenc]],"Acima da Referência","Abaixo da Referência")</f>
        <v>Abaixo da Referência</v>
      </c>
      <c r="G10" s="63">
        <v>526</v>
      </c>
      <c r="H10" s="56" t="str">
        <f>VLOOKUP(Tabela7[[#This Row],[Itens Ganhos Acima da REF]],TabelaModelo,2,FALSE)</f>
        <v>Bromoprida 5 mg/mL solução injetável</v>
      </c>
      <c r="I10" s="58">
        <f>VLOOKUP(Tabela7[[#This Row],[Itens Ganhos Acima da REF]],TabelaModelo,4,FALSE)</f>
        <v>100</v>
      </c>
      <c r="J10" s="67">
        <f>VLOOKUP(Tabela7[[#This Row],[Itens Ganhos Acima da REF]],TabelaModelo,5,FALSE)</f>
        <v>1.9</v>
      </c>
      <c r="K10" s="61">
        <f>VLOOKUP(Tabela7[[#This Row],[Itens Ganhos Acima da REF]],TabelaPrincipal[],6,FALSE)</f>
        <v>1.5</v>
      </c>
      <c r="L10" s="61">
        <f>VLOOKUP(Tabela7[[#This Row],[Itens Ganhos Acima da REF]],TabelaPrincipal[],11,FALSE)</f>
        <v>1.73</v>
      </c>
      <c r="M10" s="61">
        <f>VLOOKUP(Tabela7[[#This Row],[Itens Ganhos Acima da REF]],TabelaPrincipal[],12,FALSE)</f>
        <v>1.9</v>
      </c>
      <c r="N10" s="62">
        <f>Tabela7[[#This Row],[Qtd]]*Tabela7[[#This Row],[Preço Estimado]]</f>
        <v>190</v>
      </c>
      <c r="O10" s="62" t="str">
        <f>IF(Tabela7[[#This Row],[Preço que Ganhamos]]&gt;Tabela7[[#This Row],[Preço Estimado]],"Acima da Referência","Abaixo da Referência")</f>
        <v>Abaixo da Referência</v>
      </c>
      <c r="P10" s="61" t="s">
        <v>893</v>
      </c>
      <c r="R10" s="41">
        <v>47</v>
      </c>
      <c r="T10" s="41">
        <v>47</v>
      </c>
      <c r="U10" s="41" t="b">
        <f>itens_neg__4[[#This Row],[Itens ganhos de acordo c/ Pregoeiro]]=T10</f>
        <v>1</v>
      </c>
      <c r="Y10">
        <v>33</v>
      </c>
    </row>
    <row r="11" spans="1:25" x14ac:dyDescent="0.25">
      <c r="A11">
        <v>170</v>
      </c>
      <c r="B11" s="52">
        <f>VLOOKUP(itens_neg[[#This Row],[Itens Ganhos Abaixo da REF]],TabelaModelo,5,FALSE)</f>
        <v>0.61</v>
      </c>
      <c r="C11" s="52">
        <f>VLOOKUP(itens_neg[[#This Row],[Itens Ganhos Abaixo da REF]],TabelaPrincipal[],11,FALSE)</f>
        <v>0.61</v>
      </c>
      <c r="D11" s="52">
        <f>VLOOKUP(itens_neg[[#This Row],[Itens Ganhos Abaixo da REF]],TabelaPrincipal[],12,FALSE)</f>
        <v>0.61</v>
      </c>
      <c r="E11" s="52" t="str">
        <f>IF(itens_neg[[#This Row],[Ganho]]&gt;itens_neg[[#This Row],[Referenc]],"Acima da Referência","Abaixo da Referência")</f>
        <v>Abaixo da Referência</v>
      </c>
      <c r="G11" s="64"/>
      <c r="H11" s="65"/>
      <c r="I11" s="58"/>
      <c r="J11" s="61"/>
      <c r="K11" s="61"/>
      <c r="L11" s="61"/>
      <c r="M11" s="61"/>
      <c r="N11" s="62">
        <f>SUBTOTAL(109,Tabela7[Total])</f>
        <v>23894.6</v>
      </c>
      <c r="O11" s="62"/>
      <c r="P11" s="47"/>
      <c r="R11" s="41">
        <v>61</v>
      </c>
      <c r="T11" s="41">
        <v>61</v>
      </c>
      <c r="U11" s="41" t="b">
        <f>itens_neg__4[[#This Row],[Itens ganhos de acordo c/ Pregoeiro]]=T11</f>
        <v>1</v>
      </c>
      <c r="Y11">
        <v>36</v>
      </c>
    </row>
    <row r="12" spans="1:25" x14ac:dyDescent="0.25">
      <c r="A12">
        <v>173</v>
      </c>
      <c r="B12" s="52">
        <f>VLOOKUP(itens_neg[[#This Row],[Itens Ganhos Abaixo da REF]],TabelaModelo,5,FALSE)</f>
        <v>10.74</v>
      </c>
      <c r="C12" s="52">
        <f>VLOOKUP(itens_neg[[#This Row],[Itens Ganhos Abaixo da REF]],TabelaPrincipal[],11,FALSE)</f>
        <v>8.9499999999999993</v>
      </c>
      <c r="D12" s="52">
        <f>VLOOKUP(itens_neg[[#This Row],[Itens Ganhos Abaixo da REF]],TabelaPrincipal[],12,FALSE)</f>
        <v>9</v>
      </c>
      <c r="E12" s="52" t="str">
        <f>IF(itens_neg[[#This Row],[Ganho]]&gt;itens_neg[[#This Row],[Referenc]],"Acima da Referência","Abaixo da Referência")</f>
        <v>Abaixo da Referência</v>
      </c>
      <c r="R12" s="41">
        <v>73</v>
      </c>
      <c r="T12" s="41">
        <v>73</v>
      </c>
      <c r="U12" s="41" t="b">
        <f>itens_neg__4[[#This Row],[Itens ganhos de acordo c/ Pregoeiro]]=T12</f>
        <v>1</v>
      </c>
      <c r="Y12">
        <v>47</v>
      </c>
    </row>
    <row r="13" spans="1:25" x14ac:dyDescent="0.25">
      <c r="A13">
        <v>181</v>
      </c>
      <c r="B13" s="52">
        <f>VLOOKUP(itens_neg[[#This Row],[Itens Ganhos Abaixo da REF]],TabelaModelo,5,FALSE)</f>
        <v>2.25</v>
      </c>
      <c r="C13" s="52">
        <f>VLOOKUP(itens_neg[[#This Row],[Itens Ganhos Abaixo da REF]],TabelaPrincipal[],11,FALSE)</f>
        <v>1.4</v>
      </c>
      <c r="D13" s="52">
        <f>VLOOKUP(itens_neg[[#This Row],[Itens Ganhos Abaixo da REF]],TabelaPrincipal[],12,FALSE)</f>
        <v>1.4</v>
      </c>
      <c r="E13" s="52" t="str">
        <f>IF(itens_neg[[#This Row],[Ganho]]&gt;itens_neg[[#This Row],[Referenc]],"Acima da Referência","Abaixo da Referência")</f>
        <v>Abaixo da Referência</v>
      </c>
      <c r="R13" s="41">
        <v>110</v>
      </c>
      <c r="T13" s="41">
        <v>110</v>
      </c>
      <c r="U13" s="41" t="b">
        <f>itens_neg__4[[#This Row],[Itens ganhos de acordo c/ Pregoeiro]]=T13</f>
        <v>1</v>
      </c>
      <c r="Y13">
        <v>61</v>
      </c>
    </row>
    <row r="14" spans="1:25" x14ac:dyDescent="0.25">
      <c r="A14">
        <v>183</v>
      </c>
      <c r="B14" s="52">
        <f>VLOOKUP(itens_neg[[#This Row],[Itens Ganhos Abaixo da REF]],TabelaModelo,5,FALSE)</f>
        <v>2.16</v>
      </c>
      <c r="C14" s="52">
        <f>VLOOKUP(itens_neg[[#This Row],[Itens Ganhos Abaixo da REF]],TabelaPrincipal[],11,FALSE)</f>
        <v>2.16</v>
      </c>
      <c r="D14" s="52">
        <f>VLOOKUP(itens_neg[[#This Row],[Itens Ganhos Abaixo da REF]],TabelaPrincipal[],12,FALSE)</f>
        <v>2.16</v>
      </c>
      <c r="E14" s="52" t="str">
        <f>IF(itens_neg[[#This Row],[Ganho]]&gt;itens_neg[[#This Row],[Referenc]],"Acima da Referência","Abaixo da Referência")</f>
        <v>Abaixo da Referência</v>
      </c>
      <c r="R14" s="41">
        <v>111</v>
      </c>
      <c r="T14" s="41">
        <v>111</v>
      </c>
      <c r="U14" s="41" t="b">
        <f>itens_neg__4[[#This Row],[Itens ganhos de acordo c/ Pregoeiro]]=T14</f>
        <v>1</v>
      </c>
      <c r="Y14">
        <v>73</v>
      </c>
    </row>
    <row r="15" spans="1:25" x14ac:dyDescent="0.25">
      <c r="A15">
        <v>185</v>
      </c>
      <c r="B15" s="52">
        <f>VLOOKUP(itens_neg[[#This Row],[Itens Ganhos Abaixo da REF]],TabelaModelo,5,FALSE)</f>
        <v>2.27</v>
      </c>
      <c r="C15" s="52">
        <f>VLOOKUP(itens_neg[[#This Row],[Itens Ganhos Abaixo da REF]],TabelaPrincipal[],11,FALSE)</f>
        <v>2.27</v>
      </c>
      <c r="D15" s="52">
        <f>VLOOKUP(itens_neg[[#This Row],[Itens Ganhos Abaixo da REF]],TabelaPrincipal[],12,FALSE)</f>
        <v>2.27</v>
      </c>
      <c r="E15" s="52" t="str">
        <f>IF(itens_neg[[#This Row],[Ganho]]&gt;itens_neg[[#This Row],[Referenc]],"Acima da Referência","Abaixo da Referência")</f>
        <v>Abaixo da Referência</v>
      </c>
      <c r="R15" s="41">
        <v>165</v>
      </c>
      <c r="T15" s="41">
        <v>165</v>
      </c>
      <c r="U15" s="41" t="b">
        <f>itens_neg__4[[#This Row],[Itens ganhos de acordo c/ Pregoeiro]]=T15</f>
        <v>1</v>
      </c>
      <c r="Y15">
        <v>110</v>
      </c>
    </row>
    <row r="16" spans="1:25" x14ac:dyDescent="0.25">
      <c r="A16">
        <v>187</v>
      </c>
      <c r="B16" s="52">
        <f>VLOOKUP(itens_neg[[#This Row],[Itens Ganhos Abaixo da REF]],TabelaModelo,5,FALSE)</f>
        <v>15.56</v>
      </c>
      <c r="C16" s="52">
        <f>VLOOKUP(itens_neg[[#This Row],[Itens Ganhos Abaixo da REF]],TabelaPrincipal[],11,FALSE)</f>
        <v>15.56</v>
      </c>
      <c r="D16" s="52">
        <f>VLOOKUP(itens_neg[[#This Row],[Itens Ganhos Abaixo da REF]],TabelaPrincipal[],12,FALSE)</f>
        <v>15.56</v>
      </c>
      <c r="E16" s="52" t="str">
        <f>IF(itens_neg[[#This Row],[Ganho]]&gt;itens_neg[[#This Row],[Referenc]],"Acima da Referência","Abaixo da Referência")</f>
        <v>Abaixo da Referência</v>
      </c>
      <c r="R16" s="41">
        <v>166</v>
      </c>
      <c r="T16" s="41">
        <v>166</v>
      </c>
      <c r="U16" s="41" t="b">
        <f>itens_neg__4[[#This Row],[Itens ganhos de acordo c/ Pregoeiro]]=T16</f>
        <v>1</v>
      </c>
      <c r="Y16">
        <v>111</v>
      </c>
    </row>
    <row r="17" spans="1:25" x14ac:dyDescent="0.25">
      <c r="A17">
        <v>192</v>
      </c>
      <c r="B17" s="52">
        <f>VLOOKUP(itens_neg[[#This Row],[Itens Ganhos Abaixo da REF]],TabelaModelo,5,FALSE)</f>
        <v>139.97</v>
      </c>
      <c r="C17" s="52">
        <f>VLOOKUP(itens_neg[[#This Row],[Itens Ganhos Abaixo da REF]],TabelaPrincipal[],11,FALSE)</f>
        <v>51.65</v>
      </c>
      <c r="D17" s="52">
        <f>VLOOKUP(itens_neg[[#This Row],[Itens Ganhos Abaixo da REF]],TabelaPrincipal[],12,FALSE)</f>
        <v>119</v>
      </c>
      <c r="E17" s="52" t="str">
        <f>IF(itens_neg[[#This Row],[Ganho]]&gt;itens_neg[[#This Row],[Referenc]],"Acima da Referência","Abaixo da Referência")</f>
        <v>Abaixo da Referência</v>
      </c>
      <c r="R17" s="41">
        <v>170</v>
      </c>
      <c r="T17" s="41">
        <v>170</v>
      </c>
      <c r="U17" s="41" t="b">
        <f>itens_neg__4[[#This Row],[Itens ganhos de acordo c/ Pregoeiro]]=T17</f>
        <v>1</v>
      </c>
      <c r="Y17">
        <v>165</v>
      </c>
    </row>
    <row r="18" spans="1:25" x14ac:dyDescent="0.25">
      <c r="A18">
        <v>193</v>
      </c>
      <c r="B18" s="52">
        <f>VLOOKUP(itens_neg[[#This Row],[Itens Ganhos Abaixo da REF]],TabelaModelo,5,FALSE)</f>
        <v>120.71</v>
      </c>
      <c r="C18" s="52">
        <f>VLOOKUP(itens_neg[[#This Row],[Itens Ganhos Abaixo da REF]],TabelaPrincipal[],11,FALSE)</f>
        <v>34</v>
      </c>
      <c r="D18" s="52">
        <f>VLOOKUP(itens_neg[[#This Row],[Itens Ganhos Abaixo da REF]],TabelaPrincipal[],12,FALSE)</f>
        <v>100</v>
      </c>
      <c r="E18" s="52" t="str">
        <f>IF(itens_neg[[#This Row],[Ganho]]&gt;itens_neg[[#This Row],[Referenc]],"Acima da Referência","Abaixo da Referência")</f>
        <v>Abaixo da Referência</v>
      </c>
      <c r="R18" s="41">
        <v>173</v>
      </c>
      <c r="T18" s="41">
        <v>173</v>
      </c>
      <c r="U18" s="41" t="b">
        <f>itens_neg__4[[#This Row],[Itens ganhos de acordo c/ Pregoeiro]]=T18</f>
        <v>1</v>
      </c>
      <c r="Y18">
        <v>166</v>
      </c>
    </row>
    <row r="19" spans="1:25" x14ac:dyDescent="0.25">
      <c r="A19">
        <v>197</v>
      </c>
      <c r="B19" s="52">
        <f>VLOOKUP(itens_neg[[#This Row],[Itens Ganhos Abaixo da REF]],TabelaModelo,5,FALSE)</f>
        <v>9.65</v>
      </c>
      <c r="C19" s="52">
        <f>VLOOKUP(itens_neg[[#This Row],[Itens Ganhos Abaixo da REF]],TabelaPrincipal[],11,FALSE)</f>
        <v>6.4</v>
      </c>
      <c r="D19" s="52">
        <f>VLOOKUP(itens_neg[[#This Row],[Itens Ganhos Abaixo da REF]],TabelaPrincipal[],12,FALSE)</f>
        <v>6.65</v>
      </c>
      <c r="E19" s="52" t="str">
        <f>IF(itens_neg[[#This Row],[Ganho]]&gt;itens_neg[[#This Row],[Referenc]],"Acima da Referência","Abaixo da Referência")</f>
        <v>Abaixo da Referência</v>
      </c>
      <c r="R19" s="41">
        <v>177</v>
      </c>
      <c r="T19" s="41">
        <v>177</v>
      </c>
      <c r="U19" s="41" t="b">
        <f>itens_neg__4[[#This Row],[Itens ganhos de acordo c/ Pregoeiro]]=T19</f>
        <v>1</v>
      </c>
      <c r="Y19">
        <v>170</v>
      </c>
    </row>
    <row r="20" spans="1:25" x14ac:dyDescent="0.25">
      <c r="A20">
        <v>199</v>
      </c>
      <c r="B20" s="52">
        <f>VLOOKUP(itens_neg[[#This Row],[Itens Ganhos Abaixo da REF]],TabelaModelo,5,FALSE)</f>
        <v>7.78</v>
      </c>
      <c r="C20" s="52">
        <f>VLOOKUP(itens_neg[[#This Row],[Itens Ganhos Abaixo da REF]],TabelaPrincipal[],11,FALSE)</f>
        <v>4.7</v>
      </c>
      <c r="D20" s="52">
        <f>VLOOKUP(itens_neg[[#This Row],[Itens Ganhos Abaixo da REF]],TabelaPrincipal[],12,FALSE)</f>
        <v>4.9000000000000004</v>
      </c>
      <c r="E20" s="52" t="str">
        <f>IF(itens_neg[[#This Row],[Ganho]]&gt;itens_neg[[#This Row],[Referenc]],"Acima da Referência","Abaixo da Referência")</f>
        <v>Abaixo da Referência</v>
      </c>
      <c r="R20" s="41">
        <v>181</v>
      </c>
      <c r="T20" s="41">
        <v>181</v>
      </c>
      <c r="U20" s="41" t="b">
        <f>itens_neg__4[[#This Row],[Itens ganhos de acordo c/ Pregoeiro]]=T20</f>
        <v>1</v>
      </c>
      <c r="Y20">
        <v>173</v>
      </c>
    </row>
    <row r="21" spans="1:25" x14ac:dyDescent="0.25">
      <c r="A21">
        <v>227</v>
      </c>
      <c r="B21" s="52">
        <f>VLOOKUP(itens_neg[[#This Row],[Itens Ganhos Abaixo da REF]],TabelaModelo,5,FALSE)</f>
        <v>2.5299999999999998</v>
      </c>
      <c r="C21" s="52">
        <f>VLOOKUP(itens_neg[[#This Row],[Itens Ganhos Abaixo da REF]],TabelaPrincipal[],11,FALSE)</f>
        <v>2.5299999999999998</v>
      </c>
      <c r="D21" s="52">
        <f>VLOOKUP(itens_neg[[#This Row],[Itens Ganhos Abaixo da REF]],TabelaPrincipal[],12,FALSE)</f>
        <v>2.5299999999999998</v>
      </c>
      <c r="E21" s="52" t="str">
        <f>IF(itens_neg[[#This Row],[Ganho]]&gt;itens_neg[[#This Row],[Referenc]],"Acima da Referência","Abaixo da Referência")</f>
        <v>Abaixo da Referência</v>
      </c>
      <c r="R21" s="41">
        <v>183</v>
      </c>
      <c r="T21" s="41">
        <v>183</v>
      </c>
      <c r="U21" s="41" t="b">
        <f>itens_neg__4[[#This Row],[Itens ganhos de acordo c/ Pregoeiro]]=T21</f>
        <v>1</v>
      </c>
      <c r="Y21">
        <v>177</v>
      </c>
    </row>
    <row r="22" spans="1:25" x14ac:dyDescent="0.25">
      <c r="A22">
        <v>228</v>
      </c>
      <c r="B22" s="52">
        <f>VLOOKUP(itens_neg[[#This Row],[Itens Ganhos Abaixo da REF]],TabelaModelo,5,FALSE)</f>
        <v>1.91</v>
      </c>
      <c r="C22" s="52">
        <f>VLOOKUP(itens_neg[[#This Row],[Itens Ganhos Abaixo da REF]],TabelaPrincipal[],11,FALSE)</f>
        <v>1.91</v>
      </c>
      <c r="D22" s="52">
        <f>VLOOKUP(itens_neg[[#This Row],[Itens Ganhos Abaixo da REF]],TabelaPrincipal[],12,FALSE)</f>
        <v>1.91</v>
      </c>
      <c r="E22" s="52" t="str">
        <f>IF(itens_neg[[#This Row],[Ganho]]&gt;itens_neg[[#This Row],[Referenc]],"Acima da Referência","Abaixo da Referência")</f>
        <v>Abaixo da Referência</v>
      </c>
      <c r="R22" s="41">
        <v>185</v>
      </c>
      <c r="T22" s="41">
        <v>185</v>
      </c>
      <c r="U22" s="41" t="b">
        <f>itens_neg__4[[#This Row],[Itens ganhos de acordo c/ Pregoeiro]]=T22</f>
        <v>1</v>
      </c>
      <c r="Y22">
        <v>181</v>
      </c>
    </row>
    <row r="23" spans="1:25" x14ac:dyDescent="0.25">
      <c r="A23">
        <v>229</v>
      </c>
      <c r="B23" s="52">
        <f>VLOOKUP(itens_neg[[#This Row],[Itens Ganhos Abaixo da REF]],TabelaModelo,5,FALSE)</f>
        <v>2.0299999999999998</v>
      </c>
      <c r="C23" s="52">
        <f>VLOOKUP(itens_neg[[#This Row],[Itens Ganhos Abaixo da REF]],TabelaPrincipal[],11,FALSE)</f>
        <v>2.0299999999999998</v>
      </c>
      <c r="D23" s="52">
        <f>VLOOKUP(itens_neg[[#This Row],[Itens Ganhos Abaixo da REF]],TabelaPrincipal[],12,FALSE)</f>
        <v>2.0299999999999998</v>
      </c>
      <c r="E23" s="52" t="str">
        <f>IF(itens_neg[[#This Row],[Ganho]]&gt;itens_neg[[#This Row],[Referenc]],"Acima da Referência","Abaixo da Referência")</f>
        <v>Abaixo da Referência</v>
      </c>
      <c r="R23" s="41">
        <v>186</v>
      </c>
      <c r="T23" s="41">
        <v>186</v>
      </c>
      <c r="U23" s="41" t="b">
        <f>itens_neg__4[[#This Row],[Itens ganhos de acordo c/ Pregoeiro]]=T23</f>
        <v>1</v>
      </c>
      <c r="Y23">
        <v>183</v>
      </c>
    </row>
    <row r="24" spans="1:25" x14ac:dyDescent="0.25">
      <c r="A24">
        <v>231</v>
      </c>
      <c r="B24" s="52">
        <f>VLOOKUP(itens_neg[[#This Row],[Itens Ganhos Abaixo da REF]],TabelaModelo,5,FALSE)</f>
        <v>2.99</v>
      </c>
      <c r="C24" s="52">
        <f>VLOOKUP(itens_neg[[#This Row],[Itens Ganhos Abaixo da REF]],TabelaPrincipal[],11,FALSE)</f>
        <v>2.99</v>
      </c>
      <c r="D24" s="52">
        <f>VLOOKUP(itens_neg[[#This Row],[Itens Ganhos Abaixo da REF]],TabelaPrincipal[],12,FALSE)</f>
        <v>2.99</v>
      </c>
      <c r="E24" s="52" t="str">
        <f>IF(itens_neg[[#This Row],[Ganho]]&gt;itens_neg[[#This Row],[Referenc]],"Acima da Referência","Abaixo da Referência")</f>
        <v>Abaixo da Referência</v>
      </c>
      <c r="R24" s="41">
        <v>187</v>
      </c>
      <c r="T24" s="41">
        <v>187</v>
      </c>
      <c r="U24" s="41" t="b">
        <f>itens_neg__4[[#This Row],[Itens ganhos de acordo c/ Pregoeiro]]=T24</f>
        <v>1</v>
      </c>
      <c r="Y24">
        <v>185</v>
      </c>
    </row>
    <row r="25" spans="1:25" x14ac:dyDescent="0.25">
      <c r="A25">
        <v>232</v>
      </c>
      <c r="B25" s="52">
        <f>VLOOKUP(itens_neg[[#This Row],[Itens Ganhos Abaixo da REF]],TabelaModelo,5,FALSE)</f>
        <v>1.92</v>
      </c>
      <c r="C25" s="52">
        <f>VLOOKUP(itens_neg[[#This Row],[Itens Ganhos Abaixo da REF]],TabelaPrincipal[],11,FALSE)</f>
        <v>1.92</v>
      </c>
      <c r="D25" s="52">
        <f>VLOOKUP(itens_neg[[#This Row],[Itens Ganhos Abaixo da REF]],TabelaPrincipal[],12,FALSE)</f>
        <v>1.92</v>
      </c>
      <c r="E25" s="52" t="str">
        <f>IF(itens_neg[[#This Row],[Ganho]]&gt;itens_neg[[#This Row],[Referenc]],"Acima da Referência","Abaixo da Referência")</f>
        <v>Abaixo da Referência</v>
      </c>
      <c r="R25" s="41">
        <v>191</v>
      </c>
      <c r="T25" s="41">
        <v>191</v>
      </c>
      <c r="U25" s="41" t="b">
        <f>itens_neg__4[[#This Row],[Itens ganhos de acordo c/ Pregoeiro]]=T25</f>
        <v>1</v>
      </c>
      <c r="Y25">
        <v>186</v>
      </c>
    </row>
    <row r="26" spans="1:25" x14ac:dyDescent="0.25">
      <c r="A26">
        <v>233</v>
      </c>
      <c r="B26" s="52">
        <f>VLOOKUP(itens_neg[[#This Row],[Itens Ganhos Abaixo da REF]],TabelaModelo,5,FALSE)</f>
        <v>1.87</v>
      </c>
      <c r="C26" s="52">
        <f>VLOOKUP(itens_neg[[#This Row],[Itens Ganhos Abaixo da REF]],TabelaPrincipal[],11,FALSE)</f>
        <v>1.87</v>
      </c>
      <c r="D26" s="52">
        <f>VLOOKUP(itens_neg[[#This Row],[Itens Ganhos Abaixo da REF]],TabelaPrincipal[],12,FALSE)</f>
        <v>1.87</v>
      </c>
      <c r="E26" s="52" t="str">
        <f>IF(itens_neg[[#This Row],[Ganho]]&gt;itens_neg[[#This Row],[Referenc]],"Acima da Referência","Abaixo da Referência")</f>
        <v>Abaixo da Referência</v>
      </c>
      <c r="R26" s="41">
        <v>192</v>
      </c>
      <c r="T26" s="41">
        <v>192</v>
      </c>
      <c r="U26" s="41" t="b">
        <f>itens_neg__4[[#This Row],[Itens ganhos de acordo c/ Pregoeiro]]=T26</f>
        <v>1</v>
      </c>
      <c r="Y26">
        <v>187</v>
      </c>
    </row>
    <row r="27" spans="1:25" x14ac:dyDescent="0.25">
      <c r="A27">
        <v>234</v>
      </c>
      <c r="B27" s="52">
        <f>VLOOKUP(itens_neg[[#This Row],[Itens Ganhos Abaixo da REF]],TabelaModelo,5,FALSE)</f>
        <v>2.17</v>
      </c>
      <c r="C27" s="52">
        <f>VLOOKUP(itens_neg[[#This Row],[Itens Ganhos Abaixo da REF]],TabelaPrincipal[],11,FALSE)</f>
        <v>2.17</v>
      </c>
      <c r="D27" s="52">
        <f>VLOOKUP(itens_neg[[#This Row],[Itens Ganhos Abaixo da REF]],TabelaPrincipal[],12,FALSE)</f>
        <v>2.17</v>
      </c>
      <c r="E27" s="52" t="str">
        <f>IF(itens_neg[[#This Row],[Ganho]]&gt;itens_neg[[#This Row],[Referenc]],"Acima da Referência","Abaixo da Referência")</f>
        <v>Abaixo da Referência</v>
      </c>
      <c r="R27" s="41">
        <v>193</v>
      </c>
      <c r="T27" s="41">
        <v>193</v>
      </c>
      <c r="U27" s="41" t="b">
        <f>itens_neg__4[[#This Row],[Itens ganhos de acordo c/ Pregoeiro]]=T27</f>
        <v>1</v>
      </c>
      <c r="Y27">
        <v>189</v>
      </c>
    </row>
    <row r="28" spans="1:25" x14ac:dyDescent="0.25">
      <c r="A28">
        <v>235</v>
      </c>
      <c r="B28" s="52">
        <f>VLOOKUP(itens_neg[[#This Row],[Itens Ganhos Abaixo da REF]],TabelaModelo,5,FALSE)</f>
        <v>4.41</v>
      </c>
      <c r="C28" s="52">
        <f>VLOOKUP(itens_neg[[#This Row],[Itens Ganhos Abaixo da REF]],TabelaPrincipal[],11,FALSE)</f>
        <v>4.41</v>
      </c>
      <c r="D28" s="52">
        <f>VLOOKUP(itens_neg[[#This Row],[Itens Ganhos Abaixo da REF]],TabelaPrincipal[],12,FALSE)</f>
        <v>4.41</v>
      </c>
      <c r="E28" s="52" t="str">
        <f>IF(itens_neg[[#This Row],[Ganho]]&gt;itens_neg[[#This Row],[Referenc]],"Acima da Referência","Abaixo da Referência")</f>
        <v>Abaixo da Referência</v>
      </c>
      <c r="R28" s="41">
        <v>197</v>
      </c>
      <c r="T28" s="41">
        <v>197</v>
      </c>
      <c r="U28" s="41" t="b">
        <f>itens_neg__4[[#This Row],[Itens ganhos de acordo c/ Pregoeiro]]=T28</f>
        <v>1</v>
      </c>
      <c r="Y28">
        <v>191</v>
      </c>
    </row>
    <row r="29" spans="1:25" x14ac:dyDescent="0.25">
      <c r="A29">
        <v>236</v>
      </c>
      <c r="B29" s="52">
        <f>VLOOKUP(itens_neg[[#This Row],[Itens Ganhos Abaixo da REF]],TabelaModelo,5,FALSE)</f>
        <v>1.72</v>
      </c>
      <c r="C29" s="52">
        <f>VLOOKUP(itens_neg[[#This Row],[Itens Ganhos Abaixo da REF]],TabelaPrincipal[],11,FALSE)</f>
        <v>1.72</v>
      </c>
      <c r="D29" s="52">
        <f>VLOOKUP(itens_neg[[#This Row],[Itens Ganhos Abaixo da REF]],TabelaPrincipal[],12,FALSE)</f>
        <v>1.72</v>
      </c>
      <c r="E29" s="52" t="str">
        <f>IF(itens_neg[[#This Row],[Ganho]]&gt;itens_neg[[#This Row],[Referenc]],"Acima da Referência","Abaixo da Referência")</f>
        <v>Abaixo da Referência</v>
      </c>
      <c r="R29" s="41">
        <v>199</v>
      </c>
      <c r="T29" s="41">
        <v>199</v>
      </c>
      <c r="U29" s="41" t="b">
        <f>itens_neg__4[[#This Row],[Itens ganhos de acordo c/ Pregoeiro]]=T29</f>
        <v>1</v>
      </c>
      <c r="Y29">
        <v>192</v>
      </c>
    </row>
    <row r="30" spans="1:25" x14ac:dyDescent="0.25">
      <c r="A30">
        <v>237</v>
      </c>
      <c r="B30" s="52">
        <f>VLOOKUP(itens_neg[[#This Row],[Itens Ganhos Abaixo da REF]],TabelaModelo,5,FALSE)</f>
        <v>1.61</v>
      </c>
      <c r="C30" s="52">
        <f>VLOOKUP(itens_neg[[#This Row],[Itens Ganhos Abaixo da REF]],TabelaPrincipal[],11,FALSE)</f>
        <v>1.61</v>
      </c>
      <c r="D30" s="52">
        <f>VLOOKUP(itens_neg[[#This Row],[Itens Ganhos Abaixo da REF]],TabelaPrincipal[],12,FALSE)</f>
        <v>1.61</v>
      </c>
      <c r="E30" s="52" t="str">
        <f>IF(itens_neg[[#This Row],[Ganho]]&gt;itens_neg[[#This Row],[Referenc]],"Acima da Referência","Abaixo da Referência")</f>
        <v>Abaixo da Referência</v>
      </c>
      <c r="R30" s="41">
        <v>201</v>
      </c>
      <c r="T30" s="41">
        <v>201</v>
      </c>
      <c r="U30" s="41" t="b">
        <f>itens_neg__4[[#This Row],[Itens ganhos de acordo c/ Pregoeiro]]=T30</f>
        <v>1</v>
      </c>
      <c r="Y30">
        <v>193</v>
      </c>
    </row>
    <row r="31" spans="1:25" x14ac:dyDescent="0.25">
      <c r="A31">
        <v>238</v>
      </c>
      <c r="B31" s="52">
        <f>VLOOKUP(itens_neg[[#This Row],[Itens Ganhos Abaixo da REF]],TabelaModelo,5,FALSE)</f>
        <v>1.69</v>
      </c>
      <c r="C31" s="52">
        <f>VLOOKUP(itens_neg[[#This Row],[Itens Ganhos Abaixo da REF]],TabelaPrincipal[],11,FALSE)</f>
        <v>1.69</v>
      </c>
      <c r="D31" s="52">
        <f>VLOOKUP(itens_neg[[#This Row],[Itens Ganhos Abaixo da REF]],TabelaPrincipal[],12,FALSE)</f>
        <v>1.69</v>
      </c>
      <c r="E31" s="52" t="str">
        <f>IF(itens_neg[[#This Row],[Ganho]]&gt;itens_neg[[#This Row],[Referenc]],"Acima da Referência","Abaixo da Referência")</f>
        <v>Abaixo da Referência</v>
      </c>
      <c r="R31" s="41">
        <v>207</v>
      </c>
      <c r="T31" s="41">
        <v>207</v>
      </c>
      <c r="U31" s="41" t="b">
        <f>itens_neg__4[[#This Row],[Itens ganhos de acordo c/ Pregoeiro]]=T31</f>
        <v>1</v>
      </c>
      <c r="Y31">
        <v>197</v>
      </c>
    </row>
    <row r="32" spans="1:25" x14ac:dyDescent="0.25">
      <c r="A32">
        <v>240</v>
      </c>
      <c r="B32" s="52">
        <f>VLOOKUP(itens_neg[[#This Row],[Itens Ganhos Abaixo da REF]],TabelaModelo,5,FALSE)</f>
        <v>6.53</v>
      </c>
      <c r="C32" s="52">
        <f>VLOOKUP(itens_neg[[#This Row],[Itens Ganhos Abaixo da REF]],TabelaPrincipal[],11,FALSE)</f>
        <v>1</v>
      </c>
      <c r="D32" s="52">
        <f>VLOOKUP(itens_neg[[#This Row],[Itens Ganhos Abaixo da REF]],TabelaPrincipal[],12,FALSE)</f>
        <v>4</v>
      </c>
      <c r="E32" s="52" t="str">
        <f>IF(itens_neg[[#This Row],[Ganho]]&gt;itens_neg[[#This Row],[Referenc]],"Acima da Referência","Abaixo da Referência")</f>
        <v>Abaixo da Referência</v>
      </c>
      <c r="R32" s="41">
        <v>215</v>
      </c>
      <c r="T32" s="41">
        <v>215</v>
      </c>
      <c r="U32" s="41" t="b">
        <f>itens_neg__4[[#This Row],[Itens ganhos de acordo c/ Pregoeiro]]=T32</f>
        <v>1</v>
      </c>
      <c r="Y32">
        <v>199</v>
      </c>
    </row>
    <row r="33" spans="1:25" x14ac:dyDescent="0.25">
      <c r="A33">
        <v>242</v>
      </c>
      <c r="B33" s="52">
        <f>VLOOKUP(itens_neg[[#This Row],[Itens Ganhos Abaixo da REF]],TabelaModelo,5,FALSE)</f>
        <v>4.9800000000000004</v>
      </c>
      <c r="C33" s="52">
        <f>VLOOKUP(itens_neg[[#This Row],[Itens Ganhos Abaixo da REF]],TabelaPrincipal[],11,FALSE)</f>
        <v>0.8</v>
      </c>
      <c r="D33" s="52">
        <f>VLOOKUP(itens_neg[[#This Row],[Itens Ganhos Abaixo da REF]],TabelaPrincipal[],12,FALSE)</f>
        <v>4.9000000000000004</v>
      </c>
      <c r="E33" s="52" t="str">
        <f>IF(itens_neg[[#This Row],[Ganho]]&gt;itens_neg[[#This Row],[Referenc]],"Acima da Referência","Abaixo da Referência")</f>
        <v>Abaixo da Referência</v>
      </c>
      <c r="R33" s="41">
        <v>216</v>
      </c>
      <c r="T33" s="41">
        <v>216</v>
      </c>
      <c r="U33" s="41" t="b">
        <f>itens_neg__4[[#This Row],[Itens ganhos de acordo c/ Pregoeiro]]=T33</f>
        <v>1</v>
      </c>
      <c r="Y33">
        <v>201</v>
      </c>
    </row>
    <row r="34" spans="1:25" x14ac:dyDescent="0.25">
      <c r="A34">
        <v>416</v>
      </c>
      <c r="B34" s="52">
        <f>VLOOKUP(itens_neg[[#This Row],[Itens Ganhos Abaixo da REF]],TabelaModelo,5,FALSE)</f>
        <v>1.27</v>
      </c>
      <c r="C34" s="52">
        <f>VLOOKUP(itens_neg[[#This Row],[Itens Ganhos Abaixo da REF]],TabelaPrincipal[],11,FALSE)</f>
        <v>1.04</v>
      </c>
      <c r="D34" s="52">
        <f>VLOOKUP(itens_neg[[#This Row],[Itens Ganhos Abaixo da REF]],TabelaPrincipal[],12,FALSE)</f>
        <v>1.27</v>
      </c>
      <c r="E34" s="52" t="str">
        <f>IF(itens_neg[[#This Row],[Ganho]]&gt;itens_neg[[#This Row],[Referenc]],"Acima da Referência","Abaixo da Referência")</f>
        <v>Abaixo da Referência</v>
      </c>
      <c r="R34" s="41">
        <v>217</v>
      </c>
      <c r="T34" s="41">
        <v>217</v>
      </c>
      <c r="U34" s="41" t="b">
        <f>itens_neg__4[[#This Row],[Itens ganhos de acordo c/ Pregoeiro]]=T34</f>
        <v>1</v>
      </c>
      <c r="Y34">
        <v>207</v>
      </c>
    </row>
    <row r="35" spans="1:25" x14ac:dyDescent="0.25">
      <c r="A35">
        <v>443</v>
      </c>
      <c r="B35" s="52">
        <f>VLOOKUP(itens_neg[[#This Row],[Itens Ganhos Abaixo da REF]],TabelaModelo,5,FALSE)</f>
        <v>1.55</v>
      </c>
      <c r="C35" s="52">
        <f>VLOOKUP(itens_neg[[#This Row],[Itens Ganhos Abaixo da REF]],TabelaPrincipal[],11,FALSE)</f>
        <v>1.1499999999999999</v>
      </c>
      <c r="D35" s="52">
        <f>VLOOKUP(itens_neg[[#This Row],[Itens Ganhos Abaixo da REF]],TabelaPrincipal[],12,FALSE)</f>
        <v>1.1499999999999999</v>
      </c>
      <c r="E35" s="52" t="str">
        <f>IF(itens_neg[[#This Row],[Ganho]]&gt;itens_neg[[#This Row],[Referenc]],"Acima da Referência","Abaixo da Referência")</f>
        <v>Abaixo da Referência</v>
      </c>
      <c r="R35" s="41">
        <v>227</v>
      </c>
      <c r="T35" s="41">
        <v>227</v>
      </c>
      <c r="U35" s="41" t="b">
        <f>itens_neg__4[[#This Row],[Itens ganhos de acordo c/ Pregoeiro]]=T35</f>
        <v>1</v>
      </c>
      <c r="Y35">
        <v>215</v>
      </c>
    </row>
    <row r="36" spans="1:25" x14ac:dyDescent="0.25">
      <c r="A36">
        <v>447</v>
      </c>
      <c r="B36" s="52">
        <f>VLOOKUP(itens_neg[[#This Row],[Itens Ganhos Abaixo da REF]],TabelaModelo,5,FALSE)</f>
        <v>1.92</v>
      </c>
      <c r="C36" s="52">
        <f>VLOOKUP(itens_neg[[#This Row],[Itens Ganhos Abaixo da REF]],TabelaPrincipal[],11,FALSE)</f>
        <v>1.5</v>
      </c>
      <c r="D36" s="52">
        <f>VLOOKUP(itens_neg[[#This Row],[Itens Ganhos Abaixo da REF]],TabelaPrincipal[],12,FALSE)</f>
        <v>1.85</v>
      </c>
      <c r="E36" s="52" t="str">
        <f>IF(itens_neg[[#This Row],[Ganho]]&gt;itens_neg[[#This Row],[Referenc]],"Acima da Referência","Abaixo da Referência")</f>
        <v>Abaixo da Referência</v>
      </c>
      <c r="R36" s="41">
        <v>228</v>
      </c>
      <c r="T36" s="41">
        <v>228</v>
      </c>
      <c r="U36" s="41" t="b">
        <f>itens_neg__4[[#This Row],[Itens ganhos de acordo c/ Pregoeiro]]=T36</f>
        <v>1</v>
      </c>
      <c r="Y36">
        <v>216</v>
      </c>
    </row>
    <row r="37" spans="1:25" x14ac:dyDescent="0.25">
      <c r="A37">
        <v>522</v>
      </c>
      <c r="B37" s="52">
        <f>VLOOKUP(itens_neg[[#This Row],[Itens Ganhos Abaixo da REF]],TabelaModelo,5,FALSE)</f>
        <v>2.27</v>
      </c>
      <c r="C37" s="52">
        <f>VLOOKUP(itens_neg[[#This Row],[Itens Ganhos Abaixo da REF]],TabelaPrincipal[],11,FALSE)</f>
        <v>2.27</v>
      </c>
      <c r="D37" s="52">
        <f>VLOOKUP(itens_neg[[#This Row],[Itens Ganhos Abaixo da REF]],TabelaPrincipal[],12,FALSE)</f>
        <v>2.27</v>
      </c>
      <c r="E37" s="52" t="str">
        <f>IF(itens_neg[[#This Row],[Ganho]]&gt;itens_neg[[#This Row],[Referenc]],"Acima da Referência","Abaixo da Referência")</f>
        <v>Abaixo da Referência</v>
      </c>
      <c r="R37" s="41">
        <v>229</v>
      </c>
      <c r="T37" s="41">
        <v>229</v>
      </c>
      <c r="U37" s="41" t="b">
        <f>itens_neg__4[[#This Row],[Itens ganhos de acordo c/ Pregoeiro]]=T37</f>
        <v>1</v>
      </c>
      <c r="Y37">
        <v>217</v>
      </c>
    </row>
    <row r="38" spans="1:25" x14ac:dyDescent="0.25">
      <c r="A38">
        <v>524</v>
      </c>
      <c r="B38" s="52">
        <f>VLOOKUP(itens_neg[[#This Row],[Itens Ganhos Abaixo da REF]],TabelaModelo,5,FALSE)</f>
        <v>15.56</v>
      </c>
      <c r="C38" s="52">
        <f>VLOOKUP(itens_neg[[#This Row],[Itens Ganhos Abaixo da REF]],TabelaPrincipal[],11,FALSE)</f>
        <v>15.56</v>
      </c>
      <c r="D38" s="52">
        <f>VLOOKUP(itens_neg[[#This Row],[Itens Ganhos Abaixo da REF]],TabelaPrincipal[],12,FALSE)</f>
        <v>15.56</v>
      </c>
      <c r="E38" s="52" t="str">
        <f>IF(itens_neg[[#This Row],[Ganho]]&gt;itens_neg[[#This Row],[Referenc]],"Acima da Referência","Abaixo da Referência")</f>
        <v>Abaixo da Referência</v>
      </c>
      <c r="R38" s="41">
        <v>230</v>
      </c>
      <c r="T38" s="41">
        <v>230</v>
      </c>
      <c r="U38" s="41" t="b">
        <f>itens_neg__4[[#This Row],[Itens ganhos de acordo c/ Pregoeiro]]=T38</f>
        <v>1</v>
      </c>
      <c r="Y38">
        <v>227</v>
      </c>
    </row>
    <row r="39" spans="1:25" x14ac:dyDescent="0.25">
      <c r="A39">
        <v>528</v>
      </c>
      <c r="B39" s="52">
        <f>VLOOKUP(itens_neg[[#This Row],[Itens Ganhos Abaixo da REF]],TabelaModelo,5,FALSE)</f>
        <v>9.65</v>
      </c>
      <c r="C39" s="52">
        <f>VLOOKUP(itens_neg[[#This Row],[Itens Ganhos Abaixo da REF]],TabelaPrincipal[],11,FALSE)</f>
        <v>7.36</v>
      </c>
      <c r="D39" s="52">
        <f>VLOOKUP(itens_neg[[#This Row],[Itens Ganhos Abaixo da REF]],TabelaPrincipal[],12,FALSE)</f>
        <v>6.65</v>
      </c>
      <c r="E39" s="52" t="str">
        <f>IF(itens_neg[[#This Row],[Ganho]]&gt;itens_neg[[#This Row],[Referenc]],"Acima da Referência","Abaixo da Referência")</f>
        <v>Abaixo da Referência</v>
      </c>
      <c r="R39" s="41">
        <v>231</v>
      </c>
      <c r="T39" s="41">
        <v>231</v>
      </c>
      <c r="U39" s="41" t="b">
        <f>itens_neg__4[[#This Row],[Itens ganhos de acordo c/ Pregoeiro]]=T39</f>
        <v>1</v>
      </c>
      <c r="Y39">
        <v>228</v>
      </c>
    </row>
    <row r="40" spans="1:25" x14ac:dyDescent="0.25">
      <c r="A40">
        <v>530</v>
      </c>
      <c r="B40" s="52">
        <f>VLOOKUP(itens_neg[[#This Row],[Itens Ganhos Abaixo da REF]],TabelaModelo,5,FALSE)</f>
        <v>7.78</v>
      </c>
      <c r="C40" s="52">
        <f>VLOOKUP(itens_neg[[#This Row],[Itens Ganhos Abaixo da REF]],TabelaPrincipal[],11,FALSE)</f>
        <v>5.41</v>
      </c>
      <c r="D40" s="52">
        <f>VLOOKUP(itens_neg[[#This Row],[Itens Ganhos Abaixo da REF]],TabelaPrincipal[],12,FALSE)</f>
        <v>5.41</v>
      </c>
      <c r="E40" s="52" t="str">
        <f>IF(itens_neg[[#This Row],[Ganho]]&gt;itens_neg[[#This Row],[Referenc]],"Acima da Referência","Abaixo da Referência")</f>
        <v>Abaixo da Referência</v>
      </c>
      <c r="R40" s="41">
        <v>232</v>
      </c>
      <c r="T40" s="41">
        <v>232</v>
      </c>
      <c r="U40" s="41" t="b">
        <f>itens_neg__4[[#This Row],[Itens ganhos de acordo c/ Pregoeiro]]=T40</f>
        <v>1</v>
      </c>
      <c r="Y40">
        <v>229</v>
      </c>
    </row>
    <row r="41" spans="1:25" x14ac:dyDescent="0.25">
      <c r="A41">
        <v>548</v>
      </c>
      <c r="B41" s="52">
        <f>VLOOKUP(itens_neg[[#This Row],[Itens Ganhos Abaixo da REF]],TabelaModelo,5,FALSE)</f>
        <v>2.5299999999999998</v>
      </c>
      <c r="C41" s="52">
        <f>VLOOKUP(itens_neg[[#This Row],[Itens Ganhos Abaixo da REF]],TabelaPrincipal[],11,FALSE)</f>
        <v>2.5299999999999998</v>
      </c>
      <c r="D41" s="52">
        <f>VLOOKUP(itens_neg[[#This Row],[Itens Ganhos Abaixo da REF]],TabelaPrincipal[],12,FALSE)</f>
        <v>2.5299999999999998</v>
      </c>
      <c r="E41" s="52" t="str">
        <f>IF(itens_neg[[#This Row],[Ganho]]&gt;itens_neg[[#This Row],[Referenc]],"Acima da Referência","Abaixo da Referência")</f>
        <v>Abaixo da Referência</v>
      </c>
      <c r="R41" s="41">
        <v>233</v>
      </c>
      <c r="T41" s="41">
        <v>233</v>
      </c>
      <c r="U41" s="41" t="b">
        <f>itens_neg__4[[#This Row],[Itens ganhos de acordo c/ Pregoeiro]]=T41</f>
        <v>1</v>
      </c>
      <c r="Y41">
        <v>230</v>
      </c>
    </row>
    <row r="42" spans="1:25" x14ac:dyDescent="0.25">
      <c r="A42">
        <v>549</v>
      </c>
      <c r="B42" s="52">
        <f>VLOOKUP(itens_neg[[#This Row],[Itens Ganhos Abaixo da REF]],TabelaModelo,5,FALSE)</f>
        <v>1.91</v>
      </c>
      <c r="C42" s="52">
        <f>VLOOKUP(itens_neg[[#This Row],[Itens Ganhos Abaixo da REF]],TabelaPrincipal[],11,FALSE)</f>
        <v>1.91</v>
      </c>
      <c r="D42" s="52">
        <f>VLOOKUP(itens_neg[[#This Row],[Itens Ganhos Abaixo da REF]],TabelaPrincipal[],12,FALSE)</f>
        <v>1.86</v>
      </c>
      <c r="E42" s="52" t="str">
        <f>IF(itens_neg[[#This Row],[Ganho]]&gt;itens_neg[[#This Row],[Referenc]],"Acima da Referência","Abaixo da Referência")</f>
        <v>Abaixo da Referência</v>
      </c>
      <c r="R42" s="41">
        <v>234</v>
      </c>
      <c r="T42" s="41">
        <v>234</v>
      </c>
      <c r="U42" s="41" t="b">
        <f>itens_neg__4[[#This Row],[Itens ganhos de acordo c/ Pregoeiro]]=T42</f>
        <v>1</v>
      </c>
      <c r="Y42">
        <v>231</v>
      </c>
    </row>
    <row r="43" spans="1:25" x14ac:dyDescent="0.25">
      <c r="A43">
        <v>550</v>
      </c>
      <c r="B43" s="52">
        <f>VLOOKUP(itens_neg[[#This Row],[Itens Ganhos Abaixo da REF]],TabelaModelo,5,FALSE)</f>
        <v>2.0299999999999998</v>
      </c>
      <c r="C43" s="52">
        <f>VLOOKUP(itens_neg[[#This Row],[Itens Ganhos Abaixo da REF]],TabelaPrincipal[],11,FALSE)</f>
        <v>2.0299999999999998</v>
      </c>
      <c r="D43" s="52">
        <f>VLOOKUP(itens_neg[[#This Row],[Itens Ganhos Abaixo da REF]],TabelaPrincipal[],12,FALSE)</f>
        <v>2.0299999999999998</v>
      </c>
      <c r="E43" s="52" t="str">
        <f>IF(itens_neg[[#This Row],[Ganho]]&gt;itens_neg[[#This Row],[Referenc]],"Acima da Referência","Abaixo da Referência")</f>
        <v>Abaixo da Referência</v>
      </c>
      <c r="R43" s="41">
        <v>235</v>
      </c>
      <c r="T43" s="41">
        <v>235</v>
      </c>
      <c r="U43" s="41" t="b">
        <f>itens_neg__4[[#This Row],[Itens ganhos de acordo c/ Pregoeiro]]=T43</f>
        <v>1</v>
      </c>
      <c r="Y43">
        <v>232</v>
      </c>
    </row>
    <row r="44" spans="1:25" x14ac:dyDescent="0.25">
      <c r="A44">
        <v>551</v>
      </c>
      <c r="B44" s="52">
        <f>VLOOKUP(itens_neg[[#This Row],[Itens Ganhos Abaixo da REF]],TabelaModelo,5,FALSE)</f>
        <v>2.7</v>
      </c>
      <c r="C44" s="52">
        <f>VLOOKUP(itens_neg[[#This Row],[Itens Ganhos Abaixo da REF]],TabelaPrincipal[],11,FALSE)</f>
        <v>2.7</v>
      </c>
      <c r="D44" s="52">
        <f>VLOOKUP(itens_neg[[#This Row],[Itens Ganhos Abaixo da REF]],TabelaPrincipal[],12,FALSE)</f>
        <v>2.7</v>
      </c>
      <c r="E44" s="52" t="str">
        <f>IF(itens_neg[[#This Row],[Ganho]]&gt;itens_neg[[#This Row],[Referenc]],"Acima da Referência","Abaixo da Referência")</f>
        <v>Abaixo da Referência</v>
      </c>
      <c r="R44" s="41">
        <v>236</v>
      </c>
      <c r="T44" s="41">
        <v>236</v>
      </c>
      <c r="U44" s="41" t="b">
        <f>itens_neg__4[[#This Row],[Itens ganhos de acordo c/ Pregoeiro]]=T44</f>
        <v>1</v>
      </c>
      <c r="Y44">
        <v>233</v>
      </c>
    </row>
    <row r="45" spans="1:25" x14ac:dyDescent="0.25">
      <c r="A45">
        <v>552</v>
      </c>
      <c r="B45" s="52">
        <f>VLOOKUP(itens_neg[[#This Row],[Itens Ganhos Abaixo da REF]],TabelaModelo,5,FALSE)</f>
        <v>2.99</v>
      </c>
      <c r="C45" s="52">
        <f>VLOOKUP(itens_neg[[#This Row],[Itens Ganhos Abaixo da REF]],TabelaPrincipal[],11,FALSE)</f>
        <v>2.99</v>
      </c>
      <c r="D45" s="52">
        <f>VLOOKUP(itens_neg[[#This Row],[Itens Ganhos Abaixo da REF]],TabelaPrincipal[],12,FALSE)</f>
        <v>2.99</v>
      </c>
      <c r="E45" s="52" t="str">
        <f>IF(itens_neg[[#This Row],[Ganho]]&gt;itens_neg[[#This Row],[Referenc]],"Acima da Referência","Abaixo da Referência")</f>
        <v>Abaixo da Referência</v>
      </c>
      <c r="R45" s="41">
        <v>237</v>
      </c>
      <c r="T45" s="41">
        <v>237</v>
      </c>
      <c r="U45" s="41" t="b">
        <f>itens_neg__4[[#This Row],[Itens ganhos de acordo c/ Pregoeiro]]=T45</f>
        <v>1</v>
      </c>
      <c r="Y45">
        <v>234</v>
      </c>
    </row>
    <row r="46" spans="1:25" x14ac:dyDescent="0.25">
      <c r="A46">
        <v>553</v>
      </c>
      <c r="B46" s="52">
        <f>VLOOKUP(itens_neg[[#This Row],[Itens Ganhos Abaixo da REF]],TabelaModelo,5,FALSE)</f>
        <v>1.92</v>
      </c>
      <c r="C46" s="52">
        <f>VLOOKUP(itens_neg[[#This Row],[Itens Ganhos Abaixo da REF]],TabelaPrincipal[],11,FALSE)</f>
        <v>1.92</v>
      </c>
      <c r="D46" s="52">
        <f>VLOOKUP(itens_neg[[#This Row],[Itens Ganhos Abaixo da REF]],TabelaPrincipal[],12,FALSE)</f>
        <v>1.92</v>
      </c>
      <c r="E46" s="52" t="str">
        <f>IF(itens_neg[[#This Row],[Ganho]]&gt;itens_neg[[#This Row],[Referenc]],"Acima da Referência","Abaixo da Referência")</f>
        <v>Abaixo da Referência</v>
      </c>
      <c r="R46" s="41">
        <v>238</v>
      </c>
      <c r="T46" s="41">
        <v>238</v>
      </c>
      <c r="U46" s="41" t="b">
        <f>itens_neg__4[[#This Row],[Itens ganhos de acordo c/ Pregoeiro]]=T46</f>
        <v>1</v>
      </c>
      <c r="Y46">
        <v>235</v>
      </c>
    </row>
    <row r="47" spans="1:25" x14ac:dyDescent="0.25">
      <c r="A47">
        <v>554</v>
      </c>
      <c r="B47" s="52">
        <f>VLOOKUP(itens_neg[[#This Row],[Itens Ganhos Abaixo da REF]],TabelaModelo,5,FALSE)</f>
        <v>1.87</v>
      </c>
      <c r="C47" s="52">
        <f>VLOOKUP(itens_neg[[#This Row],[Itens Ganhos Abaixo da REF]],TabelaPrincipal[],11,FALSE)</f>
        <v>1.87</v>
      </c>
      <c r="D47" s="52">
        <f>VLOOKUP(itens_neg[[#This Row],[Itens Ganhos Abaixo da REF]],TabelaPrincipal[],12,FALSE)</f>
        <v>1.87</v>
      </c>
      <c r="E47" s="52" t="str">
        <f>IF(itens_neg[[#This Row],[Ganho]]&gt;itens_neg[[#This Row],[Referenc]],"Acima da Referência","Abaixo da Referência")</f>
        <v>Abaixo da Referência</v>
      </c>
      <c r="R47" s="41">
        <v>240</v>
      </c>
      <c r="T47" s="41">
        <v>240</v>
      </c>
      <c r="U47" s="41" t="b">
        <f>itens_neg__4[[#This Row],[Itens ganhos de acordo c/ Pregoeiro]]=T47</f>
        <v>1</v>
      </c>
      <c r="Y47">
        <v>236</v>
      </c>
    </row>
    <row r="48" spans="1:25" x14ac:dyDescent="0.25">
      <c r="A48">
        <v>555</v>
      </c>
      <c r="B48" s="52">
        <f>VLOOKUP(itens_neg[[#This Row],[Itens Ganhos Abaixo da REF]],TabelaModelo,5,FALSE)</f>
        <v>2.17</v>
      </c>
      <c r="C48" s="52">
        <f>VLOOKUP(itens_neg[[#This Row],[Itens Ganhos Abaixo da REF]],TabelaPrincipal[],11,FALSE)</f>
        <v>2.17</v>
      </c>
      <c r="D48" s="52">
        <f>VLOOKUP(itens_neg[[#This Row],[Itens Ganhos Abaixo da REF]],TabelaPrincipal[],12,FALSE)</f>
        <v>2.17</v>
      </c>
      <c r="E48" s="52" t="str">
        <f>IF(itens_neg[[#This Row],[Ganho]]&gt;itens_neg[[#This Row],[Referenc]],"Acima da Referência","Abaixo da Referência")</f>
        <v>Abaixo da Referência</v>
      </c>
      <c r="R48" s="41">
        <v>241</v>
      </c>
      <c r="T48" s="41">
        <v>241</v>
      </c>
      <c r="U48" s="41" t="b">
        <f>itens_neg__4[[#This Row],[Itens ganhos de acordo c/ Pregoeiro]]=T48</f>
        <v>1</v>
      </c>
      <c r="Y48">
        <v>237</v>
      </c>
    </row>
    <row r="49" spans="1:25" x14ac:dyDescent="0.25">
      <c r="A49">
        <v>556</v>
      </c>
      <c r="B49" s="52">
        <f>VLOOKUP(itens_neg[[#This Row],[Itens Ganhos Abaixo da REF]],TabelaModelo,5,FALSE)</f>
        <v>4.41</v>
      </c>
      <c r="C49" s="52">
        <f>VLOOKUP(itens_neg[[#This Row],[Itens Ganhos Abaixo da REF]],TabelaPrincipal[],11,FALSE)</f>
        <v>4.41</v>
      </c>
      <c r="D49" s="52">
        <f>VLOOKUP(itens_neg[[#This Row],[Itens Ganhos Abaixo da REF]],TabelaPrincipal[],12,FALSE)</f>
        <v>4.41</v>
      </c>
      <c r="E49" s="52" t="str">
        <f>IF(itens_neg[[#This Row],[Ganho]]&gt;itens_neg[[#This Row],[Referenc]],"Acima da Referência","Abaixo da Referência")</f>
        <v>Abaixo da Referência</v>
      </c>
      <c r="R49" s="41">
        <v>242</v>
      </c>
      <c r="T49" s="41">
        <v>242</v>
      </c>
      <c r="U49" s="41" t="b">
        <f>itens_neg__4[[#This Row],[Itens ganhos de acordo c/ Pregoeiro]]=T49</f>
        <v>1</v>
      </c>
      <c r="Y49">
        <v>238</v>
      </c>
    </row>
    <row r="50" spans="1:25" x14ac:dyDescent="0.25">
      <c r="A50">
        <v>557</v>
      </c>
      <c r="B50" s="52">
        <f>VLOOKUP(itens_neg[[#This Row],[Itens Ganhos Abaixo da REF]],TabelaModelo,5,FALSE)</f>
        <v>1.72</v>
      </c>
      <c r="C50" s="52">
        <f>VLOOKUP(itens_neg[[#This Row],[Itens Ganhos Abaixo da REF]],TabelaPrincipal[],11,FALSE)</f>
        <v>1.72</v>
      </c>
      <c r="D50" s="52">
        <f>VLOOKUP(itens_neg[[#This Row],[Itens Ganhos Abaixo da REF]],TabelaPrincipal[],12,FALSE)</f>
        <v>1.72</v>
      </c>
      <c r="E50" s="52" t="str">
        <f>IF(itens_neg[[#This Row],[Ganho]]&gt;itens_neg[[#This Row],[Referenc]],"Acima da Referência","Abaixo da Referência")</f>
        <v>Abaixo da Referência</v>
      </c>
      <c r="R50" s="41">
        <v>245</v>
      </c>
      <c r="T50" s="41">
        <v>245</v>
      </c>
      <c r="U50" s="41" t="b">
        <f>itens_neg__4[[#This Row],[Itens ganhos de acordo c/ Pregoeiro]]=T50</f>
        <v>1</v>
      </c>
      <c r="Y50">
        <v>240</v>
      </c>
    </row>
    <row r="51" spans="1:25" x14ac:dyDescent="0.25">
      <c r="A51">
        <v>558</v>
      </c>
      <c r="B51" s="52">
        <f>VLOOKUP(itens_neg[[#This Row],[Itens Ganhos Abaixo da REF]],TabelaModelo,5,FALSE)</f>
        <v>1.61</v>
      </c>
      <c r="C51" s="52">
        <f>VLOOKUP(itens_neg[[#This Row],[Itens Ganhos Abaixo da REF]],TabelaPrincipal[],11,FALSE)</f>
        <v>1.61</v>
      </c>
      <c r="D51" s="52">
        <f>VLOOKUP(itens_neg[[#This Row],[Itens Ganhos Abaixo da REF]],TabelaPrincipal[],12,FALSE)</f>
        <v>1.61</v>
      </c>
      <c r="E51" s="52" t="str">
        <f>IF(itens_neg[[#This Row],[Ganho]]&gt;itens_neg[[#This Row],[Referenc]],"Acima da Referência","Abaixo da Referência")</f>
        <v>Abaixo da Referência</v>
      </c>
      <c r="R51" s="41">
        <v>416</v>
      </c>
      <c r="T51" s="41">
        <v>416</v>
      </c>
      <c r="U51" s="41" t="b">
        <f>itens_neg__4[[#This Row],[Itens ganhos de acordo c/ Pregoeiro]]=T51</f>
        <v>1</v>
      </c>
      <c r="Y51">
        <v>241</v>
      </c>
    </row>
    <row r="52" spans="1:25" x14ac:dyDescent="0.25">
      <c r="A52">
        <v>559</v>
      </c>
      <c r="B52" s="52">
        <f>VLOOKUP(itens_neg[[#This Row],[Itens Ganhos Abaixo da REF]],TabelaModelo,5,FALSE)</f>
        <v>1.69</v>
      </c>
      <c r="C52" s="52">
        <f>VLOOKUP(itens_neg[[#This Row],[Itens Ganhos Abaixo da REF]],TabelaPrincipal[],11,FALSE)</f>
        <v>1.69</v>
      </c>
      <c r="D52" s="52">
        <f>VLOOKUP(itens_neg[[#This Row],[Itens Ganhos Abaixo da REF]],TabelaPrincipal[],12,FALSE)</f>
        <v>1.69</v>
      </c>
      <c r="E52" s="52" t="str">
        <f>IF(itens_neg[[#This Row],[Ganho]]&gt;itens_neg[[#This Row],[Referenc]],"Acima da Referência","Abaixo da Referência")</f>
        <v>Abaixo da Referência</v>
      </c>
      <c r="R52" s="41">
        <v>417</v>
      </c>
      <c r="T52" s="41">
        <v>417</v>
      </c>
      <c r="U52" s="41" t="b">
        <f>itens_neg__4[[#This Row],[Itens ganhos de acordo c/ Pregoeiro]]=T52</f>
        <v>1</v>
      </c>
      <c r="Y52">
        <v>242</v>
      </c>
    </row>
    <row r="53" spans="1:25" x14ac:dyDescent="0.25">
      <c r="R53" s="41">
        <v>443</v>
      </c>
      <c r="T53" s="41">
        <v>443</v>
      </c>
      <c r="U53" s="41" t="b">
        <f>itens_neg__4[[#This Row],[Itens ganhos de acordo c/ Pregoeiro]]=T53</f>
        <v>1</v>
      </c>
      <c r="Y53">
        <v>245</v>
      </c>
    </row>
    <row r="54" spans="1:25" x14ac:dyDescent="0.25">
      <c r="R54" s="41">
        <v>447</v>
      </c>
      <c r="T54" s="41">
        <v>447</v>
      </c>
      <c r="U54" s="41" t="b">
        <f>itens_neg__4[[#This Row],[Itens ganhos de acordo c/ Pregoeiro]]=T54</f>
        <v>1</v>
      </c>
      <c r="Y54">
        <v>416</v>
      </c>
    </row>
    <row r="55" spans="1:25" x14ac:dyDescent="0.25">
      <c r="R55" s="41">
        <v>466</v>
      </c>
      <c r="T55" s="41">
        <v>466</v>
      </c>
      <c r="U55" s="41" t="b">
        <f>itens_neg__4[[#This Row],[Itens ganhos de acordo c/ Pregoeiro]]=T55</f>
        <v>1</v>
      </c>
      <c r="Y55">
        <v>417</v>
      </c>
    </row>
    <row r="56" spans="1:25" x14ac:dyDescent="0.25">
      <c r="R56" s="41">
        <v>470</v>
      </c>
      <c r="T56" s="41">
        <v>470</v>
      </c>
      <c r="U56" s="41" t="b">
        <f>itens_neg__4[[#This Row],[Itens ganhos de acordo c/ Pregoeiro]]=T56</f>
        <v>1</v>
      </c>
      <c r="Y56">
        <v>420</v>
      </c>
    </row>
    <row r="57" spans="1:25" x14ac:dyDescent="0.25">
      <c r="R57" s="41">
        <v>522</v>
      </c>
      <c r="T57" s="41">
        <v>522</v>
      </c>
      <c r="U57" s="41" t="b">
        <f>itens_neg__4[[#This Row],[Itens ganhos de acordo c/ Pregoeiro]]=T57</f>
        <v>1</v>
      </c>
      <c r="Y57">
        <v>443</v>
      </c>
    </row>
    <row r="58" spans="1:25" x14ac:dyDescent="0.25">
      <c r="R58" s="41">
        <v>523</v>
      </c>
      <c r="T58" s="41">
        <v>523</v>
      </c>
      <c r="U58" s="41" t="b">
        <f>itens_neg__4[[#This Row],[Itens ganhos de acordo c/ Pregoeiro]]=T58</f>
        <v>1</v>
      </c>
      <c r="Y58">
        <v>447</v>
      </c>
    </row>
    <row r="59" spans="1:25" x14ac:dyDescent="0.25">
      <c r="R59" s="41">
        <v>524</v>
      </c>
      <c r="T59" s="41">
        <v>524</v>
      </c>
      <c r="U59" s="41" t="b">
        <f>itens_neg__4[[#This Row],[Itens ganhos de acordo c/ Pregoeiro]]=T59</f>
        <v>1</v>
      </c>
      <c r="Y59">
        <v>466</v>
      </c>
    </row>
    <row r="60" spans="1:25" x14ac:dyDescent="0.25">
      <c r="R60" s="41">
        <v>526</v>
      </c>
      <c r="T60" s="41">
        <v>526</v>
      </c>
      <c r="U60" s="41" t="b">
        <f>itens_neg__4[[#This Row],[Itens ganhos de acordo c/ Pregoeiro]]=T60</f>
        <v>1</v>
      </c>
      <c r="Y60">
        <v>470</v>
      </c>
    </row>
    <row r="61" spans="1:25" x14ac:dyDescent="0.25">
      <c r="R61" s="41">
        <v>528</v>
      </c>
      <c r="T61" s="41">
        <v>528</v>
      </c>
      <c r="U61" s="41" t="b">
        <f>itens_neg__4[[#This Row],[Itens ganhos de acordo c/ Pregoeiro]]=T61</f>
        <v>1</v>
      </c>
      <c r="Y61">
        <v>522</v>
      </c>
    </row>
    <row r="62" spans="1:25" x14ac:dyDescent="0.25">
      <c r="R62" s="41">
        <v>530</v>
      </c>
      <c r="T62" s="41">
        <v>530</v>
      </c>
      <c r="U62" s="41" t="b">
        <f>itens_neg__4[[#This Row],[Itens ganhos de acordo c/ Pregoeiro]]=T62</f>
        <v>1</v>
      </c>
      <c r="Y62">
        <v>523</v>
      </c>
    </row>
    <row r="63" spans="1:25" x14ac:dyDescent="0.25">
      <c r="R63" s="41">
        <v>537</v>
      </c>
      <c r="T63" s="41">
        <v>537</v>
      </c>
      <c r="U63" s="41" t="b">
        <f>itens_neg__4[[#This Row],[Itens ganhos de acordo c/ Pregoeiro]]=T63</f>
        <v>1</v>
      </c>
      <c r="Y63">
        <v>524</v>
      </c>
    </row>
    <row r="64" spans="1:25" x14ac:dyDescent="0.25">
      <c r="R64" s="41">
        <v>538</v>
      </c>
      <c r="T64" s="41">
        <v>538</v>
      </c>
      <c r="U64" s="41" t="b">
        <f>itens_neg__4[[#This Row],[Itens ganhos de acordo c/ Pregoeiro]]=T64</f>
        <v>1</v>
      </c>
      <c r="Y64">
        <v>526</v>
      </c>
    </row>
    <row r="65" spans="18:25" x14ac:dyDescent="0.25">
      <c r="R65" s="41">
        <v>548</v>
      </c>
      <c r="T65" s="41">
        <v>548</v>
      </c>
      <c r="U65" s="41" t="b">
        <f>itens_neg__4[[#This Row],[Itens ganhos de acordo c/ Pregoeiro]]=T65</f>
        <v>1</v>
      </c>
      <c r="Y65">
        <v>528</v>
      </c>
    </row>
    <row r="66" spans="18:25" x14ac:dyDescent="0.25">
      <c r="R66" s="41">
        <v>549</v>
      </c>
      <c r="T66" s="41">
        <v>549</v>
      </c>
      <c r="U66" s="41" t="b">
        <f>itens_neg__4[[#This Row],[Itens ganhos de acordo c/ Pregoeiro]]=T66</f>
        <v>1</v>
      </c>
      <c r="Y66">
        <v>530</v>
      </c>
    </row>
    <row r="67" spans="18:25" x14ac:dyDescent="0.25">
      <c r="R67" s="41">
        <v>550</v>
      </c>
      <c r="T67" s="41">
        <v>550</v>
      </c>
      <c r="U67" s="41" t="b">
        <f>itens_neg__4[[#This Row],[Itens ganhos de acordo c/ Pregoeiro]]=T67</f>
        <v>1</v>
      </c>
      <c r="Y67">
        <v>537</v>
      </c>
    </row>
    <row r="68" spans="18:25" x14ac:dyDescent="0.25">
      <c r="R68" s="41">
        <v>551</v>
      </c>
      <c r="T68" s="41">
        <v>551</v>
      </c>
      <c r="U68" s="41" t="b">
        <f>itens_neg__4[[#This Row],[Itens ganhos de acordo c/ Pregoeiro]]=T68</f>
        <v>1</v>
      </c>
      <c r="Y68">
        <v>538</v>
      </c>
    </row>
    <row r="69" spans="18:25" x14ac:dyDescent="0.25">
      <c r="R69" s="41">
        <v>552</v>
      </c>
      <c r="T69" s="41">
        <v>552</v>
      </c>
      <c r="U69" s="41" t="b">
        <f>itens_neg__4[[#This Row],[Itens ganhos de acordo c/ Pregoeiro]]=T69</f>
        <v>1</v>
      </c>
      <c r="Y69">
        <v>548</v>
      </c>
    </row>
    <row r="70" spans="18:25" x14ac:dyDescent="0.25">
      <c r="R70" s="41">
        <v>553</v>
      </c>
      <c r="T70" s="41">
        <v>553</v>
      </c>
      <c r="U70" s="41" t="b">
        <f>itens_neg__4[[#This Row],[Itens ganhos de acordo c/ Pregoeiro]]=T70</f>
        <v>1</v>
      </c>
      <c r="Y70">
        <v>549</v>
      </c>
    </row>
    <row r="71" spans="18:25" x14ac:dyDescent="0.25">
      <c r="R71" s="41">
        <v>554</v>
      </c>
      <c r="T71" s="41">
        <v>554</v>
      </c>
      <c r="U71" s="41" t="b">
        <f>itens_neg__4[[#This Row],[Itens ganhos de acordo c/ Pregoeiro]]=T71</f>
        <v>1</v>
      </c>
      <c r="Y71">
        <v>550</v>
      </c>
    </row>
    <row r="72" spans="18:25" x14ac:dyDescent="0.25">
      <c r="R72" s="41">
        <v>555</v>
      </c>
      <c r="T72" s="41">
        <v>555</v>
      </c>
      <c r="U72" s="41" t="b">
        <f>itens_neg__4[[#This Row],[Itens ganhos de acordo c/ Pregoeiro]]=T72</f>
        <v>1</v>
      </c>
      <c r="Y72">
        <v>551</v>
      </c>
    </row>
    <row r="73" spans="18:25" x14ac:dyDescent="0.25">
      <c r="R73" s="41">
        <v>556</v>
      </c>
      <c r="T73" s="41">
        <v>556</v>
      </c>
      <c r="U73" s="41" t="b">
        <f>itens_neg__4[[#This Row],[Itens ganhos de acordo c/ Pregoeiro]]=T73</f>
        <v>1</v>
      </c>
      <c r="Y73">
        <v>552</v>
      </c>
    </row>
    <row r="74" spans="18:25" x14ac:dyDescent="0.25">
      <c r="R74" s="41">
        <v>557</v>
      </c>
      <c r="T74" s="41">
        <v>557</v>
      </c>
      <c r="U74" s="41" t="b">
        <f>itens_neg__4[[#This Row],[Itens ganhos de acordo c/ Pregoeiro]]=T74</f>
        <v>1</v>
      </c>
      <c r="Y74">
        <v>553</v>
      </c>
    </row>
    <row r="75" spans="18:25" x14ac:dyDescent="0.25">
      <c r="R75" s="41">
        <v>558</v>
      </c>
      <c r="T75" s="41">
        <v>558</v>
      </c>
      <c r="U75" s="41" t="b">
        <f>itens_neg__4[[#This Row],[Itens ganhos de acordo c/ Pregoeiro]]=T75</f>
        <v>1</v>
      </c>
      <c r="Y75">
        <v>554</v>
      </c>
    </row>
    <row r="76" spans="18:25" x14ac:dyDescent="0.25">
      <c r="R76" s="41">
        <v>559</v>
      </c>
      <c r="T76" s="41">
        <v>559</v>
      </c>
      <c r="U76" s="41" t="b">
        <f>itens_neg__4[[#This Row],[Itens ganhos de acordo c/ Pregoeiro]]=T76</f>
        <v>1</v>
      </c>
      <c r="Y76">
        <v>555</v>
      </c>
    </row>
    <row r="77" spans="18:25" x14ac:dyDescent="0.25">
      <c r="R77" s="41">
        <v>562</v>
      </c>
      <c r="T77" s="41">
        <v>562</v>
      </c>
      <c r="U77" s="41" t="b">
        <f>itens_neg__4[[#This Row],[Itens ganhos de acordo c/ Pregoeiro]]=T77</f>
        <v>1</v>
      </c>
      <c r="Y77">
        <v>556</v>
      </c>
    </row>
    <row r="78" spans="18:25" x14ac:dyDescent="0.25">
      <c r="R78" s="41">
        <v>563</v>
      </c>
      <c r="T78" s="41">
        <v>563</v>
      </c>
      <c r="U78" s="41" t="b">
        <f>itens_neg__4[[#This Row],[Itens ganhos de acordo c/ Pregoeiro]]=T78</f>
        <v>1</v>
      </c>
      <c r="Y78">
        <v>557</v>
      </c>
    </row>
    <row r="79" spans="18:25" x14ac:dyDescent="0.25">
      <c r="R79" s="41">
        <v>566</v>
      </c>
      <c r="T79" s="41">
        <v>566</v>
      </c>
      <c r="U79" s="41" t="b">
        <f>itens_neg__4[[#This Row],[Itens ganhos de acordo c/ Pregoeiro]]=T79</f>
        <v>1</v>
      </c>
      <c r="Y79">
        <v>558</v>
      </c>
    </row>
    <row r="80" spans="18:25" x14ac:dyDescent="0.25">
      <c r="Y80">
        <v>559</v>
      </c>
    </row>
    <row r="81" spans="25:25" ht="15" customHeight="1" x14ac:dyDescent="0.25">
      <c r="Y81">
        <v>562</v>
      </c>
    </row>
    <row r="82" spans="25:25" ht="15" customHeight="1" x14ac:dyDescent="0.25">
      <c r="Y82">
        <v>563</v>
      </c>
    </row>
    <row r="83" spans="25:25" ht="15" customHeight="1" x14ac:dyDescent="0.25">
      <c r="Y83">
        <v>566</v>
      </c>
    </row>
  </sheetData>
  <pageMargins left="0.511811024" right="0.511811024" top="0.78740157499999996" bottom="0.78740157499999996" header="0.31496062000000002" footer="0.31496062000000002"/>
  <pageSetup paperSize="9" orientation="portrait" horizontalDpi="0" verticalDpi="0" r:id="rId1"/>
  <tableParts count="3">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B188-47C5-4B56-9CDD-55624CBE9127}">
  <dimension ref="A1:H259"/>
  <sheetViews>
    <sheetView topLeftCell="A252" workbookViewId="0">
      <selection activeCell="H259" sqref="H259"/>
    </sheetView>
  </sheetViews>
  <sheetFormatPr defaultRowHeight="15" x14ac:dyDescent="0.25"/>
  <cols>
    <col min="1" max="1" width="4.85546875" bestFit="1" customWidth="1"/>
    <col min="2" max="2" width="50.7109375" customWidth="1"/>
    <col min="3" max="3" width="19.7109375" bestFit="1" customWidth="1"/>
    <col min="4" max="4" width="6" bestFit="1" customWidth="1"/>
    <col min="5" max="5" width="12.7109375" bestFit="1" customWidth="1"/>
    <col min="6" max="6" width="10" bestFit="1" customWidth="1"/>
    <col min="7" max="7" width="16.42578125" bestFit="1" customWidth="1"/>
    <col min="8" max="8" width="57" bestFit="1" customWidth="1"/>
  </cols>
  <sheetData>
    <row r="1" spans="1:8" ht="25.5" x14ac:dyDescent="0.25">
      <c r="A1" s="9" t="s">
        <v>0</v>
      </c>
      <c r="B1" s="10" t="s">
        <v>5</v>
      </c>
      <c r="C1" s="10" t="s">
        <v>2</v>
      </c>
      <c r="D1" s="10" t="s">
        <v>1</v>
      </c>
      <c r="E1" s="10" t="s">
        <v>6</v>
      </c>
      <c r="F1" s="20" t="s">
        <v>8</v>
      </c>
      <c r="G1" s="11" t="s">
        <v>3</v>
      </c>
      <c r="H1" s="10" t="s">
        <v>9</v>
      </c>
    </row>
    <row r="2" spans="1:8" x14ac:dyDescent="0.25">
      <c r="A2" s="12">
        <f>IF(TabelaPrincipal[[#This Row],[POSIÇÃO]]=1, TabelaPrincipal[[#This Row],[ITEM]],)</f>
        <v>1</v>
      </c>
      <c r="B2" s="13" t="str">
        <f>IF(TabelaPrincipal[[#This Row],[POSIÇÃO]]=1, TabelaPrincipal[[#This Row],[DESCRIÇÃO]],)</f>
        <v>Suxametônio cloreto, dosagem: 100 mg, indicação: injetável</v>
      </c>
      <c r="C2" s="14" t="str">
        <f>IF(TabelaPrincipal[[#This Row],[POSIÇÃO]]=1,TabelaPrincipal[[#This Row],[UND]],)</f>
        <v>Frasco- ampola</v>
      </c>
      <c r="D2" s="13">
        <f>IF(TabelaPrincipal[[#This Row],[POSIÇÃO]]=1,TabelaPrincipal[[#This Row],[QTD]],)</f>
        <v>100</v>
      </c>
      <c r="E2" s="13" t="str">
        <f>IF(TabelaPrincipal[[#This Row],[POSIÇÃO]]=1,TabelaPrincipal[[#This Row],[MARCA]],)</f>
        <v>Blau</v>
      </c>
      <c r="F2" s="15">
        <f>IF(TabelaPrincipal[[#This Row],[POSIÇÃO]]=1,TabelaPrincipal[[#This Row],[LANCE ATUAL]],)</f>
        <v>26.85</v>
      </c>
      <c r="G2" s="16">
        <f>IF(TabelaPrincipal[[#This Row],[POSIÇÃO]]=1,TabelaPrincipal[[#This Row],[VALOR TOTAL DO LANCE]],)</f>
        <v>2685</v>
      </c>
      <c r="H2" s="14"/>
    </row>
    <row r="3" spans="1:8" ht="25.5" hidden="1" x14ac:dyDescent="0.25">
      <c r="A3" s="12">
        <f>IF(TabelaPrincipal[[#This Row],[POSIÇÃO]]=1, TabelaPrincipal[[#This Row],[ITEM]],)</f>
        <v>0</v>
      </c>
      <c r="B3" s="13">
        <f>IF(TabelaPrincipal[[#This Row],[POSIÇÃO]]=1, TabelaPrincipal[[#This Row],[DESCRIÇÃO]],)</f>
        <v>0</v>
      </c>
      <c r="C3" s="14">
        <f>IF(TabelaPrincipal[[#This Row],[POSIÇÃO]]=1,TabelaPrincipal[[#This Row],[UND]],)</f>
        <v>0</v>
      </c>
      <c r="D3" s="13">
        <f>IF(TabelaPrincipal[[#This Row],[POSIÇÃO]]=1,TabelaPrincipal[[#This Row],[QTD]],)</f>
        <v>0</v>
      </c>
      <c r="E3" s="13">
        <f>IF(TabelaPrincipal[[#This Row],[POSIÇÃO]]=1,TabelaPrincipal[[#This Row],[MARCA]],)</f>
        <v>0</v>
      </c>
      <c r="F3" s="15">
        <f>IF(TabelaPrincipal[[#This Row],[POSIÇÃO]]=1,TabelaPrincipal[[#This Row],[LANCE ATUAL]],)</f>
        <v>0</v>
      </c>
      <c r="G3" s="16">
        <f>IF(TabelaPrincipal[[#This Row],[POSIÇÃO]]=1,TabelaPrincipal[[#This Row],[VALOR TOTAL DO LANCE]],)</f>
        <v>0</v>
      </c>
      <c r="H3" s="14"/>
    </row>
    <row r="4" spans="1:8" ht="25.5" hidden="1" x14ac:dyDescent="0.25">
      <c r="A4" s="12">
        <f>IF(TabelaPrincipal[[#This Row],[POSIÇÃO]]=1, TabelaPrincipal[[#This Row],[ITEM]],)</f>
        <v>0</v>
      </c>
      <c r="B4" s="13">
        <f>IF(TabelaPrincipal[[#This Row],[POSIÇÃO]]=1, TabelaPrincipal[[#This Row],[DESCRIÇÃO]],)</f>
        <v>0</v>
      </c>
      <c r="C4" s="14">
        <f>IF(TabelaPrincipal[[#This Row],[POSIÇÃO]]=1,TabelaPrincipal[[#This Row],[UND]],)</f>
        <v>0</v>
      </c>
      <c r="D4" s="13">
        <f>IF(TabelaPrincipal[[#This Row],[POSIÇÃO]]=1,TabelaPrincipal[[#This Row],[QTD]],)</f>
        <v>0</v>
      </c>
      <c r="E4" s="13">
        <f>IF(TabelaPrincipal[[#This Row],[POSIÇÃO]]=1,TabelaPrincipal[[#This Row],[MARCA]],)</f>
        <v>0</v>
      </c>
      <c r="F4" s="15">
        <f>IF(TabelaPrincipal[[#This Row],[POSIÇÃO]]=1,TabelaPrincipal[[#This Row],[LANCE ATUAL]],)</f>
        <v>0</v>
      </c>
      <c r="G4" s="16">
        <f>IF(TabelaPrincipal[[#This Row],[POSIÇÃO]]=1,TabelaPrincipal[[#This Row],[VALOR TOTAL DO LANCE]],)</f>
        <v>0</v>
      </c>
      <c r="H4" s="14"/>
    </row>
    <row r="5" spans="1:8" ht="38.25" x14ac:dyDescent="0.25">
      <c r="A5" s="12">
        <f>IF(TabelaPrincipal[[#This Row],[POSIÇÃO]]=1, TabelaPrincipal[[#This Row],[ITEM]],)</f>
        <v>4</v>
      </c>
      <c r="B5" s="13" t="str">
        <f>IF(TabelaPrincipal[[#This Row],[POSIÇÃO]]=1, TabelaPrincipal[[#This Row],[DESCRIÇÃO]],)</f>
        <v>Enoxaparina, concentração: 100 mg/ml, forma farmacêutica: solução injetável, características adicionais 1: seringa preenchida 0,40 mL</v>
      </c>
      <c r="C5" s="14" t="str">
        <f>IF(TabelaPrincipal[[#This Row],[POSIÇÃO]]=1,TabelaPrincipal[[#This Row],[UND]],)</f>
        <v>Seringa 0,40 ml</v>
      </c>
      <c r="D5" s="13">
        <f>IF(TabelaPrincipal[[#This Row],[POSIÇÃO]]=1,TabelaPrincipal[[#This Row],[QTD]],)</f>
        <v>1000</v>
      </c>
      <c r="E5" s="13" t="str">
        <f>IF(TabelaPrincipal[[#This Row],[POSIÇÃO]]=1,TabelaPrincipal[[#This Row],[MARCA]],)</f>
        <v>Biomm</v>
      </c>
      <c r="F5" s="15">
        <f>IF(TabelaPrincipal[[#This Row],[POSIÇÃO]]=1,TabelaPrincipal[[#This Row],[LANCE ATUAL]],)</f>
        <v>18.79</v>
      </c>
      <c r="G5" s="16">
        <f>IF(TabelaPrincipal[[#This Row],[POSIÇÃO]]=1,TabelaPrincipal[[#This Row],[VALOR TOTAL DO LANCE]],)</f>
        <v>18790</v>
      </c>
      <c r="H5" s="14"/>
    </row>
    <row r="6" spans="1:8" ht="38.25" x14ac:dyDescent="0.25">
      <c r="A6" s="12">
        <f>IF(TabelaPrincipal[[#This Row],[POSIÇÃO]]=1, TabelaPrincipal[[#This Row],[ITEM]],)</f>
        <v>5</v>
      </c>
      <c r="B6" s="13" t="str">
        <f>IF(TabelaPrincipal[[#This Row],[POSIÇÃO]]=1, TabelaPrincipal[[#This Row],[DESCRIÇÃO]],)</f>
        <v>Enoxaparina, concentração: 100 mg/ml, forma farmacêutica: solução injetável, características adicionais 1: seringa preenchida 0,20 mL</v>
      </c>
      <c r="C6" s="14" t="str">
        <f>IF(TabelaPrincipal[[#This Row],[POSIÇÃO]]=1,TabelaPrincipal[[#This Row],[UND]],)</f>
        <v>Seringa 0,20 ml</v>
      </c>
      <c r="D6" s="13">
        <f>IF(TabelaPrincipal[[#This Row],[POSIÇÃO]]=1,TabelaPrincipal[[#This Row],[QTD]],)</f>
        <v>1000</v>
      </c>
      <c r="E6" s="13" t="str">
        <f>IF(TabelaPrincipal[[#This Row],[POSIÇÃO]]=1,TabelaPrincipal[[#This Row],[MARCA]],)</f>
        <v>Cristália</v>
      </c>
      <c r="F6" s="15">
        <f>IF(TabelaPrincipal[[#This Row],[POSIÇÃO]]=1,TabelaPrincipal[[#This Row],[LANCE ATUAL]],)</f>
        <v>14.87</v>
      </c>
      <c r="G6" s="16">
        <f>IF(TabelaPrincipal[[#This Row],[POSIÇÃO]]=1,TabelaPrincipal[[#This Row],[VALOR TOTAL DO LANCE]],)</f>
        <v>14870</v>
      </c>
      <c r="H6" s="14"/>
    </row>
    <row r="7" spans="1:8" hidden="1" x14ac:dyDescent="0.25">
      <c r="A7" s="12">
        <f>IF(TabelaPrincipal[[#This Row],[POSIÇÃO]]=1, TabelaPrincipal[[#This Row],[ITEM]],)</f>
        <v>0</v>
      </c>
      <c r="B7" s="13">
        <f>IF(TabelaPrincipal[[#This Row],[POSIÇÃO]]=1, TabelaPrincipal[[#This Row],[DESCRIÇÃO]],)</f>
        <v>0</v>
      </c>
      <c r="C7" s="14">
        <f>IF(TabelaPrincipal[[#This Row],[POSIÇÃO]]=1,TabelaPrincipal[[#This Row],[UND]],)</f>
        <v>0</v>
      </c>
      <c r="D7" s="13">
        <f>IF(TabelaPrincipal[[#This Row],[POSIÇÃO]]=1,TabelaPrincipal[[#This Row],[QTD]],)</f>
        <v>0</v>
      </c>
      <c r="E7" s="13">
        <f>IF(TabelaPrincipal[[#This Row],[POSIÇÃO]]=1,TabelaPrincipal[[#This Row],[MARCA]],)</f>
        <v>0</v>
      </c>
      <c r="F7" s="15">
        <f>IF(TabelaPrincipal[[#This Row],[POSIÇÃO]]=1,TabelaPrincipal[[#This Row],[LANCE ATUAL]],)</f>
        <v>0</v>
      </c>
      <c r="G7" s="16">
        <f>IF(TabelaPrincipal[[#This Row],[POSIÇÃO]]=1,TabelaPrincipal[[#This Row],[VALOR TOTAL DO LANCE]],)</f>
        <v>0</v>
      </c>
      <c r="H7" s="14"/>
    </row>
    <row r="8" spans="1:8" x14ac:dyDescent="0.25">
      <c r="A8" s="12">
        <f>IF(TabelaPrincipal[[#This Row],[POSIÇÃO]]=1, TabelaPrincipal[[#This Row],[ITEM]],)</f>
        <v>7</v>
      </c>
      <c r="B8" s="13" t="str">
        <f>IF(TabelaPrincipal[[#This Row],[POSIÇÃO]]=1, TabelaPrincipal[[#This Row],[DESCRIÇÃO]],)</f>
        <v>Colecalciferol, concentração: 50.000 UI</v>
      </c>
      <c r="C8" s="14" t="str">
        <f>IF(TabelaPrincipal[[#This Row],[POSIÇÃO]]=1,TabelaPrincipal[[#This Row],[UND]],)</f>
        <v>Cápsula</v>
      </c>
      <c r="D8" s="13">
        <f>IF(TabelaPrincipal[[#This Row],[POSIÇÃO]]=1,TabelaPrincipal[[#This Row],[QTD]],)</f>
        <v>1600</v>
      </c>
      <c r="E8" s="13" t="str">
        <f>IF(TabelaPrincipal[[#This Row],[POSIÇÃO]]=1,TabelaPrincipal[[#This Row],[MARCA]],)</f>
        <v>Biolab</v>
      </c>
      <c r="F8" s="15">
        <f>IF(TabelaPrincipal[[#This Row],[POSIÇÃO]]=1,TabelaPrincipal[[#This Row],[LANCE ATUAL]],)</f>
        <v>3</v>
      </c>
      <c r="G8" s="16">
        <f>IF(TabelaPrincipal[[#This Row],[POSIÇÃO]]=1,TabelaPrincipal[[#This Row],[VALOR TOTAL DO LANCE]],)</f>
        <v>4800</v>
      </c>
      <c r="H8" s="14"/>
    </row>
    <row r="9" spans="1:8" ht="25.5" hidden="1" x14ac:dyDescent="0.25">
      <c r="A9" s="12">
        <f>IF(TabelaPrincipal[[#This Row],[POSIÇÃO]]=1, TabelaPrincipal[[#This Row],[ITEM]],)</f>
        <v>0</v>
      </c>
      <c r="B9" s="13">
        <f>IF(TabelaPrincipal[[#This Row],[POSIÇÃO]]=1, TabelaPrincipal[[#This Row],[DESCRIÇÃO]],)</f>
        <v>0</v>
      </c>
      <c r="C9" s="14">
        <f>IF(TabelaPrincipal[[#This Row],[POSIÇÃO]]=1,TabelaPrincipal[[#This Row],[UND]],)</f>
        <v>0</v>
      </c>
      <c r="D9" s="13">
        <f>IF(TabelaPrincipal[[#This Row],[POSIÇÃO]]=1,TabelaPrincipal[[#This Row],[QTD]],)</f>
        <v>0</v>
      </c>
      <c r="E9" s="13">
        <f>IF(TabelaPrincipal[[#This Row],[POSIÇÃO]]=1,TabelaPrincipal[[#This Row],[MARCA]],)</f>
        <v>0</v>
      </c>
      <c r="F9" s="15">
        <f>IF(TabelaPrincipal[[#This Row],[POSIÇÃO]]=1,TabelaPrincipal[[#This Row],[LANCE ATUAL]],)</f>
        <v>0</v>
      </c>
      <c r="G9" s="16">
        <f>IF(TabelaPrincipal[[#This Row],[POSIÇÃO]]=1,TabelaPrincipal[[#This Row],[VALOR TOTAL DO LANCE]],)</f>
        <v>0</v>
      </c>
      <c r="H9" s="14"/>
    </row>
    <row r="10" spans="1:8" hidden="1" x14ac:dyDescent="0.25">
      <c r="A10" s="12">
        <f>IF(TabelaPrincipal[[#This Row],[POSIÇÃO]]=1, TabelaPrincipal[[#This Row],[ITEM]],)</f>
        <v>0</v>
      </c>
      <c r="B10" s="13">
        <f>IF(TabelaPrincipal[[#This Row],[POSIÇÃO]]=1, TabelaPrincipal[[#This Row],[DESCRIÇÃO]],)</f>
        <v>0</v>
      </c>
      <c r="C10" s="14">
        <f>IF(TabelaPrincipal[[#This Row],[POSIÇÃO]]=1,TabelaPrincipal[[#This Row],[UND]],)</f>
        <v>0</v>
      </c>
      <c r="D10" s="13">
        <f>IF(TabelaPrincipal[[#This Row],[POSIÇÃO]]=1,TabelaPrincipal[[#This Row],[QTD]],)</f>
        <v>0</v>
      </c>
      <c r="E10" s="13">
        <f>IF(TabelaPrincipal[[#This Row],[POSIÇÃO]]=1,TabelaPrincipal[[#This Row],[MARCA]],)</f>
        <v>0</v>
      </c>
      <c r="F10" s="15">
        <f>IF(TabelaPrincipal[[#This Row],[POSIÇÃO]]=1,TabelaPrincipal[[#This Row],[LANCE ATUAL]],)</f>
        <v>0</v>
      </c>
      <c r="G10" s="16">
        <f>IF(TabelaPrincipal[[#This Row],[POSIÇÃO]]=1,TabelaPrincipal[[#This Row],[VALOR TOTAL DO LANCE]],)</f>
        <v>0</v>
      </c>
      <c r="H10" s="14"/>
    </row>
    <row r="11" spans="1:8" hidden="1" x14ac:dyDescent="0.25">
      <c r="A11" s="12">
        <f>IF(TabelaPrincipal[[#This Row],[POSIÇÃO]]=1, TabelaPrincipal[[#This Row],[ITEM]],)</f>
        <v>0</v>
      </c>
      <c r="B11" s="13">
        <f>IF(TabelaPrincipal[[#This Row],[POSIÇÃO]]=1, TabelaPrincipal[[#This Row],[DESCRIÇÃO]],)</f>
        <v>0</v>
      </c>
      <c r="C11" s="14">
        <f>IF(TabelaPrincipal[[#This Row],[POSIÇÃO]]=1,TabelaPrincipal[[#This Row],[UND]],)</f>
        <v>0</v>
      </c>
      <c r="D11" s="13">
        <f>IF(TabelaPrincipal[[#This Row],[POSIÇÃO]]=1,TabelaPrincipal[[#This Row],[QTD]],)</f>
        <v>0</v>
      </c>
      <c r="E11" s="13">
        <f>IF(TabelaPrincipal[[#This Row],[POSIÇÃO]]=1,TabelaPrincipal[[#This Row],[MARCA]],)</f>
        <v>0</v>
      </c>
      <c r="F11" s="15">
        <f>IF(TabelaPrincipal[[#This Row],[POSIÇÃO]]=1,TabelaPrincipal[[#This Row],[LANCE ATUAL]],)</f>
        <v>0</v>
      </c>
      <c r="G11" s="16">
        <f>IF(TabelaPrincipal[[#This Row],[POSIÇÃO]]=1,TabelaPrincipal[[#This Row],[VALOR TOTAL DO LANCE]],)</f>
        <v>0</v>
      </c>
      <c r="H11" s="14"/>
    </row>
    <row r="12" spans="1:8" ht="25.5" hidden="1" x14ac:dyDescent="0.25">
      <c r="A12" s="12">
        <f>IF(TabelaPrincipal[[#This Row],[POSIÇÃO]]=1, TabelaPrincipal[[#This Row],[ITEM]],)</f>
        <v>0</v>
      </c>
      <c r="B12" s="13">
        <f>IF(TabelaPrincipal[[#This Row],[POSIÇÃO]]=1, TabelaPrincipal[[#This Row],[DESCRIÇÃO]],)</f>
        <v>0</v>
      </c>
      <c r="C12" s="14">
        <f>IF(TabelaPrincipal[[#This Row],[POSIÇÃO]]=1,TabelaPrincipal[[#This Row],[UND]],)</f>
        <v>0</v>
      </c>
      <c r="D12" s="13">
        <f>IF(TabelaPrincipal[[#This Row],[POSIÇÃO]]=1,TabelaPrincipal[[#This Row],[QTD]],)</f>
        <v>0</v>
      </c>
      <c r="E12" s="13">
        <f>IF(TabelaPrincipal[[#This Row],[POSIÇÃO]]=1,TabelaPrincipal[[#This Row],[MARCA]],)</f>
        <v>0</v>
      </c>
      <c r="F12" s="15">
        <f>IF(TabelaPrincipal[[#This Row],[POSIÇÃO]]=1,TabelaPrincipal[[#This Row],[LANCE ATUAL]],)</f>
        <v>0</v>
      </c>
      <c r="G12" s="16">
        <f>IF(TabelaPrincipal[[#This Row],[POSIÇÃO]]=1,TabelaPrincipal[[#This Row],[VALOR TOTAL DO LANCE]],)</f>
        <v>0</v>
      </c>
      <c r="H12" s="14"/>
    </row>
    <row r="13" spans="1:8" hidden="1" x14ac:dyDescent="0.25">
      <c r="A13" s="12">
        <f>IF(TabelaPrincipal[[#This Row],[POSIÇÃO]]=1, TabelaPrincipal[[#This Row],[ITEM]],)</f>
        <v>0</v>
      </c>
      <c r="B13" s="13">
        <f>IF(TabelaPrincipal[[#This Row],[POSIÇÃO]]=1, TabelaPrincipal[[#This Row],[DESCRIÇÃO]],)</f>
        <v>0</v>
      </c>
      <c r="C13" s="14">
        <f>IF(TabelaPrincipal[[#This Row],[POSIÇÃO]]=1,TabelaPrincipal[[#This Row],[UND]],)</f>
        <v>0</v>
      </c>
      <c r="D13" s="13">
        <f>IF(TabelaPrincipal[[#This Row],[POSIÇÃO]]=1,TabelaPrincipal[[#This Row],[QTD]],)</f>
        <v>0</v>
      </c>
      <c r="E13" s="13">
        <f>IF(TabelaPrincipal[[#This Row],[POSIÇÃO]]=1,TabelaPrincipal[[#This Row],[MARCA]],)</f>
        <v>0</v>
      </c>
      <c r="F13" s="15">
        <f>IF(TabelaPrincipal[[#This Row],[POSIÇÃO]]=1,TabelaPrincipal[[#This Row],[LANCE ATUAL]],)</f>
        <v>0</v>
      </c>
      <c r="G13" s="16">
        <f>IF(TabelaPrincipal[[#This Row],[POSIÇÃO]]=1,TabelaPrincipal[[#This Row],[VALOR TOTAL DO LANCE]],)</f>
        <v>0</v>
      </c>
      <c r="H13" s="14"/>
    </row>
    <row r="14" spans="1:8" hidden="1" x14ac:dyDescent="0.25">
      <c r="A14" s="12">
        <f>IF(TabelaPrincipal[[#This Row],[POSIÇÃO]]=1, TabelaPrincipal[[#This Row],[ITEM]],)</f>
        <v>0</v>
      </c>
      <c r="B14" s="13">
        <f>IF(TabelaPrincipal[[#This Row],[POSIÇÃO]]=1, TabelaPrincipal[[#This Row],[DESCRIÇÃO]],)</f>
        <v>0</v>
      </c>
      <c r="C14" s="14">
        <f>IF(TabelaPrincipal[[#This Row],[POSIÇÃO]]=1,TabelaPrincipal[[#This Row],[UND]],)</f>
        <v>0</v>
      </c>
      <c r="D14" s="13">
        <f>IF(TabelaPrincipal[[#This Row],[POSIÇÃO]]=1,TabelaPrincipal[[#This Row],[QTD]],)</f>
        <v>0</v>
      </c>
      <c r="E14" s="13">
        <f>IF(TabelaPrincipal[[#This Row],[POSIÇÃO]]=1,TabelaPrincipal[[#This Row],[MARCA]],)</f>
        <v>0</v>
      </c>
      <c r="F14" s="15">
        <f>IF(TabelaPrincipal[[#This Row],[POSIÇÃO]]=1,TabelaPrincipal[[#This Row],[LANCE ATUAL]],)</f>
        <v>0</v>
      </c>
      <c r="G14" s="16">
        <f>IF(TabelaPrincipal[[#This Row],[POSIÇÃO]]=1,TabelaPrincipal[[#This Row],[VALOR TOTAL DO LANCE]],)</f>
        <v>0</v>
      </c>
      <c r="H14" s="14"/>
    </row>
    <row r="15" spans="1:8" hidden="1" x14ac:dyDescent="0.25">
      <c r="A15" s="12">
        <f>IF(TabelaPrincipal[[#This Row],[POSIÇÃO]]=1, TabelaPrincipal[[#This Row],[ITEM]],)</f>
        <v>0</v>
      </c>
      <c r="B15" s="13">
        <f>IF(TabelaPrincipal[[#This Row],[POSIÇÃO]]=1, TabelaPrincipal[[#This Row],[DESCRIÇÃO]],)</f>
        <v>0</v>
      </c>
      <c r="C15" s="14">
        <f>IF(TabelaPrincipal[[#This Row],[POSIÇÃO]]=1,TabelaPrincipal[[#This Row],[UND]],)</f>
        <v>0</v>
      </c>
      <c r="D15" s="13">
        <f>IF(TabelaPrincipal[[#This Row],[POSIÇÃO]]=1,TabelaPrincipal[[#This Row],[QTD]],)</f>
        <v>0</v>
      </c>
      <c r="E15" s="13">
        <f>IF(TabelaPrincipal[[#This Row],[POSIÇÃO]]=1,TabelaPrincipal[[#This Row],[MARCA]],)</f>
        <v>0</v>
      </c>
      <c r="F15" s="15">
        <f>IF(TabelaPrincipal[[#This Row],[POSIÇÃO]]=1,TabelaPrincipal[[#This Row],[LANCE ATUAL]],)</f>
        <v>0</v>
      </c>
      <c r="G15" s="16">
        <f>IF(TabelaPrincipal[[#This Row],[POSIÇÃO]]=1,TabelaPrincipal[[#This Row],[VALOR TOTAL DO LANCE]],)</f>
        <v>0</v>
      </c>
      <c r="H15" s="14"/>
    </row>
    <row r="16" spans="1:8" hidden="1" x14ac:dyDescent="0.25">
      <c r="A16" s="12">
        <f>IF(TabelaPrincipal[[#This Row],[POSIÇÃO]]=1, TabelaPrincipal[[#This Row],[ITEM]],)</f>
        <v>0</v>
      </c>
      <c r="B16" s="13">
        <f>IF(TabelaPrincipal[[#This Row],[POSIÇÃO]]=1, TabelaPrincipal[[#This Row],[DESCRIÇÃO]],)</f>
        <v>0</v>
      </c>
      <c r="C16" s="14">
        <f>IF(TabelaPrincipal[[#This Row],[POSIÇÃO]]=1,TabelaPrincipal[[#This Row],[UND]],)</f>
        <v>0</v>
      </c>
      <c r="D16" s="13">
        <f>IF(TabelaPrincipal[[#This Row],[POSIÇÃO]]=1,TabelaPrincipal[[#This Row],[QTD]],)</f>
        <v>0</v>
      </c>
      <c r="E16" s="13">
        <f>IF(TabelaPrincipal[[#This Row],[POSIÇÃO]]=1,TabelaPrincipal[[#This Row],[MARCA]],)</f>
        <v>0</v>
      </c>
      <c r="F16" s="15">
        <f>IF(TabelaPrincipal[[#This Row],[POSIÇÃO]]=1,TabelaPrincipal[[#This Row],[LANCE ATUAL]],)</f>
        <v>0</v>
      </c>
      <c r="G16" s="16">
        <f>IF(TabelaPrincipal[[#This Row],[POSIÇÃO]]=1,TabelaPrincipal[[#This Row],[VALOR TOTAL DO LANCE]],)</f>
        <v>0</v>
      </c>
      <c r="H16" s="14"/>
    </row>
    <row r="17" spans="1:8" hidden="1" x14ac:dyDescent="0.25">
      <c r="A17" s="12">
        <f>IF(TabelaPrincipal[[#This Row],[POSIÇÃO]]=1, TabelaPrincipal[[#This Row],[ITEM]],)</f>
        <v>0</v>
      </c>
      <c r="B17" s="13">
        <f>IF(TabelaPrincipal[[#This Row],[POSIÇÃO]]=1, TabelaPrincipal[[#This Row],[DESCRIÇÃO]],)</f>
        <v>0</v>
      </c>
      <c r="C17" s="14">
        <f>IF(TabelaPrincipal[[#This Row],[POSIÇÃO]]=1,TabelaPrincipal[[#This Row],[UND]],)</f>
        <v>0</v>
      </c>
      <c r="D17" s="13">
        <f>IF(TabelaPrincipal[[#This Row],[POSIÇÃO]]=1,TabelaPrincipal[[#This Row],[QTD]],)</f>
        <v>0</v>
      </c>
      <c r="E17" s="13">
        <f>IF(TabelaPrincipal[[#This Row],[POSIÇÃO]]=1,TabelaPrincipal[[#This Row],[MARCA]],)</f>
        <v>0</v>
      </c>
      <c r="F17" s="15">
        <f>IF(TabelaPrincipal[[#This Row],[POSIÇÃO]]=1,TabelaPrincipal[[#This Row],[LANCE ATUAL]],)</f>
        <v>0</v>
      </c>
      <c r="G17" s="16">
        <f>IF(TabelaPrincipal[[#This Row],[POSIÇÃO]]=1,TabelaPrincipal[[#This Row],[VALOR TOTAL DO LANCE]],)</f>
        <v>0</v>
      </c>
      <c r="H17" s="14"/>
    </row>
    <row r="18" spans="1:8" ht="25.5" hidden="1" x14ac:dyDescent="0.25">
      <c r="A18" s="12">
        <f>IF(TabelaPrincipal[[#This Row],[POSIÇÃO]]=1, TabelaPrincipal[[#This Row],[ITEM]],)</f>
        <v>0</v>
      </c>
      <c r="B18" s="13">
        <f>IF(TabelaPrincipal[[#This Row],[POSIÇÃO]]=1, TabelaPrincipal[[#This Row],[DESCRIÇÃO]],)</f>
        <v>0</v>
      </c>
      <c r="C18" s="14">
        <f>IF(TabelaPrincipal[[#This Row],[POSIÇÃO]]=1,TabelaPrincipal[[#This Row],[UND]],)</f>
        <v>0</v>
      </c>
      <c r="D18" s="13">
        <f>IF(TabelaPrincipal[[#This Row],[POSIÇÃO]]=1,TabelaPrincipal[[#This Row],[QTD]],)</f>
        <v>0</v>
      </c>
      <c r="E18" s="13">
        <f>IF(TabelaPrincipal[[#This Row],[POSIÇÃO]]=1,TabelaPrincipal[[#This Row],[MARCA]],)</f>
        <v>0</v>
      </c>
      <c r="F18" s="15">
        <f>IF(TabelaPrincipal[[#This Row],[POSIÇÃO]]=1,TabelaPrincipal[[#This Row],[LANCE ATUAL]],)</f>
        <v>0</v>
      </c>
      <c r="G18" s="16">
        <f>IF(TabelaPrincipal[[#This Row],[POSIÇÃO]]=1,TabelaPrincipal[[#This Row],[VALOR TOTAL DO LANCE]],)</f>
        <v>0</v>
      </c>
      <c r="H18" s="14"/>
    </row>
    <row r="19" spans="1:8" ht="25.5" hidden="1" x14ac:dyDescent="0.25">
      <c r="A19" s="12">
        <f>IF(TabelaPrincipal[[#This Row],[POSIÇÃO]]=1, TabelaPrincipal[[#This Row],[ITEM]],)</f>
        <v>0</v>
      </c>
      <c r="B19" s="13">
        <f>IF(TabelaPrincipal[[#This Row],[POSIÇÃO]]=1, TabelaPrincipal[[#This Row],[DESCRIÇÃO]],)</f>
        <v>0</v>
      </c>
      <c r="C19" s="14">
        <f>IF(TabelaPrincipal[[#This Row],[POSIÇÃO]]=1,TabelaPrincipal[[#This Row],[UND]],)</f>
        <v>0</v>
      </c>
      <c r="D19" s="13">
        <f>IF(TabelaPrincipal[[#This Row],[POSIÇÃO]]=1,TabelaPrincipal[[#This Row],[QTD]],)</f>
        <v>0</v>
      </c>
      <c r="E19" s="13">
        <f>IF(TabelaPrincipal[[#This Row],[POSIÇÃO]]=1,TabelaPrincipal[[#This Row],[MARCA]],)</f>
        <v>0</v>
      </c>
      <c r="F19" s="15">
        <f>IF(TabelaPrincipal[[#This Row],[POSIÇÃO]]=1,TabelaPrincipal[[#This Row],[LANCE ATUAL]],)</f>
        <v>0</v>
      </c>
      <c r="G19" s="16">
        <f>IF(TabelaPrincipal[[#This Row],[POSIÇÃO]]=1,TabelaPrincipal[[#This Row],[VALOR TOTAL DO LANCE]],)</f>
        <v>0</v>
      </c>
      <c r="H19" s="14"/>
    </row>
    <row r="20" spans="1:8" hidden="1" x14ac:dyDescent="0.25">
      <c r="A20" s="12">
        <f>IF(TabelaPrincipal[[#This Row],[POSIÇÃO]]=1, TabelaPrincipal[[#This Row],[ITEM]],)</f>
        <v>0</v>
      </c>
      <c r="B20" s="13">
        <f>IF(TabelaPrincipal[[#This Row],[POSIÇÃO]]=1, TabelaPrincipal[[#This Row],[DESCRIÇÃO]],)</f>
        <v>0</v>
      </c>
      <c r="C20" s="14">
        <f>IF(TabelaPrincipal[[#This Row],[POSIÇÃO]]=1,TabelaPrincipal[[#This Row],[UND]],)</f>
        <v>0</v>
      </c>
      <c r="D20" s="13">
        <f>IF(TabelaPrincipal[[#This Row],[POSIÇÃO]]=1,TabelaPrincipal[[#This Row],[QTD]],)</f>
        <v>0</v>
      </c>
      <c r="E20" s="13">
        <f>IF(TabelaPrincipal[[#This Row],[POSIÇÃO]]=1,TabelaPrincipal[[#This Row],[MARCA]],)</f>
        <v>0</v>
      </c>
      <c r="F20" s="15">
        <f>IF(TabelaPrincipal[[#This Row],[POSIÇÃO]]=1,TabelaPrincipal[[#This Row],[LANCE ATUAL]],)</f>
        <v>0</v>
      </c>
      <c r="G20" s="16">
        <f>IF(TabelaPrincipal[[#This Row],[POSIÇÃO]]=1,TabelaPrincipal[[#This Row],[VALOR TOTAL DO LANCE]],)</f>
        <v>0</v>
      </c>
      <c r="H20" s="14"/>
    </row>
    <row r="21" spans="1:8" x14ac:dyDescent="0.25">
      <c r="A21" s="12">
        <f>IF(TabelaPrincipal[[#This Row],[POSIÇÃO]]=1, TabelaPrincipal[[#This Row],[ITEM]],)</f>
        <v>20</v>
      </c>
      <c r="B21" s="13" t="str">
        <f>IF(TabelaPrincipal[[#This Row],[POSIÇÃO]]=1, TabelaPrincipal[[#This Row],[DESCRIÇÃO]],)</f>
        <v>Cloreto de potássio 2,56 mEq/mL (19,1%) solução injetável</v>
      </c>
      <c r="C21" s="14" t="str">
        <f>IF(TabelaPrincipal[[#This Row],[POSIÇÃO]]=1,TabelaPrincipal[[#This Row],[UND]],)</f>
        <v>Ampola 10 ml</v>
      </c>
      <c r="D21" s="13">
        <f>IF(TabelaPrincipal[[#This Row],[POSIÇÃO]]=1,TabelaPrincipal[[#This Row],[QTD]],)</f>
        <v>400</v>
      </c>
      <c r="E21" s="13" t="str">
        <f>IF(TabelaPrincipal[[#This Row],[POSIÇÃO]]=1,TabelaPrincipal[[#This Row],[MARCA]],)</f>
        <v>Isofarma</v>
      </c>
      <c r="F21" s="15">
        <f>IF(TabelaPrincipal[[#This Row],[POSIÇÃO]]=1,TabelaPrincipal[[#This Row],[LANCE ATUAL]],)</f>
        <v>1.26</v>
      </c>
      <c r="G21" s="16">
        <f>IF(TabelaPrincipal[[#This Row],[POSIÇÃO]]=1,TabelaPrincipal[[#This Row],[VALOR TOTAL DO LANCE]],)</f>
        <v>504</v>
      </c>
      <c r="H21" s="14"/>
    </row>
    <row r="22" spans="1:8" x14ac:dyDescent="0.25">
      <c r="A22" s="12">
        <f>IF(TabelaPrincipal[[#This Row],[POSIÇÃO]]=1, TabelaPrincipal[[#This Row],[ITEM]],)</f>
        <v>21</v>
      </c>
      <c r="B22" s="13" t="str">
        <f>IF(TabelaPrincipal[[#This Row],[POSIÇÃO]]=1, TabelaPrincipal[[#This Row],[DESCRIÇÃO]],)</f>
        <v>Cloreto de sódio 3,4 mEq/mL (20%) solução injetável</v>
      </c>
      <c r="C22" s="14" t="str">
        <f>IF(TabelaPrincipal[[#This Row],[POSIÇÃO]]=1,TabelaPrincipal[[#This Row],[UND]],)</f>
        <v>Ampola 10 ml</v>
      </c>
      <c r="D22" s="13">
        <f>IF(TabelaPrincipal[[#This Row],[POSIÇÃO]]=1,TabelaPrincipal[[#This Row],[QTD]],)</f>
        <v>400</v>
      </c>
      <c r="E22" s="13" t="str">
        <f>IF(TabelaPrincipal[[#This Row],[POSIÇÃO]]=1,TabelaPrincipal[[#This Row],[MARCA]],)</f>
        <v>Isofarma</v>
      </c>
      <c r="F22" s="15">
        <f>IF(TabelaPrincipal[[#This Row],[POSIÇÃO]]=1,TabelaPrincipal[[#This Row],[LANCE ATUAL]],)</f>
        <v>1.3</v>
      </c>
      <c r="G22" s="16">
        <f>IF(TabelaPrincipal[[#This Row],[POSIÇÃO]]=1,TabelaPrincipal[[#This Row],[VALOR TOTAL DO LANCE]],)</f>
        <v>520</v>
      </c>
      <c r="H22" s="14"/>
    </row>
    <row r="23" spans="1:8" hidden="1" x14ac:dyDescent="0.25">
      <c r="A23" s="12">
        <f>IF(TabelaPrincipal[[#This Row],[POSIÇÃO]]=1, TabelaPrincipal[[#This Row],[ITEM]],)</f>
        <v>0</v>
      </c>
      <c r="B23" s="13">
        <f>IF(TabelaPrincipal[[#This Row],[POSIÇÃO]]=1, TabelaPrincipal[[#This Row],[DESCRIÇÃO]],)</f>
        <v>0</v>
      </c>
      <c r="C23" s="14">
        <f>IF(TabelaPrincipal[[#This Row],[POSIÇÃO]]=1,TabelaPrincipal[[#This Row],[UND]],)</f>
        <v>0</v>
      </c>
      <c r="D23" s="13">
        <f>IF(TabelaPrincipal[[#This Row],[POSIÇÃO]]=1,TabelaPrincipal[[#This Row],[QTD]],)</f>
        <v>0</v>
      </c>
      <c r="E23" s="13">
        <f>IF(TabelaPrincipal[[#This Row],[POSIÇÃO]]=1,TabelaPrincipal[[#This Row],[MARCA]],)</f>
        <v>0</v>
      </c>
      <c r="F23" s="15">
        <f>IF(TabelaPrincipal[[#This Row],[POSIÇÃO]]=1,TabelaPrincipal[[#This Row],[LANCE ATUAL]],)</f>
        <v>0</v>
      </c>
      <c r="G23" s="16">
        <f>IF(TabelaPrincipal[[#This Row],[POSIÇÃO]]=1,TabelaPrincipal[[#This Row],[VALOR TOTAL DO LANCE]],)</f>
        <v>0</v>
      </c>
      <c r="H23" s="14"/>
    </row>
    <row r="24" spans="1:8" hidden="1" x14ac:dyDescent="0.25">
      <c r="A24" s="12">
        <f>IF(TabelaPrincipal[[#This Row],[POSIÇÃO]]=1, TabelaPrincipal[[#This Row],[ITEM]],)</f>
        <v>0</v>
      </c>
      <c r="B24" s="13">
        <f>IF(TabelaPrincipal[[#This Row],[POSIÇÃO]]=1, TabelaPrincipal[[#This Row],[DESCRIÇÃO]],)</f>
        <v>0</v>
      </c>
      <c r="C24" s="14">
        <f>IF(TabelaPrincipal[[#This Row],[POSIÇÃO]]=1,TabelaPrincipal[[#This Row],[UND]],)</f>
        <v>0</v>
      </c>
      <c r="D24" s="13">
        <f>IF(TabelaPrincipal[[#This Row],[POSIÇÃO]]=1,TabelaPrincipal[[#This Row],[QTD]],)</f>
        <v>0</v>
      </c>
      <c r="E24" s="13">
        <f>IF(TabelaPrincipal[[#This Row],[POSIÇÃO]]=1,TabelaPrincipal[[#This Row],[MARCA]],)</f>
        <v>0</v>
      </c>
      <c r="F24" s="15">
        <f>IF(TabelaPrincipal[[#This Row],[POSIÇÃO]]=1,TabelaPrincipal[[#This Row],[LANCE ATUAL]],)</f>
        <v>0</v>
      </c>
      <c r="G24" s="16">
        <f>IF(TabelaPrincipal[[#This Row],[POSIÇÃO]]=1,TabelaPrincipal[[#This Row],[VALOR TOTAL DO LANCE]],)</f>
        <v>0</v>
      </c>
      <c r="H24" s="14"/>
    </row>
    <row r="25" spans="1:8" hidden="1" x14ac:dyDescent="0.25">
      <c r="A25" s="12">
        <f>IF(TabelaPrincipal[[#This Row],[POSIÇÃO]]=1, TabelaPrincipal[[#This Row],[ITEM]],)</f>
        <v>0</v>
      </c>
      <c r="B25" s="13">
        <f>IF(TabelaPrincipal[[#This Row],[POSIÇÃO]]=1, TabelaPrincipal[[#This Row],[DESCRIÇÃO]],)</f>
        <v>0</v>
      </c>
      <c r="C25" s="14">
        <f>IF(TabelaPrincipal[[#This Row],[POSIÇÃO]]=1,TabelaPrincipal[[#This Row],[UND]],)</f>
        <v>0</v>
      </c>
      <c r="D25" s="13">
        <f>IF(TabelaPrincipal[[#This Row],[POSIÇÃO]]=1,TabelaPrincipal[[#This Row],[QTD]],)</f>
        <v>0</v>
      </c>
      <c r="E25" s="13">
        <f>IF(TabelaPrincipal[[#This Row],[POSIÇÃO]]=1,TabelaPrincipal[[#This Row],[MARCA]],)</f>
        <v>0</v>
      </c>
      <c r="F25" s="15">
        <f>IF(TabelaPrincipal[[#This Row],[POSIÇÃO]]=1,TabelaPrincipal[[#This Row],[LANCE ATUAL]],)</f>
        <v>0</v>
      </c>
      <c r="G25" s="16">
        <f>IF(TabelaPrincipal[[#This Row],[POSIÇÃO]]=1,TabelaPrincipal[[#This Row],[VALOR TOTAL DO LANCE]],)</f>
        <v>0</v>
      </c>
      <c r="H25" s="14"/>
    </row>
    <row r="26" spans="1:8" ht="25.5" x14ac:dyDescent="0.25">
      <c r="A26" s="12">
        <f>IF(TabelaPrincipal[[#This Row],[POSIÇÃO]]=1, TabelaPrincipal[[#This Row],[ITEM]],)</f>
        <v>25</v>
      </c>
      <c r="B26" s="13" t="str">
        <f>IF(TabelaPrincipal[[#This Row],[POSIÇÃO]]=1, TabelaPrincipal[[#This Row],[DESCRIÇÃO]],)</f>
        <v>Orfenadrinacitrato, composição: associada com dipirona e cafeína, dosagem: 35mg + 300mg + 50mg</v>
      </c>
      <c r="C26" s="14" t="str">
        <f>IF(TabelaPrincipal[[#This Row],[POSIÇÃO]]=1,TabelaPrincipal[[#This Row],[UND]],)</f>
        <v>Comprimido</v>
      </c>
      <c r="D26" s="13">
        <f>IF(TabelaPrincipal[[#This Row],[POSIÇÃO]]=1,TabelaPrincipal[[#This Row],[QTD]],)</f>
        <v>10000</v>
      </c>
      <c r="E26" s="13" t="str">
        <f>IF(TabelaPrincipal[[#This Row],[POSIÇÃO]]=1,TabelaPrincipal[[#This Row],[MARCA]],)</f>
        <v>Brainfarma</v>
      </c>
      <c r="F26" s="15">
        <f>IF(TabelaPrincipal[[#This Row],[POSIÇÃO]]=1,TabelaPrincipal[[#This Row],[LANCE ATUAL]],)</f>
        <v>0.28999999999999998</v>
      </c>
      <c r="G26" s="16">
        <f>IF(TabelaPrincipal[[#This Row],[POSIÇÃO]]=1,TabelaPrincipal[[#This Row],[VALOR TOTAL DO LANCE]],)</f>
        <v>2900</v>
      </c>
      <c r="H26" s="14"/>
    </row>
    <row r="27" spans="1:8" ht="38.25" hidden="1" x14ac:dyDescent="0.25">
      <c r="A27" s="12">
        <f>IF(TabelaPrincipal[[#This Row],[POSIÇÃO]]=1, TabelaPrincipal[[#This Row],[ITEM]],)</f>
        <v>0</v>
      </c>
      <c r="B27" s="13">
        <f>IF(TabelaPrincipal[[#This Row],[POSIÇÃO]]=1, TabelaPrincipal[[#This Row],[DESCRIÇÃO]],)</f>
        <v>0</v>
      </c>
      <c r="C27" s="14">
        <f>IF(TabelaPrincipal[[#This Row],[POSIÇÃO]]=1,TabelaPrincipal[[#This Row],[UND]],)</f>
        <v>0</v>
      </c>
      <c r="D27" s="13">
        <f>IF(TabelaPrincipal[[#This Row],[POSIÇÃO]]=1,TabelaPrincipal[[#This Row],[QTD]],)</f>
        <v>0</v>
      </c>
      <c r="E27" s="13">
        <f>IF(TabelaPrincipal[[#This Row],[POSIÇÃO]]=1,TabelaPrincipal[[#This Row],[MARCA]],)</f>
        <v>0</v>
      </c>
      <c r="F27" s="15">
        <f>IF(TabelaPrincipal[[#This Row],[POSIÇÃO]]=1,TabelaPrincipal[[#This Row],[LANCE ATUAL]],)</f>
        <v>0</v>
      </c>
      <c r="G27" s="16">
        <f>IF(TabelaPrincipal[[#This Row],[POSIÇÃO]]=1,TabelaPrincipal[[#This Row],[VALOR TOTAL DO LANCE]],)</f>
        <v>0</v>
      </c>
      <c r="H27" s="14"/>
    </row>
    <row r="28" spans="1:8" ht="25.5" hidden="1" x14ac:dyDescent="0.25">
      <c r="A28" s="12">
        <f>IF(TabelaPrincipal[[#This Row],[POSIÇÃO]]=1, TabelaPrincipal[[#This Row],[ITEM]],)</f>
        <v>0</v>
      </c>
      <c r="B28" s="13">
        <f>IF(TabelaPrincipal[[#This Row],[POSIÇÃO]]=1, TabelaPrincipal[[#This Row],[DESCRIÇÃO]],)</f>
        <v>0</v>
      </c>
      <c r="C28" s="14">
        <f>IF(TabelaPrincipal[[#This Row],[POSIÇÃO]]=1,TabelaPrincipal[[#This Row],[UND]],)</f>
        <v>0</v>
      </c>
      <c r="D28" s="13">
        <f>IF(TabelaPrincipal[[#This Row],[POSIÇÃO]]=1,TabelaPrincipal[[#This Row],[QTD]],)</f>
        <v>0</v>
      </c>
      <c r="E28" s="13">
        <f>IF(TabelaPrincipal[[#This Row],[POSIÇÃO]]=1,TabelaPrincipal[[#This Row],[MARCA]],)</f>
        <v>0</v>
      </c>
      <c r="F28" s="15">
        <f>IF(TabelaPrincipal[[#This Row],[POSIÇÃO]]=1,TabelaPrincipal[[#This Row],[LANCE ATUAL]],)</f>
        <v>0</v>
      </c>
      <c r="G28" s="16">
        <f>IF(TabelaPrincipal[[#This Row],[POSIÇÃO]]=1,TabelaPrincipal[[#This Row],[VALOR TOTAL DO LANCE]],)</f>
        <v>0</v>
      </c>
      <c r="H28" s="14"/>
    </row>
    <row r="29" spans="1:8" hidden="1" x14ac:dyDescent="0.25">
      <c r="A29" s="12">
        <f>IF(TabelaPrincipal[[#This Row],[POSIÇÃO]]=1, TabelaPrincipal[[#This Row],[ITEM]],)</f>
        <v>0</v>
      </c>
      <c r="B29" s="13">
        <f>IF(TabelaPrincipal[[#This Row],[POSIÇÃO]]=1, TabelaPrincipal[[#This Row],[DESCRIÇÃO]],)</f>
        <v>0</v>
      </c>
      <c r="C29" s="14">
        <f>IF(TabelaPrincipal[[#This Row],[POSIÇÃO]]=1,TabelaPrincipal[[#This Row],[UND]],)</f>
        <v>0</v>
      </c>
      <c r="D29" s="13">
        <f>IF(TabelaPrincipal[[#This Row],[POSIÇÃO]]=1,TabelaPrincipal[[#This Row],[QTD]],)</f>
        <v>0</v>
      </c>
      <c r="E29" s="13">
        <f>IF(TabelaPrincipal[[#This Row],[POSIÇÃO]]=1,TabelaPrincipal[[#This Row],[MARCA]],)</f>
        <v>0</v>
      </c>
      <c r="F29" s="15">
        <f>IF(TabelaPrincipal[[#This Row],[POSIÇÃO]]=1,TabelaPrincipal[[#This Row],[LANCE ATUAL]],)</f>
        <v>0</v>
      </c>
      <c r="G29" s="16">
        <f>IF(TabelaPrincipal[[#This Row],[POSIÇÃO]]=1,TabelaPrincipal[[#This Row],[VALOR TOTAL DO LANCE]],)</f>
        <v>0</v>
      </c>
      <c r="H29" s="14"/>
    </row>
    <row r="30" spans="1:8" hidden="1" x14ac:dyDescent="0.25">
      <c r="A30" s="12">
        <f>IF(TabelaPrincipal[[#This Row],[POSIÇÃO]]=1, TabelaPrincipal[[#This Row],[ITEM]],)</f>
        <v>0</v>
      </c>
      <c r="B30" s="13">
        <f>IF(TabelaPrincipal[[#This Row],[POSIÇÃO]]=1, TabelaPrincipal[[#This Row],[DESCRIÇÃO]],)</f>
        <v>0</v>
      </c>
      <c r="C30" s="14">
        <f>IF(TabelaPrincipal[[#This Row],[POSIÇÃO]]=1,TabelaPrincipal[[#This Row],[UND]],)</f>
        <v>0</v>
      </c>
      <c r="D30" s="13">
        <f>IF(TabelaPrincipal[[#This Row],[POSIÇÃO]]=1,TabelaPrincipal[[#This Row],[QTD]],)</f>
        <v>0</v>
      </c>
      <c r="E30" s="13">
        <f>IF(TabelaPrincipal[[#This Row],[POSIÇÃO]]=1,TabelaPrincipal[[#This Row],[MARCA]],)</f>
        <v>0</v>
      </c>
      <c r="F30" s="15">
        <f>IF(TabelaPrincipal[[#This Row],[POSIÇÃO]]=1,TabelaPrincipal[[#This Row],[LANCE ATUAL]],)</f>
        <v>0</v>
      </c>
      <c r="G30" s="16">
        <f>IF(TabelaPrincipal[[#This Row],[POSIÇÃO]]=1,TabelaPrincipal[[#This Row],[VALOR TOTAL DO LANCE]],)</f>
        <v>0</v>
      </c>
      <c r="H30" s="14"/>
    </row>
    <row r="31" spans="1:8" hidden="1" x14ac:dyDescent="0.25">
      <c r="A31" s="12">
        <f>IF(TabelaPrincipal[[#This Row],[POSIÇÃO]]=1, TabelaPrincipal[[#This Row],[ITEM]],)</f>
        <v>0</v>
      </c>
      <c r="B31" s="13">
        <f>IF(TabelaPrincipal[[#This Row],[POSIÇÃO]]=1, TabelaPrincipal[[#This Row],[DESCRIÇÃO]],)</f>
        <v>0</v>
      </c>
      <c r="C31" s="14">
        <f>IF(TabelaPrincipal[[#This Row],[POSIÇÃO]]=1,TabelaPrincipal[[#This Row],[UND]],)</f>
        <v>0</v>
      </c>
      <c r="D31" s="13">
        <f>IF(TabelaPrincipal[[#This Row],[POSIÇÃO]]=1,TabelaPrincipal[[#This Row],[QTD]],)</f>
        <v>0</v>
      </c>
      <c r="E31" s="13">
        <f>IF(TabelaPrincipal[[#This Row],[POSIÇÃO]]=1,TabelaPrincipal[[#This Row],[MARCA]],)</f>
        <v>0</v>
      </c>
      <c r="F31" s="15">
        <f>IF(TabelaPrincipal[[#This Row],[POSIÇÃO]]=1,TabelaPrincipal[[#This Row],[LANCE ATUAL]],)</f>
        <v>0</v>
      </c>
      <c r="G31" s="16">
        <f>IF(TabelaPrincipal[[#This Row],[POSIÇÃO]]=1,TabelaPrincipal[[#This Row],[VALOR TOTAL DO LANCE]],)</f>
        <v>0</v>
      </c>
      <c r="H31" s="14"/>
    </row>
    <row r="32" spans="1:8" hidden="1" x14ac:dyDescent="0.25">
      <c r="A32" s="12">
        <f>IF(TabelaPrincipal[[#This Row],[POSIÇÃO]]=1, TabelaPrincipal[[#This Row],[ITEM]],)</f>
        <v>0</v>
      </c>
      <c r="B32" s="13">
        <f>IF(TabelaPrincipal[[#This Row],[POSIÇÃO]]=1, TabelaPrincipal[[#This Row],[DESCRIÇÃO]],)</f>
        <v>0</v>
      </c>
      <c r="C32" s="14">
        <f>IF(TabelaPrincipal[[#This Row],[POSIÇÃO]]=1,TabelaPrincipal[[#This Row],[UND]],)</f>
        <v>0</v>
      </c>
      <c r="D32" s="13">
        <f>IF(TabelaPrincipal[[#This Row],[POSIÇÃO]]=1,TabelaPrincipal[[#This Row],[QTD]],)</f>
        <v>0</v>
      </c>
      <c r="E32" s="13">
        <f>IF(TabelaPrincipal[[#This Row],[POSIÇÃO]]=1,TabelaPrincipal[[#This Row],[MARCA]],)</f>
        <v>0</v>
      </c>
      <c r="F32" s="15">
        <f>IF(TabelaPrincipal[[#This Row],[POSIÇÃO]]=1,TabelaPrincipal[[#This Row],[LANCE ATUAL]],)</f>
        <v>0</v>
      </c>
      <c r="G32" s="16">
        <f>IF(TabelaPrincipal[[#This Row],[POSIÇÃO]]=1,TabelaPrincipal[[#This Row],[VALOR TOTAL DO LANCE]],)</f>
        <v>0</v>
      </c>
      <c r="H32" s="14"/>
    </row>
    <row r="33" spans="1:8" x14ac:dyDescent="0.25">
      <c r="A33" s="12">
        <f>IF(TabelaPrincipal[[#This Row],[POSIÇÃO]]=1, TabelaPrincipal[[#This Row],[ITEM]],)</f>
        <v>33</v>
      </c>
      <c r="B33" s="13" t="str">
        <f>IF(TabelaPrincipal[[#This Row],[POSIÇÃO]]=1, TabelaPrincipal[[#This Row],[DESCRIÇÃO]],)</f>
        <v>Hidralazina 25 mg comprimido</v>
      </c>
      <c r="C33" s="14" t="str">
        <f>IF(TabelaPrincipal[[#This Row],[POSIÇÃO]]=1,TabelaPrincipal[[#This Row],[UND]],)</f>
        <v>Comprimido</v>
      </c>
      <c r="D33" s="13">
        <f>IF(TabelaPrincipal[[#This Row],[POSIÇÃO]]=1,TabelaPrincipal[[#This Row],[QTD]],)</f>
        <v>1000</v>
      </c>
      <c r="E33" s="13" t="str">
        <f>IF(TabelaPrincipal[[#This Row],[POSIÇÃO]]=1,TabelaPrincipal[[#This Row],[MARCA]],)</f>
        <v>Novartis</v>
      </c>
      <c r="F33" s="15">
        <f>IF(TabelaPrincipal[[#This Row],[POSIÇÃO]]=1,TabelaPrincipal[[#This Row],[LANCE ATUAL]],)</f>
        <v>0.45</v>
      </c>
      <c r="G33" s="16">
        <f>IF(TabelaPrincipal[[#This Row],[POSIÇÃO]]=1,TabelaPrincipal[[#This Row],[VALOR TOTAL DO LANCE]],)</f>
        <v>450</v>
      </c>
      <c r="H33" s="14"/>
    </row>
    <row r="34" spans="1:8" hidden="1" x14ac:dyDescent="0.25">
      <c r="A34" s="12">
        <f>IF(TabelaPrincipal[[#This Row],[POSIÇÃO]]=1, TabelaPrincipal[[#This Row],[ITEM]],)</f>
        <v>0</v>
      </c>
      <c r="B34" s="13">
        <f>IF(TabelaPrincipal[[#This Row],[POSIÇÃO]]=1, TabelaPrincipal[[#This Row],[DESCRIÇÃO]],)</f>
        <v>0</v>
      </c>
      <c r="C34" s="14">
        <f>IF(TabelaPrincipal[[#This Row],[POSIÇÃO]]=1,TabelaPrincipal[[#This Row],[UND]],)</f>
        <v>0</v>
      </c>
      <c r="D34" s="13">
        <f>IF(TabelaPrincipal[[#This Row],[POSIÇÃO]]=1,TabelaPrincipal[[#This Row],[QTD]],)</f>
        <v>0</v>
      </c>
      <c r="E34" s="13">
        <f>IF(TabelaPrincipal[[#This Row],[POSIÇÃO]]=1,TabelaPrincipal[[#This Row],[MARCA]],)</f>
        <v>0</v>
      </c>
      <c r="F34" s="15">
        <f>IF(TabelaPrincipal[[#This Row],[POSIÇÃO]]=1,TabelaPrincipal[[#This Row],[LANCE ATUAL]],)</f>
        <v>0</v>
      </c>
      <c r="G34" s="16">
        <f>IF(TabelaPrincipal[[#This Row],[POSIÇÃO]]=1,TabelaPrincipal[[#This Row],[VALOR TOTAL DO LANCE]],)</f>
        <v>0</v>
      </c>
      <c r="H34" s="14"/>
    </row>
    <row r="35" spans="1:8" hidden="1" x14ac:dyDescent="0.25">
      <c r="A35" s="12">
        <f>IF(TabelaPrincipal[[#This Row],[POSIÇÃO]]=1, TabelaPrincipal[[#This Row],[ITEM]],)</f>
        <v>0</v>
      </c>
      <c r="B35" s="13">
        <f>IF(TabelaPrincipal[[#This Row],[POSIÇÃO]]=1, TabelaPrincipal[[#This Row],[DESCRIÇÃO]],)</f>
        <v>0</v>
      </c>
      <c r="C35" s="14">
        <f>IF(TabelaPrincipal[[#This Row],[POSIÇÃO]]=1,TabelaPrincipal[[#This Row],[UND]],)</f>
        <v>0</v>
      </c>
      <c r="D35" s="13">
        <f>IF(TabelaPrincipal[[#This Row],[POSIÇÃO]]=1,TabelaPrincipal[[#This Row],[QTD]],)</f>
        <v>0</v>
      </c>
      <c r="E35" s="13">
        <f>IF(TabelaPrincipal[[#This Row],[POSIÇÃO]]=1,TabelaPrincipal[[#This Row],[MARCA]],)</f>
        <v>0</v>
      </c>
      <c r="F35" s="15">
        <f>IF(TabelaPrincipal[[#This Row],[POSIÇÃO]]=1,TabelaPrincipal[[#This Row],[LANCE ATUAL]],)</f>
        <v>0</v>
      </c>
      <c r="G35" s="16">
        <f>IF(TabelaPrincipal[[#This Row],[POSIÇÃO]]=1,TabelaPrincipal[[#This Row],[VALOR TOTAL DO LANCE]],)</f>
        <v>0</v>
      </c>
      <c r="H35" s="14"/>
    </row>
    <row r="36" spans="1:8" x14ac:dyDescent="0.25">
      <c r="A36" s="12">
        <f>IF(TabelaPrincipal[[#This Row],[POSIÇÃO]]=1, TabelaPrincipal[[#This Row],[ITEM]],)</f>
        <v>36</v>
      </c>
      <c r="B36" s="13" t="str">
        <f>IF(TabelaPrincipal[[#This Row],[POSIÇÃO]]=1, TabelaPrincipal[[#This Row],[DESCRIÇÃO]],)</f>
        <v>Levofloxacino 500 mg comprimido</v>
      </c>
      <c r="C36" s="14" t="str">
        <f>IF(TabelaPrincipal[[#This Row],[POSIÇÃO]]=1,TabelaPrincipal[[#This Row],[UND]],)</f>
        <v>Comprimido</v>
      </c>
      <c r="D36" s="13">
        <f>IF(TabelaPrincipal[[#This Row],[POSIÇÃO]]=1,TabelaPrincipal[[#This Row],[QTD]],)</f>
        <v>1750</v>
      </c>
      <c r="E36" s="13" t="str">
        <f>IF(TabelaPrincipal[[#This Row],[POSIÇÃO]]=1,TabelaPrincipal[[#This Row],[MARCA]],)</f>
        <v>Cellera</v>
      </c>
      <c r="F36" s="15">
        <f>IF(TabelaPrincipal[[#This Row],[POSIÇÃO]]=1,TabelaPrincipal[[#This Row],[LANCE ATUAL]],)</f>
        <v>1</v>
      </c>
      <c r="G36" s="16">
        <f>IF(TabelaPrincipal[[#This Row],[POSIÇÃO]]=1,TabelaPrincipal[[#This Row],[VALOR TOTAL DO LANCE]],)</f>
        <v>1750</v>
      </c>
      <c r="H36" s="14"/>
    </row>
    <row r="37" spans="1:8" ht="25.5" hidden="1" x14ac:dyDescent="0.25">
      <c r="A37" s="12">
        <f>IF(TabelaPrincipal[[#This Row],[POSIÇÃO]]=1, TabelaPrincipal[[#This Row],[ITEM]],)</f>
        <v>0</v>
      </c>
      <c r="B37" s="13">
        <f>IF(TabelaPrincipal[[#This Row],[POSIÇÃO]]=1, TabelaPrincipal[[#This Row],[DESCRIÇÃO]],)</f>
        <v>0</v>
      </c>
      <c r="C37" s="14">
        <f>IF(TabelaPrincipal[[#This Row],[POSIÇÃO]]=1,TabelaPrincipal[[#This Row],[UND]],)</f>
        <v>0</v>
      </c>
      <c r="D37" s="13">
        <f>IF(TabelaPrincipal[[#This Row],[POSIÇÃO]]=1,TabelaPrincipal[[#This Row],[QTD]],)</f>
        <v>0</v>
      </c>
      <c r="E37" s="13">
        <f>IF(TabelaPrincipal[[#This Row],[POSIÇÃO]]=1,TabelaPrincipal[[#This Row],[MARCA]],)</f>
        <v>0</v>
      </c>
      <c r="F37" s="15">
        <f>IF(TabelaPrincipal[[#This Row],[POSIÇÃO]]=1,TabelaPrincipal[[#This Row],[LANCE ATUAL]],)</f>
        <v>0</v>
      </c>
      <c r="G37" s="16">
        <f>IF(TabelaPrincipal[[#This Row],[POSIÇÃO]]=1,TabelaPrincipal[[#This Row],[VALOR TOTAL DO LANCE]],)</f>
        <v>0</v>
      </c>
      <c r="H37" s="14"/>
    </row>
    <row r="38" spans="1:8" hidden="1" x14ac:dyDescent="0.25">
      <c r="A38" s="12">
        <f>IF(TabelaPrincipal[[#This Row],[POSIÇÃO]]=1, TabelaPrincipal[[#This Row],[ITEM]],)</f>
        <v>0</v>
      </c>
      <c r="B38" s="13">
        <f>IF(TabelaPrincipal[[#This Row],[POSIÇÃO]]=1, TabelaPrincipal[[#This Row],[DESCRIÇÃO]],)</f>
        <v>0</v>
      </c>
      <c r="C38" s="14">
        <f>IF(TabelaPrincipal[[#This Row],[POSIÇÃO]]=1,TabelaPrincipal[[#This Row],[UND]],)</f>
        <v>0</v>
      </c>
      <c r="D38" s="13">
        <f>IF(TabelaPrincipal[[#This Row],[POSIÇÃO]]=1,TabelaPrincipal[[#This Row],[QTD]],)</f>
        <v>0</v>
      </c>
      <c r="E38" s="13">
        <f>IF(TabelaPrincipal[[#This Row],[POSIÇÃO]]=1,TabelaPrincipal[[#This Row],[MARCA]],)</f>
        <v>0</v>
      </c>
      <c r="F38" s="15">
        <f>IF(TabelaPrincipal[[#This Row],[POSIÇÃO]]=1,TabelaPrincipal[[#This Row],[LANCE ATUAL]],)</f>
        <v>0</v>
      </c>
      <c r="G38" s="16">
        <f>IF(TabelaPrincipal[[#This Row],[POSIÇÃO]]=1,TabelaPrincipal[[#This Row],[VALOR TOTAL DO LANCE]],)</f>
        <v>0</v>
      </c>
      <c r="H38" s="14"/>
    </row>
    <row r="39" spans="1:8" hidden="1" x14ac:dyDescent="0.25">
      <c r="A39" s="12">
        <f>IF(TabelaPrincipal[[#This Row],[POSIÇÃO]]=1, TabelaPrincipal[[#This Row],[ITEM]],)</f>
        <v>0</v>
      </c>
      <c r="B39" s="13">
        <f>IF(TabelaPrincipal[[#This Row],[POSIÇÃO]]=1, TabelaPrincipal[[#This Row],[DESCRIÇÃO]],)</f>
        <v>0</v>
      </c>
      <c r="C39" s="14">
        <f>IF(TabelaPrincipal[[#This Row],[POSIÇÃO]]=1,TabelaPrincipal[[#This Row],[UND]],)</f>
        <v>0</v>
      </c>
      <c r="D39" s="13">
        <f>IF(TabelaPrincipal[[#This Row],[POSIÇÃO]]=1,TabelaPrincipal[[#This Row],[QTD]],)</f>
        <v>0</v>
      </c>
      <c r="E39" s="13">
        <f>IF(TabelaPrincipal[[#This Row],[POSIÇÃO]]=1,TabelaPrincipal[[#This Row],[MARCA]],)</f>
        <v>0</v>
      </c>
      <c r="F39" s="15">
        <f>IF(TabelaPrincipal[[#This Row],[POSIÇÃO]]=1,TabelaPrincipal[[#This Row],[LANCE ATUAL]],)</f>
        <v>0</v>
      </c>
      <c r="G39" s="16">
        <f>IF(TabelaPrincipal[[#This Row],[POSIÇÃO]]=1,TabelaPrincipal[[#This Row],[VALOR TOTAL DO LANCE]],)</f>
        <v>0</v>
      </c>
      <c r="H39" s="14"/>
    </row>
    <row r="40" spans="1:8" hidden="1" x14ac:dyDescent="0.25">
      <c r="A40" s="12">
        <f>IF(TabelaPrincipal[[#This Row],[POSIÇÃO]]=1, TabelaPrincipal[[#This Row],[ITEM]],)</f>
        <v>0</v>
      </c>
      <c r="B40" s="13">
        <f>IF(TabelaPrincipal[[#This Row],[POSIÇÃO]]=1, TabelaPrincipal[[#This Row],[DESCRIÇÃO]],)</f>
        <v>0</v>
      </c>
      <c r="C40" s="14">
        <f>IF(TabelaPrincipal[[#This Row],[POSIÇÃO]]=1,TabelaPrincipal[[#This Row],[UND]],)</f>
        <v>0</v>
      </c>
      <c r="D40" s="13">
        <f>IF(TabelaPrincipal[[#This Row],[POSIÇÃO]]=1,TabelaPrincipal[[#This Row],[QTD]],)</f>
        <v>0</v>
      </c>
      <c r="E40" s="13">
        <f>IF(TabelaPrincipal[[#This Row],[POSIÇÃO]]=1,TabelaPrincipal[[#This Row],[MARCA]],)</f>
        <v>0</v>
      </c>
      <c r="F40" s="15">
        <f>IF(TabelaPrincipal[[#This Row],[POSIÇÃO]]=1,TabelaPrincipal[[#This Row],[LANCE ATUAL]],)</f>
        <v>0</v>
      </c>
      <c r="G40" s="16">
        <f>IF(TabelaPrincipal[[#This Row],[POSIÇÃO]]=1,TabelaPrincipal[[#This Row],[VALOR TOTAL DO LANCE]],)</f>
        <v>0</v>
      </c>
      <c r="H40" s="14"/>
    </row>
    <row r="41" spans="1:8" hidden="1" x14ac:dyDescent="0.25">
      <c r="A41" s="12">
        <f>IF(TabelaPrincipal[[#This Row],[POSIÇÃO]]=1, TabelaPrincipal[[#This Row],[ITEM]],)</f>
        <v>0</v>
      </c>
      <c r="B41" s="13">
        <f>IF(TabelaPrincipal[[#This Row],[POSIÇÃO]]=1, TabelaPrincipal[[#This Row],[DESCRIÇÃO]],)</f>
        <v>0</v>
      </c>
      <c r="C41" s="14">
        <f>IF(TabelaPrincipal[[#This Row],[POSIÇÃO]]=1,TabelaPrincipal[[#This Row],[UND]],)</f>
        <v>0</v>
      </c>
      <c r="D41" s="13">
        <f>IF(TabelaPrincipal[[#This Row],[POSIÇÃO]]=1,TabelaPrincipal[[#This Row],[QTD]],)</f>
        <v>0</v>
      </c>
      <c r="E41" s="13">
        <f>IF(TabelaPrincipal[[#This Row],[POSIÇÃO]]=1,TabelaPrincipal[[#This Row],[MARCA]],)</f>
        <v>0</v>
      </c>
      <c r="F41" s="15">
        <f>IF(TabelaPrincipal[[#This Row],[POSIÇÃO]]=1,TabelaPrincipal[[#This Row],[LANCE ATUAL]],)</f>
        <v>0</v>
      </c>
      <c r="G41" s="16">
        <f>IF(TabelaPrincipal[[#This Row],[POSIÇÃO]]=1,TabelaPrincipal[[#This Row],[VALOR TOTAL DO LANCE]],)</f>
        <v>0</v>
      </c>
      <c r="H41" s="14"/>
    </row>
    <row r="42" spans="1:8" hidden="1" x14ac:dyDescent="0.25">
      <c r="A42" s="12">
        <f>IF(TabelaPrincipal[[#This Row],[POSIÇÃO]]=1, TabelaPrincipal[[#This Row],[ITEM]],)</f>
        <v>0</v>
      </c>
      <c r="B42" s="13">
        <f>IF(TabelaPrincipal[[#This Row],[POSIÇÃO]]=1, TabelaPrincipal[[#This Row],[DESCRIÇÃO]],)</f>
        <v>0</v>
      </c>
      <c r="C42" s="14">
        <f>IF(TabelaPrincipal[[#This Row],[POSIÇÃO]]=1,TabelaPrincipal[[#This Row],[UND]],)</f>
        <v>0</v>
      </c>
      <c r="D42" s="13">
        <f>IF(TabelaPrincipal[[#This Row],[POSIÇÃO]]=1,TabelaPrincipal[[#This Row],[QTD]],)</f>
        <v>0</v>
      </c>
      <c r="E42" s="13">
        <f>IF(TabelaPrincipal[[#This Row],[POSIÇÃO]]=1,TabelaPrincipal[[#This Row],[MARCA]],)</f>
        <v>0</v>
      </c>
      <c r="F42" s="15">
        <f>IF(TabelaPrincipal[[#This Row],[POSIÇÃO]]=1,TabelaPrincipal[[#This Row],[LANCE ATUAL]],)</f>
        <v>0</v>
      </c>
      <c r="G42" s="16">
        <f>IF(TabelaPrincipal[[#This Row],[POSIÇÃO]]=1,TabelaPrincipal[[#This Row],[VALOR TOTAL DO LANCE]],)</f>
        <v>0</v>
      </c>
      <c r="H42" s="14"/>
    </row>
    <row r="43" spans="1:8" hidden="1" x14ac:dyDescent="0.25">
      <c r="A43" s="12">
        <f>IF(TabelaPrincipal[[#This Row],[POSIÇÃO]]=1, TabelaPrincipal[[#This Row],[ITEM]],)</f>
        <v>0</v>
      </c>
      <c r="B43" s="13">
        <f>IF(TabelaPrincipal[[#This Row],[POSIÇÃO]]=1, TabelaPrincipal[[#This Row],[DESCRIÇÃO]],)</f>
        <v>0</v>
      </c>
      <c r="C43" s="14">
        <f>IF(TabelaPrincipal[[#This Row],[POSIÇÃO]]=1,TabelaPrincipal[[#This Row],[UND]],)</f>
        <v>0</v>
      </c>
      <c r="D43" s="13">
        <f>IF(TabelaPrincipal[[#This Row],[POSIÇÃO]]=1,TabelaPrincipal[[#This Row],[QTD]],)</f>
        <v>0</v>
      </c>
      <c r="E43" s="13">
        <f>IF(TabelaPrincipal[[#This Row],[POSIÇÃO]]=1,TabelaPrincipal[[#This Row],[MARCA]],)</f>
        <v>0</v>
      </c>
      <c r="F43" s="15">
        <f>IF(TabelaPrincipal[[#This Row],[POSIÇÃO]]=1,TabelaPrincipal[[#This Row],[LANCE ATUAL]],)</f>
        <v>0</v>
      </c>
      <c r="G43" s="16">
        <f>IF(TabelaPrincipal[[#This Row],[POSIÇÃO]]=1,TabelaPrincipal[[#This Row],[VALOR TOTAL DO LANCE]],)</f>
        <v>0</v>
      </c>
      <c r="H43" s="14"/>
    </row>
    <row r="44" spans="1:8" ht="38.25" hidden="1" x14ac:dyDescent="0.25">
      <c r="A44" s="12">
        <f>IF(TabelaPrincipal[[#This Row],[POSIÇÃO]]=1, TabelaPrincipal[[#This Row],[ITEM]],)</f>
        <v>0</v>
      </c>
      <c r="B44" s="13">
        <f>IF(TabelaPrincipal[[#This Row],[POSIÇÃO]]=1, TabelaPrincipal[[#This Row],[DESCRIÇÃO]],)</f>
        <v>0</v>
      </c>
      <c r="C44" s="14">
        <f>IF(TabelaPrincipal[[#This Row],[POSIÇÃO]]=1,TabelaPrincipal[[#This Row],[UND]],)</f>
        <v>0</v>
      </c>
      <c r="D44" s="13">
        <f>IF(TabelaPrincipal[[#This Row],[POSIÇÃO]]=1,TabelaPrincipal[[#This Row],[QTD]],)</f>
        <v>0</v>
      </c>
      <c r="E44" s="13">
        <f>IF(TabelaPrincipal[[#This Row],[POSIÇÃO]]=1,TabelaPrincipal[[#This Row],[MARCA]],)</f>
        <v>0</v>
      </c>
      <c r="F44" s="15">
        <f>IF(TabelaPrincipal[[#This Row],[POSIÇÃO]]=1,TabelaPrincipal[[#This Row],[LANCE ATUAL]],)</f>
        <v>0</v>
      </c>
      <c r="G44" s="16">
        <f>IF(TabelaPrincipal[[#This Row],[POSIÇÃO]]=1,TabelaPrincipal[[#This Row],[VALOR TOTAL DO LANCE]],)</f>
        <v>0</v>
      </c>
      <c r="H44" s="14"/>
    </row>
    <row r="45" spans="1:8" hidden="1" x14ac:dyDescent="0.25">
      <c r="A45" s="12">
        <f>IF(TabelaPrincipal[[#This Row],[POSIÇÃO]]=1, TabelaPrincipal[[#This Row],[ITEM]],)</f>
        <v>0</v>
      </c>
      <c r="B45" s="13">
        <f>IF(TabelaPrincipal[[#This Row],[POSIÇÃO]]=1, TabelaPrincipal[[#This Row],[DESCRIÇÃO]],)</f>
        <v>0</v>
      </c>
      <c r="C45" s="14">
        <f>IF(TabelaPrincipal[[#This Row],[POSIÇÃO]]=1,TabelaPrincipal[[#This Row],[UND]],)</f>
        <v>0</v>
      </c>
      <c r="D45" s="13">
        <f>IF(TabelaPrincipal[[#This Row],[POSIÇÃO]]=1,TabelaPrincipal[[#This Row],[QTD]],)</f>
        <v>0</v>
      </c>
      <c r="E45" s="13">
        <f>IF(TabelaPrincipal[[#This Row],[POSIÇÃO]]=1,TabelaPrincipal[[#This Row],[MARCA]],)</f>
        <v>0</v>
      </c>
      <c r="F45" s="15">
        <f>IF(TabelaPrincipal[[#This Row],[POSIÇÃO]]=1,TabelaPrincipal[[#This Row],[LANCE ATUAL]],)</f>
        <v>0</v>
      </c>
      <c r="G45" s="16">
        <f>IF(TabelaPrincipal[[#This Row],[POSIÇÃO]]=1,TabelaPrincipal[[#This Row],[VALOR TOTAL DO LANCE]],)</f>
        <v>0</v>
      </c>
      <c r="H45" s="14"/>
    </row>
    <row r="46" spans="1:8" hidden="1" x14ac:dyDescent="0.25">
      <c r="A46" s="12">
        <f>IF(TabelaPrincipal[[#This Row],[POSIÇÃO]]=1, TabelaPrincipal[[#This Row],[ITEM]],)</f>
        <v>0</v>
      </c>
      <c r="B46" s="13">
        <f>IF(TabelaPrincipal[[#This Row],[POSIÇÃO]]=1, TabelaPrincipal[[#This Row],[DESCRIÇÃO]],)</f>
        <v>0</v>
      </c>
      <c r="C46" s="14">
        <f>IF(TabelaPrincipal[[#This Row],[POSIÇÃO]]=1,TabelaPrincipal[[#This Row],[UND]],)</f>
        <v>0</v>
      </c>
      <c r="D46" s="13">
        <f>IF(TabelaPrincipal[[#This Row],[POSIÇÃO]]=1,TabelaPrincipal[[#This Row],[QTD]],)</f>
        <v>0</v>
      </c>
      <c r="E46" s="13">
        <f>IF(TabelaPrincipal[[#This Row],[POSIÇÃO]]=1,TabelaPrincipal[[#This Row],[MARCA]],)</f>
        <v>0</v>
      </c>
      <c r="F46" s="15">
        <f>IF(TabelaPrincipal[[#This Row],[POSIÇÃO]]=1,TabelaPrincipal[[#This Row],[LANCE ATUAL]],)</f>
        <v>0</v>
      </c>
      <c r="G46" s="16">
        <f>IF(TabelaPrincipal[[#This Row],[POSIÇÃO]]=1,TabelaPrincipal[[#This Row],[VALOR TOTAL DO LANCE]],)</f>
        <v>0</v>
      </c>
      <c r="H46" s="14"/>
    </row>
    <row r="47" spans="1:8" ht="25.5" x14ac:dyDescent="0.25">
      <c r="A47" s="12">
        <f>IF(TabelaPrincipal[[#This Row],[POSIÇÃO]]=1, TabelaPrincipal[[#This Row],[ITEM]],)</f>
        <v>47</v>
      </c>
      <c r="B47" s="13" t="str">
        <f>IF(TabelaPrincipal[[#This Row],[POSIÇÃO]]=1, TabelaPrincipal[[#This Row],[DESCRIÇÃO]],)</f>
        <v>Multivitaminas, composição vitaminas: vits: a, d3, e, k1, b1, b2, b3, b5, b6, c, forma farmacêutica: solução injetável</v>
      </c>
      <c r="C47" s="14" t="str">
        <f>IF(TabelaPrincipal[[#This Row],[POSIÇÃO]]=1,TabelaPrincipal[[#This Row],[UND]],)</f>
        <v>Ampola 10 ml</v>
      </c>
      <c r="D47" s="13">
        <f>IF(TabelaPrincipal[[#This Row],[POSIÇÃO]]=1,TabelaPrincipal[[#This Row],[QTD]],)</f>
        <v>2000</v>
      </c>
      <c r="E47" s="13" t="str">
        <f>IF(TabelaPrincipal[[#This Row],[POSIÇÃO]]=1,TabelaPrincipal[[#This Row],[MARCA]],)</f>
        <v>Cristália</v>
      </c>
      <c r="F47" s="15">
        <f>IF(TabelaPrincipal[[#This Row],[POSIÇÃO]]=1,TabelaPrincipal[[#This Row],[LANCE ATUAL]],)</f>
        <v>8.06</v>
      </c>
      <c r="G47" s="16">
        <f>IF(TabelaPrincipal[[#This Row],[POSIÇÃO]]=1,TabelaPrincipal[[#This Row],[VALOR TOTAL DO LANCE]],)</f>
        <v>16120.000000000002</v>
      </c>
      <c r="H47" s="14"/>
    </row>
    <row r="48" spans="1:8" hidden="1" x14ac:dyDescent="0.25">
      <c r="A48" s="12">
        <f>IF(TabelaPrincipal[[#This Row],[POSIÇÃO]]=1, TabelaPrincipal[[#This Row],[ITEM]],)</f>
        <v>0</v>
      </c>
      <c r="B48" s="13">
        <f>IF(TabelaPrincipal[[#This Row],[POSIÇÃO]]=1, TabelaPrincipal[[#This Row],[DESCRIÇÃO]],)</f>
        <v>0</v>
      </c>
      <c r="C48" s="14">
        <f>IF(TabelaPrincipal[[#This Row],[POSIÇÃO]]=1,TabelaPrincipal[[#This Row],[UND]],)</f>
        <v>0</v>
      </c>
      <c r="D48" s="13">
        <f>IF(TabelaPrincipal[[#This Row],[POSIÇÃO]]=1,TabelaPrincipal[[#This Row],[QTD]],)</f>
        <v>0</v>
      </c>
      <c r="E48" s="13">
        <f>IF(TabelaPrincipal[[#This Row],[POSIÇÃO]]=1,TabelaPrincipal[[#This Row],[MARCA]],)</f>
        <v>0</v>
      </c>
      <c r="F48" s="15">
        <f>IF(TabelaPrincipal[[#This Row],[POSIÇÃO]]=1,TabelaPrincipal[[#This Row],[LANCE ATUAL]],)</f>
        <v>0</v>
      </c>
      <c r="G48" s="16">
        <f>IF(TabelaPrincipal[[#This Row],[POSIÇÃO]]=1,TabelaPrincipal[[#This Row],[VALOR TOTAL DO LANCE]],)</f>
        <v>0</v>
      </c>
      <c r="H48" s="14"/>
    </row>
    <row r="49" spans="1:8" hidden="1" x14ac:dyDescent="0.25">
      <c r="A49" s="12">
        <f>IF(TabelaPrincipal[[#This Row],[POSIÇÃO]]=1, TabelaPrincipal[[#This Row],[ITEM]],)</f>
        <v>0</v>
      </c>
      <c r="B49" s="13">
        <f>IF(TabelaPrincipal[[#This Row],[POSIÇÃO]]=1, TabelaPrincipal[[#This Row],[DESCRIÇÃO]],)</f>
        <v>0</v>
      </c>
      <c r="C49" s="14">
        <f>IF(TabelaPrincipal[[#This Row],[POSIÇÃO]]=1,TabelaPrincipal[[#This Row],[UND]],)</f>
        <v>0</v>
      </c>
      <c r="D49" s="13">
        <f>IF(TabelaPrincipal[[#This Row],[POSIÇÃO]]=1,TabelaPrincipal[[#This Row],[QTD]],)</f>
        <v>0</v>
      </c>
      <c r="E49" s="13">
        <f>IF(TabelaPrincipal[[#This Row],[POSIÇÃO]]=1,TabelaPrincipal[[#This Row],[MARCA]],)</f>
        <v>0</v>
      </c>
      <c r="F49" s="15">
        <f>IF(TabelaPrincipal[[#This Row],[POSIÇÃO]]=1,TabelaPrincipal[[#This Row],[LANCE ATUAL]],)</f>
        <v>0</v>
      </c>
      <c r="G49" s="16">
        <f>IF(TabelaPrincipal[[#This Row],[POSIÇÃO]]=1,TabelaPrincipal[[#This Row],[VALOR TOTAL DO LANCE]],)</f>
        <v>0</v>
      </c>
      <c r="H49" s="14"/>
    </row>
    <row r="50" spans="1:8" ht="25.5" hidden="1" x14ac:dyDescent="0.25">
      <c r="A50" s="12">
        <f>IF(TabelaPrincipal[[#This Row],[POSIÇÃO]]=1, TabelaPrincipal[[#This Row],[ITEM]],)</f>
        <v>0</v>
      </c>
      <c r="B50" s="13">
        <f>IF(TabelaPrincipal[[#This Row],[POSIÇÃO]]=1, TabelaPrincipal[[#This Row],[DESCRIÇÃO]],)</f>
        <v>0</v>
      </c>
      <c r="C50" s="14">
        <f>IF(TabelaPrincipal[[#This Row],[POSIÇÃO]]=1,TabelaPrincipal[[#This Row],[UND]],)</f>
        <v>0</v>
      </c>
      <c r="D50" s="13">
        <f>IF(TabelaPrincipal[[#This Row],[POSIÇÃO]]=1,TabelaPrincipal[[#This Row],[QTD]],)</f>
        <v>0</v>
      </c>
      <c r="E50" s="13">
        <f>IF(TabelaPrincipal[[#This Row],[POSIÇÃO]]=1,TabelaPrincipal[[#This Row],[MARCA]],)</f>
        <v>0</v>
      </c>
      <c r="F50" s="15">
        <f>IF(TabelaPrincipal[[#This Row],[POSIÇÃO]]=1,TabelaPrincipal[[#This Row],[LANCE ATUAL]],)</f>
        <v>0</v>
      </c>
      <c r="G50" s="16">
        <f>IF(TabelaPrincipal[[#This Row],[POSIÇÃO]]=1,TabelaPrincipal[[#This Row],[VALOR TOTAL DO LANCE]],)</f>
        <v>0</v>
      </c>
      <c r="H50" s="14"/>
    </row>
    <row r="51" spans="1:8" ht="25.5" hidden="1" x14ac:dyDescent="0.25">
      <c r="A51" s="12">
        <f>IF(TabelaPrincipal[[#This Row],[POSIÇÃO]]=1, TabelaPrincipal[[#This Row],[ITEM]],)</f>
        <v>0</v>
      </c>
      <c r="B51" s="13">
        <f>IF(TabelaPrincipal[[#This Row],[POSIÇÃO]]=1, TabelaPrincipal[[#This Row],[DESCRIÇÃO]],)</f>
        <v>0</v>
      </c>
      <c r="C51" s="14">
        <f>IF(TabelaPrincipal[[#This Row],[POSIÇÃO]]=1,TabelaPrincipal[[#This Row],[UND]],)</f>
        <v>0</v>
      </c>
      <c r="D51" s="13">
        <f>IF(TabelaPrincipal[[#This Row],[POSIÇÃO]]=1,TabelaPrincipal[[#This Row],[QTD]],)</f>
        <v>0</v>
      </c>
      <c r="E51" s="13">
        <f>IF(TabelaPrincipal[[#This Row],[POSIÇÃO]]=1,TabelaPrincipal[[#This Row],[MARCA]],)</f>
        <v>0</v>
      </c>
      <c r="F51" s="15">
        <f>IF(TabelaPrincipal[[#This Row],[POSIÇÃO]]=1,TabelaPrincipal[[#This Row],[LANCE ATUAL]],)</f>
        <v>0</v>
      </c>
      <c r="G51" s="16">
        <f>IF(TabelaPrincipal[[#This Row],[POSIÇÃO]]=1,TabelaPrincipal[[#This Row],[VALOR TOTAL DO LANCE]],)</f>
        <v>0</v>
      </c>
      <c r="H51" s="14"/>
    </row>
    <row r="52" spans="1:8" ht="63.75" hidden="1" x14ac:dyDescent="0.25">
      <c r="A52" s="12">
        <f>IF(TabelaPrincipal[[#This Row],[POSIÇÃO]]=1, TabelaPrincipal[[#This Row],[ITEM]],)</f>
        <v>0</v>
      </c>
      <c r="B52" s="13">
        <f>IF(TabelaPrincipal[[#This Row],[POSIÇÃO]]=1, TabelaPrincipal[[#This Row],[DESCRIÇÃO]],)</f>
        <v>0</v>
      </c>
      <c r="C52" s="14">
        <f>IF(TabelaPrincipal[[#This Row],[POSIÇÃO]]=1,TabelaPrincipal[[#This Row],[UND]],)</f>
        <v>0</v>
      </c>
      <c r="D52" s="13">
        <f>IF(TabelaPrincipal[[#This Row],[POSIÇÃO]]=1,TabelaPrincipal[[#This Row],[QTD]],)</f>
        <v>0</v>
      </c>
      <c r="E52" s="13">
        <f>IF(TabelaPrincipal[[#This Row],[POSIÇÃO]]=1,TabelaPrincipal[[#This Row],[MARCA]],)</f>
        <v>0</v>
      </c>
      <c r="F52" s="15">
        <f>IF(TabelaPrincipal[[#This Row],[POSIÇÃO]]=1,TabelaPrincipal[[#This Row],[LANCE ATUAL]],)</f>
        <v>0</v>
      </c>
      <c r="G52" s="16">
        <f>IF(TabelaPrincipal[[#This Row],[POSIÇÃO]]=1,TabelaPrincipal[[#This Row],[VALOR TOTAL DO LANCE]],)</f>
        <v>0</v>
      </c>
      <c r="H52" s="14"/>
    </row>
    <row r="53" spans="1:8" ht="63.75" hidden="1" x14ac:dyDescent="0.25">
      <c r="A53" s="12">
        <f>IF(TabelaPrincipal[[#This Row],[POSIÇÃO]]=1, TabelaPrincipal[[#This Row],[ITEM]],)</f>
        <v>0</v>
      </c>
      <c r="B53" s="13">
        <f>IF(TabelaPrincipal[[#This Row],[POSIÇÃO]]=1, TabelaPrincipal[[#This Row],[DESCRIÇÃO]],)</f>
        <v>0</v>
      </c>
      <c r="C53" s="14">
        <f>IF(TabelaPrincipal[[#This Row],[POSIÇÃO]]=1,TabelaPrincipal[[#This Row],[UND]],)</f>
        <v>0</v>
      </c>
      <c r="D53" s="13">
        <f>IF(TabelaPrincipal[[#This Row],[POSIÇÃO]]=1,TabelaPrincipal[[#This Row],[QTD]],)</f>
        <v>0</v>
      </c>
      <c r="E53" s="13">
        <f>IF(TabelaPrincipal[[#This Row],[POSIÇÃO]]=1,TabelaPrincipal[[#This Row],[MARCA]],)</f>
        <v>0</v>
      </c>
      <c r="F53" s="15">
        <f>IF(TabelaPrincipal[[#This Row],[POSIÇÃO]]=1,TabelaPrincipal[[#This Row],[LANCE ATUAL]],)</f>
        <v>0</v>
      </c>
      <c r="G53" s="16">
        <f>IF(TabelaPrincipal[[#This Row],[POSIÇÃO]]=1,TabelaPrincipal[[#This Row],[VALOR TOTAL DO LANCE]],)</f>
        <v>0</v>
      </c>
      <c r="H53" s="14"/>
    </row>
    <row r="54" spans="1:8" ht="63.75" hidden="1" x14ac:dyDescent="0.25">
      <c r="A54" s="12">
        <f>IF(TabelaPrincipal[[#This Row],[POSIÇÃO]]=1, TabelaPrincipal[[#This Row],[ITEM]],)</f>
        <v>0</v>
      </c>
      <c r="B54" s="13">
        <f>IF(TabelaPrincipal[[#This Row],[POSIÇÃO]]=1, TabelaPrincipal[[#This Row],[DESCRIÇÃO]],)</f>
        <v>0</v>
      </c>
      <c r="C54" s="14">
        <f>IF(TabelaPrincipal[[#This Row],[POSIÇÃO]]=1,TabelaPrincipal[[#This Row],[UND]],)</f>
        <v>0</v>
      </c>
      <c r="D54" s="13">
        <f>IF(TabelaPrincipal[[#This Row],[POSIÇÃO]]=1,TabelaPrincipal[[#This Row],[QTD]],)</f>
        <v>0</v>
      </c>
      <c r="E54" s="13">
        <f>IF(TabelaPrincipal[[#This Row],[POSIÇÃO]]=1,TabelaPrincipal[[#This Row],[MARCA]],)</f>
        <v>0</v>
      </c>
      <c r="F54" s="15">
        <f>IF(TabelaPrincipal[[#This Row],[POSIÇÃO]]=1,TabelaPrincipal[[#This Row],[LANCE ATUAL]],)</f>
        <v>0</v>
      </c>
      <c r="G54" s="16">
        <f>IF(TabelaPrincipal[[#This Row],[POSIÇÃO]]=1,TabelaPrincipal[[#This Row],[VALOR TOTAL DO LANCE]],)</f>
        <v>0</v>
      </c>
      <c r="H54" s="14"/>
    </row>
    <row r="55" spans="1:8" ht="63.75" hidden="1" x14ac:dyDescent="0.25">
      <c r="A55" s="12">
        <f>IF(TabelaPrincipal[[#This Row],[POSIÇÃO]]=1, TabelaPrincipal[[#This Row],[ITEM]],)</f>
        <v>0</v>
      </c>
      <c r="B55" s="13">
        <f>IF(TabelaPrincipal[[#This Row],[POSIÇÃO]]=1, TabelaPrincipal[[#This Row],[DESCRIÇÃO]],)</f>
        <v>0</v>
      </c>
      <c r="C55" s="14">
        <f>IF(TabelaPrincipal[[#This Row],[POSIÇÃO]]=1,TabelaPrincipal[[#This Row],[UND]],)</f>
        <v>0</v>
      </c>
      <c r="D55" s="13">
        <f>IF(TabelaPrincipal[[#This Row],[POSIÇÃO]]=1,TabelaPrincipal[[#This Row],[QTD]],)</f>
        <v>0</v>
      </c>
      <c r="E55" s="13">
        <f>IF(TabelaPrincipal[[#This Row],[POSIÇÃO]]=1,TabelaPrincipal[[#This Row],[MARCA]],)</f>
        <v>0</v>
      </c>
      <c r="F55" s="15">
        <f>IF(TabelaPrincipal[[#This Row],[POSIÇÃO]]=1,TabelaPrincipal[[#This Row],[LANCE ATUAL]],)</f>
        <v>0</v>
      </c>
      <c r="G55" s="16">
        <f>IF(TabelaPrincipal[[#This Row],[POSIÇÃO]]=1,TabelaPrincipal[[#This Row],[VALOR TOTAL DO LANCE]],)</f>
        <v>0</v>
      </c>
      <c r="H55" s="14"/>
    </row>
    <row r="56" spans="1:8" ht="76.5" hidden="1" x14ac:dyDescent="0.25">
      <c r="A56" s="12">
        <f>IF(TabelaPrincipal[[#This Row],[POSIÇÃO]]=1, TabelaPrincipal[[#This Row],[ITEM]],)</f>
        <v>0</v>
      </c>
      <c r="B56" s="13">
        <f>IF(TabelaPrincipal[[#This Row],[POSIÇÃO]]=1, TabelaPrincipal[[#This Row],[DESCRIÇÃO]],)</f>
        <v>0</v>
      </c>
      <c r="C56" s="14">
        <f>IF(TabelaPrincipal[[#This Row],[POSIÇÃO]]=1,TabelaPrincipal[[#This Row],[UND]],)</f>
        <v>0</v>
      </c>
      <c r="D56" s="13">
        <f>IF(TabelaPrincipal[[#This Row],[POSIÇÃO]]=1,TabelaPrincipal[[#This Row],[QTD]],)</f>
        <v>0</v>
      </c>
      <c r="E56" s="13">
        <f>IF(TabelaPrincipal[[#This Row],[POSIÇÃO]]=1,TabelaPrincipal[[#This Row],[MARCA]],)</f>
        <v>0</v>
      </c>
      <c r="F56" s="15">
        <f>IF(TabelaPrincipal[[#This Row],[POSIÇÃO]]=1,TabelaPrincipal[[#This Row],[LANCE ATUAL]],)</f>
        <v>0</v>
      </c>
      <c r="G56" s="16">
        <f>IF(TabelaPrincipal[[#This Row],[POSIÇÃO]]=1,TabelaPrincipal[[#This Row],[VALOR TOTAL DO LANCE]],)</f>
        <v>0</v>
      </c>
      <c r="H56" s="14"/>
    </row>
    <row r="57" spans="1:8" ht="76.5" hidden="1" x14ac:dyDescent="0.25">
      <c r="A57" s="12">
        <f>IF(TabelaPrincipal[[#This Row],[POSIÇÃO]]=1, TabelaPrincipal[[#This Row],[ITEM]],)</f>
        <v>0</v>
      </c>
      <c r="B57" s="13">
        <f>IF(TabelaPrincipal[[#This Row],[POSIÇÃO]]=1, TabelaPrincipal[[#This Row],[DESCRIÇÃO]],)</f>
        <v>0</v>
      </c>
      <c r="C57" s="14">
        <f>IF(TabelaPrincipal[[#This Row],[POSIÇÃO]]=1,TabelaPrincipal[[#This Row],[UND]],)</f>
        <v>0</v>
      </c>
      <c r="D57" s="13">
        <f>IF(TabelaPrincipal[[#This Row],[POSIÇÃO]]=1,TabelaPrincipal[[#This Row],[QTD]],)</f>
        <v>0</v>
      </c>
      <c r="E57" s="13">
        <f>IF(TabelaPrincipal[[#This Row],[POSIÇÃO]]=1,TabelaPrincipal[[#This Row],[MARCA]],)</f>
        <v>0</v>
      </c>
      <c r="F57" s="15">
        <f>IF(TabelaPrincipal[[#This Row],[POSIÇÃO]]=1,TabelaPrincipal[[#This Row],[LANCE ATUAL]],)</f>
        <v>0</v>
      </c>
      <c r="G57" s="16">
        <f>IF(TabelaPrincipal[[#This Row],[POSIÇÃO]]=1,TabelaPrincipal[[#This Row],[VALOR TOTAL DO LANCE]],)</f>
        <v>0</v>
      </c>
      <c r="H57" s="14"/>
    </row>
    <row r="58" spans="1:8" ht="89.25" hidden="1" x14ac:dyDescent="0.25">
      <c r="A58" s="12">
        <f>IF(TabelaPrincipal[[#This Row],[POSIÇÃO]]=1, TabelaPrincipal[[#This Row],[ITEM]],)</f>
        <v>0</v>
      </c>
      <c r="B58" s="13">
        <f>IF(TabelaPrincipal[[#This Row],[POSIÇÃO]]=1, TabelaPrincipal[[#This Row],[DESCRIÇÃO]],)</f>
        <v>0</v>
      </c>
      <c r="C58" s="14">
        <f>IF(TabelaPrincipal[[#This Row],[POSIÇÃO]]=1,TabelaPrincipal[[#This Row],[UND]],)</f>
        <v>0</v>
      </c>
      <c r="D58" s="13">
        <f>IF(TabelaPrincipal[[#This Row],[POSIÇÃO]]=1,TabelaPrincipal[[#This Row],[QTD]],)</f>
        <v>0</v>
      </c>
      <c r="E58" s="13">
        <f>IF(TabelaPrincipal[[#This Row],[POSIÇÃO]]=1,TabelaPrincipal[[#This Row],[MARCA]],)</f>
        <v>0</v>
      </c>
      <c r="F58" s="15">
        <f>IF(TabelaPrincipal[[#This Row],[POSIÇÃO]]=1,TabelaPrincipal[[#This Row],[LANCE ATUAL]],)</f>
        <v>0</v>
      </c>
      <c r="G58" s="16">
        <f>IF(TabelaPrincipal[[#This Row],[POSIÇÃO]]=1,TabelaPrincipal[[#This Row],[VALOR TOTAL DO LANCE]],)</f>
        <v>0</v>
      </c>
      <c r="H58" s="14"/>
    </row>
    <row r="59" spans="1:8" ht="89.25" hidden="1" x14ac:dyDescent="0.25">
      <c r="A59" s="12">
        <f>IF(TabelaPrincipal[[#This Row],[POSIÇÃO]]=1, TabelaPrincipal[[#This Row],[ITEM]],)</f>
        <v>0</v>
      </c>
      <c r="B59" s="13">
        <f>IF(TabelaPrincipal[[#This Row],[POSIÇÃO]]=1, TabelaPrincipal[[#This Row],[DESCRIÇÃO]],)</f>
        <v>0</v>
      </c>
      <c r="C59" s="14">
        <f>IF(TabelaPrincipal[[#This Row],[POSIÇÃO]]=1,TabelaPrincipal[[#This Row],[UND]],)</f>
        <v>0</v>
      </c>
      <c r="D59" s="13">
        <f>IF(TabelaPrincipal[[#This Row],[POSIÇÃO]]=1,TabelaPrincipal[[#This Row],[QTD]],)</f>
        <v>0</v>
      </c>
      <c r="E59" s="13">
        <f>IF(TabelaPrincipal[[#This Row],[POSIÇÃO]]=1,TabelaPrincipal[[#This Row],[MARCA]],)</f>
        <v>0</v>
      </c>
      <c r="F59" s="15">
        <f>IF(TabelaPrincipal[[#This Row],[POSIÇÃO]]=1,TabelaPrincipal[[#This Row],[LANCE ATUAL]],)</f>
        <v>0</v>
      </c>
      <c r="G59" s="16">
        <f>IF(TabelaPrincipal[[#This Row],[POSIÇÃO]]=1,TabelaPrincipal[[#This Row],[VALOR TOTAL DO LANCE]],)</f>
        <v>0</v>
      </c>
      <c r="H59" s="14"/>
    </row>
    <row r="60" spans="1:8" ht="51" x14ac:dyDescent="0.25">
      <c r="A60" s="12">
        <f>IF(TabelaPrincipal[[#This Row],[POSIÇÃO]]=1, TabelaPrincipal[[#This Row],[ITEM]],)</f>
        <v>61</v>
      </c>
      <c r="B60" s="13" t="str">
        <f>IF(TabelaPrincipal[[#This Row],[POSIÇÃO]]=1, TabelaPrincipal[[#This Row],[DESCRIÇÃO]],)</f>
        <v>Coletor de urina, material: polímero, tipo: sistema fechado, capacidade: cerca de 500 ml, graduação: graduada, válvula: válvula antirefluxo, componentes: c, sistema de fixação, esterilidade: estéril, descartável</v>
      </c>
      <c r="C60" s="14" t="str">
        <f>IF(TabelaPrincipal[[#This Row],[POSIÇÃO]]=1,TabelaPrincipal[[#This Row],[UND]],)</f>
        <v>Unidade</v>
      </c>
      <c r="D60" s="13">
        <f>IF(TabelaPrincipal[[#This Row],[POSIÇÃO]]=1,TabelaPrincipal[[#This Row],[QTD]],)</f>
        <v>20</v>
      </c>
      <c r="E60" s="13" t="str">
        <f>IF(TabelaPrincipal[[#This Row],[POSIÇÃO]]=1,TabelaPrincipal[[#This Row],[MARCA]],)</f>
        <v>Taylor</v>
      </c>
      <c r="F60" s="15">
        <f>IF(TabelaPrincipal[[#This Row],[POSIÇÃO]]=1,TabelaPrincipal[[#This Row],[LANCE ATUAL]],)</f>
        <v>28</v>
      </c>
      <c r="G60" s="16">
        <f>IF(TabelaPrincipal[[#This Row],[POSIÇÃO]]=1,TabelaPrincipal[[#This Row],[VALOR TOTAL DO LANCE]],)</f>
        <v>560</v>
      </c>
      <c r="H60" s="14"/>
    </row>
    <row r="61" spans="1:8" x14ac:dyDescent="0.25">
      <c r="A61" s="12">
        <f>IF(TabelaPrincipal[[#This Row],[POSIÇÃO]]=1, TabelaPrincipal[[#This Row],[ITEM]],)</f>
        <v>73</v>
      </c>
      <c r="B61" s="13" t="str">
        <f>IF(TabelaPrincipal[[#This Row],[POSIÇÃO]]=1, TabelaPrincipal[[#This Row],[DESCRIÇÃO]],)</f>
        <v>Haste flexível, haste flexível</v>
      </c>
      <c r="C61" s="14" t="str">
        <f>IF(TabelaPrincipal[[#This Row],[POSIÇÃO]]=1,TabelaPrincipal[[#This Row],[UND]],)</f>
        <v>Caixa com 75 Unidades</v>
      </c>
      <c r="D61" s="13">
        <f>IF(TabelaPrincipal[[#This Row],[POSIÇÃO]]=1,TabelaPrincipal[[#This Row],[QTD]],)</f>
        <v>100</v>
      </c>
      <c r="E61" s="13" t="str">
        <f>IF(TabelaPrincipal[[#This Row],[POSIÇÃO]]=1,TabelaPrincipal[[#This Row],[MARCA]],)</f>
        <v>Polyfarma</v>
      </c>
      <c r="F61" s="15">
        <f>IF(TabelaPrincipal[[#This Row],[POSIÇÃO]]=1,TabelaPrincipal[[#This Row],[LANCE ATUAL]],)</f>
        <v>1.65</v>
      </c>
      <c r="G61" s="16">
        <f>IF(TabelaPrincipal[[#This Row],[POSIÇÃO]]=1,TabelaPrincipal[[#This Row],[VALOR TOTAL DO LANCE]],)</f>
        <v>165</v>
      </c>
      <c r="H61" s="14"/>
    </row>
    <row r="62" spans="1:8" ht="38.25" hidden="1" x14ac:dyDescent="0.25">
      <c r="A62" s="12">
        <f>IF(TabelaPrincipal[[#This Row],[POSIÇÃO]]=1, TabelaPrincipal[[#This Row],[ITEM]],)</f>
        <v>0</v>
      </c>
      <c r="B62" s="13">
        <f>IF(TabelaPrincipal[[#This Row],[POSIÇÃO]]=1, TabelaPrincipal[[#This Row],[DESCRIÇÃO]],)</f>
        <v>0</v>
      </c>
      <c r="C62" s="14">
        <f>IF(TabelaPrincipal[[#This Row],[POSIÇÃO]]=1,TabelaPrincipal[[#This Row],[UND]],)</f>
        <v>0</v>
      </c>
      <c r="D62" s="13">
        <f>IF(TabelaPrincipal[[#This Row],[POSIÇÃO]]=1,TabelaPrincipal[[#This Row],[QTD]],)</f>
        <v>0</v>
      </c>
      <c r="E62" s="13">
        <f>IF(TabelaPrincipal[[#This Row],[POSIÇÃO]]=1,TabelaPrincipal[[#This Row],[MARCA]],)</f>
        <v>0</v>
      </c>
      <c r="F62" s="15">
        <f>IF(TabelaPrincipal[[#This Row],[POSIÇÃO]]=1,TabelaPrincipal[[#This Row],[LANCE ATUAL]],)</f>
        <v>0</v>
      </c>
      <c r="G62" s="16">
        <f>IF(TabelaPrincipal[[#This Row],[POSIÇÃO]]=1,TabelaPrincipal[[#This Row],[VALOR TOTAL DO LANCE]],)</f>
        <v>0</v>
      </c>
      <c r="H62" s="14"/>
    </row>
    <row r="63" spans="1:8" ht="38.25" hidden="1" x14ac:dyDescent="0.25">
      <c r="A63" s="12">
        <f>IF(TabelaPrincipal[[#This Row],[POSIÇÃO]]=1, TabelaPrincipal[[#This Row],[ITEM]],)</f>
        <v>0</v>
      </c>
      <c r="B63" s="13">
        <f>IF(TabelaPrincipal[[#This Row],[POSIÇÃO]]=1, TabelaPrincipal[[#This Row],[DESCRIÇÃO]],)</f>
        <v>0</v>
      </c>
      <c r="C63" s="14">
        <f>IF(TabelaPrincipal[[#This Row],[POSIÇÃO]]=1,TabelaPrincipal[[#This Row],[UND]],)</f>
        <v>0</v>
      </c>
      <c r="D63" s="13">
        <f>IF(TabelaPrincipal[[#This Row],[POSIÇÃO]]=1,TabelaPrincipal[[#This Row],[QTD]],)</f>
        <v>0</v>
      </c>
      <c r="E63" s="13">
        <f>IF(TabelaPrincipal[[#This Row],[POSIÇÃO]]=1,TabelaPrincipal[[#This Row],[MARCA]],)</f>
        <v>0</v>
      </c>
      <c r="F63" s="15">
        <f>IF(TabelaPrincipal[[#This Row],[POSIÇÃO]]=1,TabelaPrincipal[[#This Row],[LANCE ATUAL]],)</f>
        <v>0</v>
      </c>
      <c r="G63" s="16">
        <f>IF(TabelaPrincipal[[#This Row],[POSIÇÃO]]=1,TabelaPrincipal[[#This Row],[VALOR TOTAL DO LANCE]],)</f>
        <v>0</v>
      </c>
      <c r="H63" s="14"/>
    </row>
    <row r="64" spans="1:8" ht="25.5" hidden="1" x14ac:dyDescent="0.25">
      <c r="A64" s="12">
        <f>IF(TabelaPrincipal[[#This Row],[POSIÇÃO]]=1, TabelaPrincipal[[#This Row],[ITEM]],)</f>
        <v>0</v>
      </c>
      <c r="B64" s="13">
        <f>IF(TabelaPrincipal[[#This Row],[POSIÇÃO]]=1, TabelaPrincipal[[#This Row],[DESCRIÇÃO]],)</f>
        <v>0</v>
      </c>
      <c r="C64" s="14">
        <f>IF(TabelaPrincipal[[#This Row],[POSIÇÃO]]=1,TabelaPrincipal[[#This Row],[UND]],)</f>
        <v>0</v>
      </c>
      <c r="D64" s="13">
        <f>IF(TabelaPrincipal[[#This Row],[POSIÇÃO]]=1,TabelaPrincipal[[#This Row],[QTD]],)</f>
        <v>0</v>
      </c>
      <c r="E64" s="13">
        <f>IF(TabelaPrincipal[[#This Row],[POSIÇÃO]]=1,TabelaPrincipal[[#This Row],[MARCA]],)</f>
        <v>0</v>
      </c>
      <c r="F64" s="15">
        <f>IF(TabelaPrincipal[[#This Row],[POSIÇÃO]]=1,TabelaPrincipal[[#This Row],[LANCE ATUAL]],)</f>
        <v>0</v>
      </c>
      <c r="G64" s="16">
        <f>IF(TabelaPrincipal[[#This Row],[POSIÇÃO]]=1,TabelaPrincipal[[#This Row],[VALOR TOTAL DO LANCE]],)</f>
        <v>0</v>
      </c>
      <c r="H64" s="14"/>
    </row>
    <row r="65" spans="1:8" ht="102" hidden="1" x14ac:dyDescent="0.25">
      <c r="A65" s="12">
        <f>IF(TabelaPrincipal[[#This Row],[POSIÇÃO]]=1, TabelaPrincipal[[#This Row],[ITEM]],)</f>
        <v>0</v>
      </c>
      <c r="B65" s="13">
        <f>IF(TabelaPrincipal[[#This Row],[POSIÇÃO]]=1, TabelaPrincipal[[#This Row],[DESCRIÇÃO]],)</f>
        <v>0</v>
      </c>
      <c r="C65" s="14">
        <f>IF(TabelaPrincipal[[#This Row],[POSIÇÃO]]=1,TabelaPrincipal[[#This Row],[UND]],)</f>
        <v>0</v>
      </c>
      <c r="D65" s="13">
        <f>IF(TabelaPrincipal[[#This Row],[POSIÇÃO]]=1,TabelaPrincipal[[#This Row],[QTD]],)</f>
        <v>0</v>
      </c>
      <c r="E65" s="13">
        <f>IF(TabelaPrincipal[[#This Row],[POSIÇÃO]]=1,TabelaPrincipal[[#This Row],[MARCA]],)</f>
        <v>0</v>
      </c>
      <c r="F65" s="15">
        <f>IF(TabelaPrincipal[[#This Row],[POSIÇÃO]]=1,TabelaPrincipal[[#This Row],[LANCE ATUAL]],)</f>
        <v>0</v>
      </c>
      <c r="G65" s="16">
        <f>IF(TabelaPrincipal[[#This Row],[POSIÇÃO]]=1,TabelaPrincipal[[#This Row],[VALOR TOTAL DO LANCE]],)</f>
        <v>0</v>
      </c>
      <c r="H65" s="14"/>
    </row>
    <row r="66" spans="1:8" ht="63.75" hidden="1" x14ac:dyDescent="0.25">
      <c r="A66" s="12">
        <f>IF(TabelaPrincipal[[#This Row],[POSIÇÃO]]=1, TabelaPrincipal[[#This Row],[ITEM]],)</f>
        <v>0</v>
      </c>
      <c r="B66" s="13">
        <f>IF(TabelaPrincipal[[#This Row],[POSIÇÃO]]=1, TabelaPrincipal[[#This Row],[DESCRIÇÃO]],)</f>
        <v>0</v>
      </c>
      <c r="C66" s="14">
        <f>IF(TabelaPrincipal[[#This Row],[POSIÇÃO]]=1,TabelaPrincipal[[#This Row],[UND]],)</f>
        <v>0</v>
      </c>
      <c r="D66" s="13">
        <f>IF(TabelaPrincipal[[#This Row],[POSIÇÃO]]=1,TabelaPrincipal[[#This Row],[QTD]],)</f>
        <v>0</v>
      </c>
      <c r="E66" s="13">
        <f>IF(TabelaPrincipal[[#This Row],[POSIÇÃO]]=1,TabelaPrincipal[[#This Row],[MARCA]],)</f>
        <v>0</v>
      </c>
      <c r="F66" s="15">
        <f>IF(TabelaPrincipal[[#This Row],[POSIÇÃO]]=1,TabelaPrincipal[[#This Row],[LANCE ATUAL]],)</f>
        <v>0</v>
      </c>
      <c r="G66" s="16">
        <f>IF(TabelaPrincipal[[#This Row],[POSIÇÃO]]=1,TabelaPrincipal[[#This Row],[VALOR TOTAL DO LANCE]],)</f>
        <v>0</v>
      </c>
      <c r="H66" s="14"/>
    </row>
    <row r="67" spans="1:8" ht="25.5" hidden="1" x14ac:dyDescent="0.25">
      <c r="A67" s="12">
        <f>IF(TabelaPrincipal[[#This Row],[POSIÇÃO]]=1, TabelaPrincipal[[#This Row],[ITEM]],)</f>
        <v>0</v>
      </c>
      <c r="B67" s="13">
        <f>IF(TabelaPrincipal[[#This Row],[POSIÇÃO]]=1, TabelaPrincipal[[#This Row],[DESCRIÇÃO]],)</f>
        <v>0</v>
      </c>
      <c r="C67" s="14">
        <f>IF(TabelaPrincipal[[#This Row],[POSIÇÃO]]=1,TabelaPrincipal[[#This Row],[UND]],)</f>
        <v>0</v>
      </c>
      <c r="D67" s="13">
        <f>IF(TabelaPrincipal[[#This Row],[POSIÇÃO]]=1,TabelaPrincipal[[#This Row],[QTD]],)</f>
        <v>0</v>
      </c>
      <c r="E67" s="13">
        <f>IF(TabelaPrincipal[[#This Row],[POSIÇÃO]]=1,TabelaPrincipal[[#This Row],[MARCA]],)</f>
        <v>0</v>
      </c>
      <c r="F67" s="15">
        <f>IF(TabelaPrincipal[[#This Row],[POSIÇÃO]]=1,TabelaPrincipal[[#This Row],[LANCE ATUAL]],)</f>
        <v>0</v>
      </c>
      <c r="G67" s="16">
        <f>IF(TabelaPrincipal[[#This Row],[POSIÇÃO]]=1,TabelaPrincipal[[#This Row],[VALOR TOTAL DO LANCE]],)</f>
        <v>0</v>
      </c>
      <c r="H67" s="14"/>
    </row>
    <row r="68" spans="1:8" ht="51" hidden="1" x14ac:dyDescent="0.25">
      <c r="A68" s="12">
        <f>IF(TabelaPrincipal[[#This Row],[POSIÇÃO]]=1, TabelaPrincipal[[#This Row],[ITEM]],)</f>
        <v>0</v>
      </c>
      <c r="B68" s="13">
        <f>IF(TabelaPrincipal[[#This Row],[POSIÇÃO]]=1, TabelaPrincipal[[#This Row],[DESCRIÇÃO]],)</f>
        <v>0</v>
      </c>
      <c r="C68" s="14">
        <f>IF(TabelaPrincipal[[#This Row],[POSIÇÃO]]=1,TabelaPrincipal[[#This Row],[UND]],)</f>
        <v>0</v>
      </c>
      <c r="D68" s="13">
        <f>IF(TabelaPrincipal[[#This Row],[POSIÇÃO]]=1,TabelaPrincipal[[#This Row],[QTD]],)</f>
        <v>0</v>
      </c>
      <c r="E68" s="13">
        <f>IF(TabelaPrincipal[[#This Row],[POSIÇÃO]]=1,TabelaPrincipal[[#This Row],[MARCA]],)</f>
        <v>0</v>
      </c>
      <c r="F68" s="15">
        <f>IF(TabelaPrincipal[[#This Row],[POSIÇÃO]]=1,TabelaPrincipal[[#This Row],[LANCE ATUAL]],)</f>
        <v>0</v>
      </c>
      <c r="G68" s="16">
        <f>IF(TabelaPrincipal[[#This Row],[POSIÇÃO]]=1,TabelaPrincipal[[#This Row],[VALOR TOTAL DO LANCE]],)</f>
        <v>0</v>
      </c>
      <c r="H68" s="14"/>
    </row>
    <row r="69" spans="1:8" ht="140.25" hidden="1" x14ac:dyDescent="0.25">
      <c r="A69" s="12">
        <f>IF(TabelaPrincipal[[#This Row],[POSIÇÃO]]=1, TabelaPrincipal[[#This Row],[ITEM]],)</f>
        <v>0</v>
      </c>
      <c r="B69" s="13">
        <f>IF(TabelaPrincipal[[#This Row],[POSIÇÃO]]=1, TabelaPrincipal[[#This Row],[DESCRIÇÃO]],)</f>
        <v>0</v>
      </c>
      <c r="C69" s="14">
        <f>IF(TabelaPrincipal[[#This Row],[POSIÇÃO]]=1,TabelaPrincipal[[#This Row],[UND]],)</f>
        <v>0</v>
      </c>
      <c r="D69" s="13">
        <f>IF(TabelaPrincipal[[#This Row],[POSIÇÃO]]=1,TabelaPrincipal[[#This Row],[QTD]],)</f>
        <v>0</v>
      </c>
      <c r="E69" s="13">
        <f>IF(TabelaPrincipal[[#This Row],[POSIÇÃO]]=1,TabelaPrincipal[[#This Row],[MARCA]],)</f>
        <v>0</v>
      </c>
      <c r="F69" s="15">
        <f>IF(TabelaPrincipal[[#This Row],[POSIÇÃO]]=1,TabelaPrincipal[[#This Row],[LANCE ATUAL]],)</f>
        <v>0</v>
      </c>
      <c r="G69" s="16">
        <f>IF(TabelaPrincipal[[#This Row],[POSIÇÃO]]=1,TabelaPrincipal[[#This Row],[VALOR TOTAL DO LANCE]],)</f>
        <v>0</v>
      </c>
      <c r="H69" s="14"/>
    </row>
    <row r="70" spans="1:8" ht="51" hidden="1" x14ac:dyDescent="0.25">
      <c r="A70" s="12">
        <f>IF(TabelaPrincipal[[#This Row],[POSIÇÃO]]=1, TabelaPrincipal[[#This Row],[ITEM]],)</f>
        <v>0</v>
      </c>
      <c r="B70" s="13">
        <f>IF(TabelaPrincipal[[#This Row],[POSIÇÃO]]=1, TabelaPrincipal[[#This Row],[DESCRIÇÃO]],)</f>
        <v>0</v>
      </c>
      <c r="C70" s="14">
        <f>IF(TabelaPrincipal[[#This Row],[POSIÇÃO]]=1,TabelaPrincipal[[#This Row],[UND]],)</f>
        <v>0</v>
      </c>
      <c r="D70" s="13">
        <f>IF(TabelaPrincipal[[#This Row],[POSIÇÃO]]=1,TabelaPrincipal[[#This Row],[QTD]],)</f>
        <v>0</v>
      </c>
      <c r="E70" s="13">
        <f>IF(TabelaPrincipal[[#This Row],[POSIÇÃO]]=1,TabelaPrincipal[[#This Row],[MARCA]],)</f>
        <v>0</v>
      </c>
      <c r="F70" s="15">
        <f>IF(TabelaPrincipal[[#This Row],[POSIÇÃO]]=1,TabelaPrincipal[[#This Row],[LANCE ATUAL]],)</f>
        <v>0</v>
      </c>
      <c r="G70" s="16">
        <f>IF(TabelaPrincipal[[#This Row],[POSIÇÃO]]=1,TabelaPrincipal[[#This Row],[VALOR TOTAL DO LANCE]],)</f>
        <v>0</v>
      </c>
      <c r="H70" s="14"/>
    </row>
    <row r="71" spans="1:8" ht="25.5" hidden="1" x14ac:dyDescent="0.25">
      <c r="A71" s="12">
        <f>IF(TabelaPrincipal[[#This Row],[POSIÇÃO]]=1, TabelaPrincipal[[#This Row],[ITEM]],)</f>
        <v>0</v>
      </c>
      <c r="B71" s="13">
        <f>IF(TabelaPrincipal[[#This Row],[POSIÇÃO]]=1, TabelaPrincipal[[#This Row],[DESCRIÇÃO]],)</f>
        <v>0</v>
      </c>
      <c r="C71" s="14">
        <f>IF(TabelaPrincipal[[#This Row],[POSIÇÃO]]=1,TabelaPrincipal[[#This Row],[UND]],)</f>
        <v>0</v>
      </c>
      <c r="D71" s="13">
        <f>IF(TabelaPrincipal[[#This Row],[POSIÇÃO]]=1,TabelaPrincipal[[#This Row],[QTD]],)</f>
        <v>0</v>
      </c>
      <c r="E71" s="13">
        <f>IF(TabelaPrincipal[[#This Row],[POSIÇÃO]]=1,TabelaPrincipal[[#This Row],[MARCA]],)</f>
        <v>0</v>
      </c>
      <c r="F71" s="15">
        <f>IF(TabelaPrincipal[[#This Row],[POSIÇÃO]]=1,TabelaPrincipal[[#This Row],[LANCE ATUAL]],)</f>
        <v>0</v>
      </c>
      <c r="G71" s="16">
        <f>IF(TabelaPrincipal[[#This Row],[POSIÇÃO]]=1,TabelaPrincipal[[#This Row],[VALOR TOTAL DO LANCE]],)</f>
        <v>0</v>
      </c>
      <c r="H71" s="14"/>
    </row>
    <row r="72" spans="1:8" ht="51" hidden="1" x14ac:dyDescent="0.25">
      <c r="A72" s="12">
        <f>IF(TabelaPrincipal[[#This Row],[POSIÇÃO]]=1, TabelaPrincipal[[#This Row],[ITEM]],)</f>
        <v>0</v>
      </c>
      <c r="B72" s="13">
        <f>IF(TabelaPrincipal[[#This Row],[POSIÇÃO]]=1, TabelaPrincipal[[#This Row],[DESCRIÇÃO]],)</f>
        <v>0</v>
      </c>
      <c r="C72" s="14">
        <f>IF(TabelaPrincipal[[#This Row],[POSIÇÃO]]=1,TabelaPrincipal[[#This Row],[UND]],)</f>
        <v>0</v>
      </c>
      <c r="D72" s="13">
        <f>IF(TabelaPrincipal[[#This Row],[POSIÇÃO]]=1,TabelaPrincipal[[#This Row],[QTD]],)</f>
        <v>0</v>
      </c>
      <c r="E72" s="13">
        <f>IF(TabelaPrincipal[[#This Row],[POSIÇÃO]]=1,TabelaPrincipal[[#This Row],[MARCA]],)</f>
        <v>0</v>
      </c>
      <c r="F72" s="15">
        <f>IF(TabelaPrincipal[[#This Row],[POSIÇÃO]]=1,TabelaPrincipal[[#This Row],[LANCE ATUAL]],)</f>
        <v>0</v>
      </c>
      <c r="G72" s="16">
        <f>IF(TabelaPrincipal[[#This Row],[POSIÇÃO]]=1,TabelaPrincipal[[#This Row],[VALOR TOTAL DO LANCE]],)</f>
        <v>0</v>
      </c>
      <c r="H72" s="14"/>
    </row>
    <row r="73" spans="1:8" ht="38.25" hidden="1" x14ac:dyDescent="0.25">
      <c r="A73" s="12">
        <f>IF(TabelaPrincipal[[#This Row],[POSIÇÃO]]=1, TabelaPrincipal[[#This Row],[ITEM]],)</f>
        <v>0</v>
      </c>
      <c r="B73" s="13">
        <f>IF(TabelaPrincipal[[#This Row],[POSIÇÃO]]=1, TabelaPrincipal[[#This Row],[DESCRIÇÃO]],)</f>
        <v>0</v>
      </c>
      <c r="C73" s="14">
        <f>IF(TabelaPrincipal[[#This Row],[POSIÇÃO]]=1,TabelaPrincipal[[#This Row],[UND]],)</f>
        <v>0</v>
      </c>
      <c r="D73" s="13">
        <f>IF(TabelaPrincipal[[#This Row],[POSIÇÃO]]=1,TabelaPrincipal[[#This Row],[QTD]],)</f>
        <v>0</v>
      </c>
      <c r="E73" s="13">
        <f>IF(TabelaPrincipal[[#This Row],[POSIÇÃO]]=1,TabelaPrincipal[[#This Row],[MARCA]],)</f>
        <v>0</v>
      </c>
      <c r="F73" s="15">
        <f>IF(TabelaPrincipal[[#This Row],[POSIÇÃO]]=1,TabelaPrincipal[[#This Row],[LANCE ATUAL]],)</f>
        <v>0</v>
      </c>
      <c r="G73" s="16">
        <f>IF(TabelaPrincipal[[#This Row],[POSIÇÃO]]=1,TabelaPrincipal[[#This Row],[VALOR TOTAL DO LANCE]],)</f>
        <v>0</v>
      </c>
      <c r="H73" s="14"/>
    </row>
    <row r="74" spans="1:8" ht="38.25" hidden="1" x14ac:dyDescent="0.25">
      <c r="A74" s="12">
        <f>IF(TabelaPrincipal[[#This Row],[POSIÇÃO]]=1, TabelaPrincipal[[#This Row],[ITEM]],)</f>
        <v>0</v>
      </c>
      <c r="B74" s="13">
        <f>IF(TabelaPrincipal[[#This Row],[POSIÇÃO]]=1, TabelaPrincipal[[#This Row],[DESCRIÇÃO]],)</f>
        <v>0</v>
      </c>
      <c r="C74" s="14">
        <f>IF(TabelaPrincipal[[#This Row],[POSIÇÃO]]=1,TabelaPrincipal[[#This Row],[UND]],)</f>
        <v>0</v>
      </c>
      <c r="D74" s="13">
        <f>IF(TabelaPrincipal[[#This Row],[POSIÇÃO]]=1,TabelaPrincipal[[#This Row],[QTD]],)</f>
        <v>0</v>
      </c>
      <c r="E74" s="13">
        <f>IF(TabelaPrincipal[[#This Row],[POSIÇÃO]]=1,TabelaPrincipal[[#This Row],[MARCA]],)</f>
        <v>0</v>
      </c>
      <c r="F74" s="15">
        <f>IF(TabelaPrincipal[[#This Row],[POSIÇÃO]]=1,TabelaPrincipal[[#This Row],[LANCE ATUAL]],)</f>
        <v>0</v>
      </c>
      <c r="G74" s="16">
        <f>IF(TabelaPrincipal[[#This Row],[POSIÇÃO]]=1,TabelaPrincipal[[#This Row],[VALOR TOTAL DO LANCE]],)</f>
        <v>0</v>
      </c>
      <c r="H74" s="14"/>
    </row>
    <row r="75" spans="1:8" ht="51" hidden="1" x14ac:dyDescent="0.25">
      <c r="A75" s="12">
        <f>IF(TabelaPrincipal[[#This Row],[POSIÇÃO]]=1, TabelaPrincipal[[#This Row],[ITEM]],)</f>
        <v>0</v>
      </c>
      <c r="B75" s="13">
        <f>IF(TabelaPrincipal[[#This Row],[POSIÇÃO]]=1, TabelaPrincipal[[#This Row],[DESCRIÇÃO]],)</f>
        <v>0</v>
      </c>
      <c r="C75" s="14">
        <f>IF(TabelaPrincipal[[#This Row],[POSIÇÃO]]=1,TabelaPrincipal[[#This Row],[UND]],)</f>
        <v>0</v>
      </c>
      <c r="D75" s="13">
        <f>IF(TabelaPrincipal[[#This Row],[POSIÇÃO]]=1,TabelaPrincipal[[#This Row],[QTD]],)</f>
        <v>0</v>
      </c>
      <c r="E75" s="13">
        <f>IF(TabelaPrincipal[[#This Row],[POSIÇÃO]]=1,TabelaPrincipal[[#This Row],[MARCA]],)</f>
        <v>0</v>
      </c>
      <c r="F75" s="15">
        <f>IF(TabelaPrincipal[[#This Row],[POSIÇÃO]]=1,TabelaPrincipal[[#This Row],[LANCE ATUAL]],)</f>
        <v>0</v>
      </c>
      <c r="G75" s="16">
        <f>IF(TabelaPrincipal[[#This Row],[POSIÇÃO]]=1,TabelaPrincipal[[#This Row],[VALOR TOTAL DO LANCE]],)</f>
        <v>0</v>
      </c>
      <c r="H75" s="14"/>
    </row>
    <row r="76" spans="1:8" ht="63.75" hidden="1" x14ac:dyDescent="0.25">
      <c r="A76" s="12">
        <f>IF(TabelaPrincipal[[#This Row],[POSIÇÃO]]=1, TabelaPrincipal[[#This Row],[ITEM]],)</f>
        <v>0</v>
      </c>
      <c r="B76" s="13">
        <f>IF(TabelaPrincipal[[#This Row],[POSIÇÃO]]=1, TabelaPrincipal[[#This Row],[DESCRIÇÃO]],)</f>
        <v>0</v>
      </c>
      <c r="C76" s="14">
        <f>IF(TabelaPrincipal[[#This Row],[POSIÇÃO]]=1,TabelaPrincipal[[#This Row],[UND]],)</f>
        <v>0</v>
      </c>
      <c r="D76" s="13">
        <f>IF(TabelaPrincipal[[#This Row],[POSIÇÃO]]=1,TabelaPrincipal[[#This Row],[QTD]],)</f>
        <v>0</v>
      </c>
      <c r="E76" s="13">
        <f>IF(TabelaPrincipal[[#This Row],[POSIÇÃO]]=1,TabelaPrincipal[[#This Row],[MARCA]],)</f>
        <v>0</v>
      </c>
      <c r="F76" s="15">
        <f>IF(TabelaPrincipal[[#This Row],[POSIÇÃO]]=1,TabelaPrincipal[[#This Row],[LANCE ATUAL]],)</f>
        <v>0</v>
      </c>
      <c r="G76" s="16">
        <f>IF(TabelaPrincipal[[#This Row],[POSIÇÃO]]=1,TabelaPrincipal[[#This Row],[VALOR TOTAL DO LANCE]],)</f>
        <v>0</v>
      </c>
      <c r="H76" s="14"/>
    </row>
    <row r="77" spans="1:8" ht="102" hidden="1" x14ac:dyDescent="0.25">
      <c r="A77" s="12">
        <f>IF(TabelaPrincipal[[#This Row],[POSIÇÃO]]=1, TabelaPrincipal[[#This Row],[ITEM]],)</f>
        <v>0</v>
      </c>
      <c r="B77" s="13">
        <f>IF(TabelaPrincipal[[#This Row],[POSIÇÃO]]=1, TabelaPrincipal[[#This Row],[DESCRIÇÃO]],)</f>
        <v>0</v>
      </c>
      <c r="C77" s="14">
        <f>IF(TabelaPrincipal[[#This Row],[POSIÇÃO]]=1,TabelaPrincipal[[#This Row],[UND]],)</f>
        <v>0</v>
      </c>
      <c r="D77" s="13">
        <f>IF(TabelaPrincipal[[#This Row],[POSIÇÃO]]=1,TabelaPrincipal[[#This Row],[QTD]],)</f>
        <v>0</v>
      </c>
      <c r="E77" s="13">
        <f>IF(TabelaPrincipal[[#This Row],[POSIÇÃO]]=1,TabelaPrincipal[[#This Row],[MARCA]],)</f>
        <v>0</v>
      </c>
      <c r="F77" s="15">
        <f>IF(TabelaPrincipal[[#This Row],[POSIÇÃO]]=1,TabelaPrincipal[[#This Row],[LANCE ATUAL]],)</f>
        <v>0</v>
      </c>
      <c r="G77" s="16">
        <f>IF(TabelaPrincipal[[#This Row],[POSIÇÃO]]=1,TabelaPrincipal[[#This Row],[VALOR TOTAL DO LANCE]],)</f>
        <v>0</v>
      </c>
      <c r="H77" s="14"/>
    </row>
    <row r="78" spans="1:8" ht="25.5" x14ac:dyDescent="0.25">
      <c r="A78" s="12">
        <f>IF(TabelaPrincipal[[#This Row],[POSIÇÃO]]=1, TabelaPrincipal[[#This Row],[ITEM]],)</f>
        <v>110</v>
      </c>
      <c r="B78" s="13" t="str">
        <f>IF(TabelaPrincipal[[#This Row],[POSIÇÃO]]=1, TabelaPrincipal[[#This Row],[DESCRIÇÃO]],)</f>
        <v>Butilbrometo de escopolamina + dipirona solução injetável 4 mg/mL + 500 mg/mL</v>
      </c>
      <c r="C78" s="14" t="str">
        <f>IF(TabelaPrincipal[[#This Row],[POSIÇÃO]]=1,TabelaPrincipal[[#This Row],[UND]],)</f>
        <v>Ampola</v>
      </c>
      <c r="D78" s="13">
        <f>IF(TabelaPrincipal[[#This Row],[POSIÇÃO]]=1,TabelaPrincipal[[#This Row],[QTD]],)</f>
        <v>500</v>
      </c>
      <c r="E78" s="13" t="str">
        <f>IF(TabelaPrincipal[[#This Row],[POSIÇÃO]]=1,TabelaPrincipal[[#This Row],[MARCA]],)</f>
        <v>Hipolabor</v>
      </c>
      <c r="F78" s="15">
        <f>IF(TabelaPrincipal[[#This Row],[POSIÇÃO]]=1,TabelaPrincipal[[#This Row],[LANCE ATUAL]],)</f>
        <v>1.9</v>
      </c>
      <c r="G78" s="16">
        <f>IF(TabelaPrincipal[[#This Row],[POSIÇÃO]]=1,TabelaPrincipal[[#This Row],[VALOR TOTAL DO LANCE]],)</f>
        <v>950</v>
      </c>
      <c r="H78" s="14"/>
    </row>
    <row r="79" spans="1:8" x14ac:dyDescent="0.25">
      <c r="A79" s="12">
        <f>IF(TabelaPrincipal[[#This Row],[POSIÇÃO]]=1, TabelaPrincipal[[#This Row],[ITEM]],)</f>
        <v>111</v>
      </c>
      <c r="B79" s="13" t="str">
        <f>IF(TabelaPrincipal[[#This Row],[POSIÇÃO]]=1, TabelaPrincipal[[#This Row],[DESCRIÇÃO]],)</f>
        <v>Valerato de betametasona 1 mg/g creme dermatológico</v>
      </c>
      <c r="C79" s="14" t="str">
        <f>IF(TabelaPrincipal[[#This Row],[POSIÇÃO]]=1,TabelaPrincipal[[#This Row],[UND]],)</f>
        <v>Tubo</v>
      </c>
      <c r="D79" s="13">
        <f>IF(TabelaPrincipal[[#This Row],[POSIÇÃO]]=1,TabelaPrincipal[[#This Row],[QTD]],)</f>
        <v>300</v>
      </c>
      <c r="E79" s="13" t="str">
        <f>IF(TabelaPrincipal[[#This Row],[POSIÇÃO]]=1,TabelaPrincipal[[#This Row],[MARCA]],)</f>
        <v>Brainfarma</v>
      </c>
      <c r="F79" s="15">
        <f>IF(TabelaPrincipal[[#This Row],[POSIÇÃO]]=1,TabelaPrincipal[[#This Row],[LANCE ATUAL]],)</f>
        <v>7.98</v>
      </c>
      <c r="G79" s="16">
        <f>IF(TabelaPrincipal[[#This Row],[POSIÇÃO]]=1,TabelaPrincipal[[#This Row],[VALOR TOTAL DO LANCE]],)</f>
        <v>2394</v>
      </c>
      <c r="H79" s="14"/>
    </row>
    <row r="80" spans="1:8" hidden="1" x14ac:dyDescent="0.25">
      <c r="A80" s="12">
        <f>IF(TabelaPrincipal[[#This Row],[POSIÇÃO]]=1, TabelaPrincipal[[#This Row],[ITEM]],)</f>
        <v>0</v>
      </c>
      <c r="B80" s="13">
        <f>IF(TabelaPrincipal[[#This Row],[POSIÇÃO]]=1, TabelaPrincipal[[#This Row],[DESCRIÇÃO]],)</f>
        <v>0</v>
      </c>
      <c r="C80" s="14">
        <f>IF(TabelaPrincipal[[#This Row],[POSIÇÃO]]=1,TabelaPrincipal[[#This Row],[UND]],)</f>
        <v>0</v>
      </c>
      <c r="D80" s="13">
        <f>IF(TabelaPrincipal[[#This Row],[POSIÇÃO]]=1,TabelaPrincipal[[#This Row],[QTD]],)</f>
        <v>0</v>
      </c>
      <c r="E80" s="13">
        <f>IF(TabelaPrincipal[[#This Row],[POSIÇÃO]]=1,TabelaPrincipal[[#This Row],[MARCA]],)</f>
        <v>0</v>
      </c>
      <c r="F80" s="15">
        <f>IF(TabelaPrincipal[[#This Row],[POSIÇÃO]]=1,TabelaPrincipal[[#This Row],[LANCE ATUAL]],)</f>
        <v>0</v>
      </c>
      <c r="G80" s="16">
        <f>IF(TabelaPrincipal[[#This Row],[POSIÇÃO]]=1,TabelaPrincipal[[#This Row],[VALOR TOTAL DO LANCE]],)</f>
        <v>0</v>
      </c>
      <c r="H80" s="14"/>
    </row>
    <row r="81" spans="1:8" hidden="1" x14ac:dyDescent="0.25">
      <c r="A81" s="12">
        <f>IF(TabelaPrincipal[[#This Row],[POSIÇÃO]]=1, TabelaPrincipal[[#This Row],[ITEM]],)</f>
        <v>0</v>
      </c>
      <c r="B81" s="13">
        <f>IF(TabelaPrincipal[[#This Row],[POSIÇÃO]]=1, TabelaPrincipal[[#This Row],[DESCRIÇÃO]],)</f>
        <v>0</v>
      </c>
      <c r="C81" s="14">
        <f>IF(TabelaPrincipal[[#This Row],[POSIÇÃO]]=1,TabelaPrincipal[[#This Row],[UND]],)</f>
        <v>0</v>
      </c>
      <c r="D81" s="13">
        <f>IF(TabelaPrincipal[[#This Row],[POSIÇÃO]]=1,TabelaPrincipal[[#This Row],[QTD]],)</f>
        <v>0</v>
      </c>
      <c r="E81" s="13">
        <f>IF(TabelaPrincipal[[#This Row],[POSIÇÃO]]=1,TabelaPrincipal[[#This Row],[MARCA]],)</f>
        <v>0</v>
      </c>
      <c r="F81" s="15">
        <f>IF(TabelaPrincipal[[#This Row],[POSIÇÃO]]=1,TabelaPrincipal[[#This Row],[LANCE ATUAL]],)</f>
        <v>0</v>
      </c>
      <c r="G81" s="16">
        <f>IF(TabelaPrincipal[[#This Row],[POSIÇÃO]]=1,TabelaPrincipal[[#This Row],[VALOR TOTAL DO LANCE]],)</f>
        <v>0</v>
      </c>
      <c r="H81" s="14"/>
    </row>
    <row r="82" spans="1:8" hidden="1" x14ac:dyDescent="0.25">
      <c r="A82" s="12">
        <f>IF(TabelaPrincipal[[#This Row],[POSIÇÃO]]=1, TabelaPrincipal[[#This Row],[ITEM]],)</f>
        <v>0</v>
      </c>
      <c r="B82" s="13">
        <f>IF(TabelaPrincipal[[#This Row],[POSIÇÃO]]=1, TabelaPrincipal[[#This Row],[DESCRIÇÃO]],)</f>
        <v>0</v>
      </c>
      <c r="C82" s="14">
        <f>IF(TabelaPrincipal[[#This Row],[POSIÇÃO]]=1,TabelaPrincipal[[#This Row],[UND]],)</f>
        <v>0</v>
      </c>
      <c r="D82" s="13">
        <f>IF(TabelaPrincipal[[#This Row],[POSIÇÃO]]=1,TabelaPrincipal[[#This Row],[QTD]],)</f>
        <v>0</v>
      </c>
      <c r="E82" s="13">
        <f>IF(TabelaPrincipal[[#This Row],[POSIÇÃO]]=1,TabelaPrincipal[[#This Row],[MARCA]],)</f>
        <v>0</v>
      </c>
      <c r="F82" s="15">
        <f>IF(TabelaPrincipal[[#This Row],[POSIÇÃO]]=1,TabelaPrincipal[[#This Row],[LANCE ATUAL]],)</f>
        <v>0</v>
      </c>
      <c r="G82" s="16">
        <f>IF(TabelaPrincipal[[#This Row],[POSIÇÃO]]=1,TabelaPrincipal[[#This Row],[VALOR TOTAL DO LANCE]],)</f>
        <v>0</v>
      </c>
      <c r="H82" s="14"/>
    </row>
    <row r="83" spans="1:8" ht="51" hidden="1" x14ac:dyDescent="0.25">
      <c r="A83" s="12">
        <f>IF(TabelaPrincipal[[#This Row],[POSIÇÃO]]=1, TabelaPrincipal[[#This Row],[ITEM]],)</f>
        <v>0</v>
      </c>
      <c r="B83" s="13">
        <f>IF(TabelaPrincipal[[#This Row],[POSIÇÃO]]=1, TabelaPrincipal[[#This Row],[DESCRIÇÃO]],)</f>
        <v>0</v>
      </c>
      <c r="C83" s="14">
        <f>IF(TabelaPrincipal[[#This Row],[POSIÇÃO]]=1,TabelaPrincipal[[#This Row],[UND]],)</f>
        <v>0</v>
      </c>
      <c r="D83" s="13">
        <f>IF(TabelaPrincipal[[#This Row],[POSIÇÃO]]=1,TabelaPrincipal[[#This Row],[QTD]],)</f>
        <v>0</v>
      </c>
      <c r="E83" s="13">
        <f>IF(TabelaPrincipal[[#This Row],[POSIÇÃO]]=1,TabelaPrincipal[[#This Row],[MARCA]],)</f>
        <v>0</v>
      </c>
      <c r="F83" s="15">
        <f>IF(TabelaPrincipal[[#This Row],[POSIÇÃO]]=1,TabelaPrincipal[[#This Row],[LANCE ATUAL]],)</f>
        <v>0</v>
      </c>
      <c r="G83" s="16">
        <f>IF(TabelaPrincipal[[#This Row],[POSIÇÃO]]=1,TabelaPrincipal[[#This Row],[VALOR TOTAL DO LANCE]],)</f>
        <v>0</v>
      </c>
      <c r="H83" s="14"/>
    </row>
    <row r="84" spans="1:8" ht="191.25" hidden="1" x14ac:dyDescent="0.25">
      <c r="A84" s="12">
        <f>IF(TabelaPrincipal[[#This Row],[POSIÇÃO]]=1, TabelaPrincipal[[#This Row],[ITEM]],)</f>
        <v>0</v>
      </c>
      <c r="B84" s="13">
        <f>IF(TabelaPrincipal[[#This Row],[POSIÇÃO]]=1, TabelaPrincipal[[#This Row],[DESCRIÇÃO]],)</f>
        <v>0</v>
      </c>
      <c r="C84" s="14">
        <f>IF(TabelaPrincipal[[#This Row],[POSIÇÃO]]=1,TabelaPrincipal[[#This Row],[UND]],)</f>
        <v>0</v>
      </c>
      <c r="D84" s="13">
        <f>IF(TabelaPrincipal[[#This Row],[POSIÇÃO]]=1,TabelaPrincipal[[#This Row],[QTD]],)</f>
        <v>0</v>
      </c>
      <c r="E84" s="13">
        <f>IF(TabelaPrincipal[[#This Row],[POSIÇÃO]]=1,TabelaPrincipal[[#This Row],[MARCA]],)</f>
        <v>0</v>
      </c>
      <c r="F84" s="15">
        <f>IF(TabelaPrincipal[[#This Row],[POSIÇÃO]]=1,TabelaPrincipal[[#This Row],[LANCE ATUAL]],)</f>
        <v>0</v>
      </c>
      <c r="G84" s="16">
        <f>IF(TabelaPrincipal[[#This Row],[POSIÇÃO]]=1,TabelaPrincipal[[#This Row],[VALOR TOTAL DO LANCE]],)</f>
        <v>0</v>
      </c>
      <c r="H84" s="14"/>
    </row>
    <row r="85" spans="1:8" ht="51" hidden="1" x14ac:dyDescent="0.25">
      <c r="A85" s="12">
        <f>IF(TabelaPrincipal[[#This Row],[POSIÇÃO]]=1, TabelaPrincipal[[#This Row],[ITEM]],)</f>
        <v>0</v>
      </c>
      <c r="B85" s="13">
        <f>IF(TabelaPrincipal[[#This Row],[POSIÇÃO]]=1, TabelaPrincipal[[#This Row],[DESCRIÇÃO]],)</f>
        <v>0</v>
      </c>
      <c r="C85" s="14">
        <f>IF(TabelaPrincipal[[#This Row],[POSIÇÃO]]=1,TabelaPrincipal[[#This Row],[UND]],)</f>
        <v>0</v>
      </c>
      <c r="D85" s="13">
        <f>IF(TabelaPrincipal[[#This Row],[POSIÇÃO]]=1,TabelaPrincipal[[#This Row],[QTD]],)</f>
        <v>0</v>
      </c>
      <c r="E85" s="13">
        <f>IF(TabelaPrincipal[[#This Row],[POSIÇÃO]]=1,TabelaPrincipal[[#This Row],[MARCA]],)</f>
        <v>0</v>
      </c>
      <c r="F85" s="15">
        <f>IF(TabelaPrincipal[[#This Row],[POSIÇÃO]]=1,TabelaPrincipal[[#This Row],[LANCE ATUAL]],)</f>
        <v>0</v>
      </c>
      <c r="G85" s="16">
        <f>IF(TabelaPrincipal[[#This Row],[POSIÇÃO]]=1,TabelaPrincipal[[#This Row],[VALOR TOTAL DO LANCE]],)</f>
        <v>0</v>
      </c>
      <c r="H85" s="14"/>
    </row>
    <row r="86" spans="1:8" ht="153" hidden="1" x14ac:dyDescent="0.25">
      <c r="A86" s="12">
        <f>IF(TabelaPrincipal[[#This Row],[POSIÇÃO]]=1, TabelaPrincipal[[#This Row],[ITEM]],)</f>
        <v>0</v>
      </c>
      <c r="B86" s="13">
        <f>IF(TabelaPrincipal[[#This Row],[POSIÇÃO]]=1, TabelaPrincipal[[#This Row],[DESCRIÇÃO]],)</f>
        <v>0</v>
      </c>
      <c r="C86" s="14">
        <f>IF(TabelaPrincipal[[#This Row],[POSIÇÃO]]=1,TabelaPrincipal[[#This Row],[UND]],)</f>
        <v>0</v>
      </c>
      <c r="D86" s="13">
        <f>IF(TabelaPrincipal[[#This Row],[POSIÇÃO]]=1,TabelaPrincipal[[#This Row],[QTD]],)</f>
        <v>0</v>
      </c>
      <c r="E86" s="13">
        <f>IF(TabelaPrincipal[[#This Row],[POSIÇÃO]]=1,TabelaPrincipal[[#This Row],[MARCA]],)</f>
        <v>0</v>
      </c>
      <c r="F86" s="15">
        <f>IF(TabelaPrincipal[[#This Row],[POSIÇÃO]]=1,TabelaPrincipal[[#This Row],[LANCE ATUAL]],)</f>
        <v>0</v>
      </c>
      <c r="G86" s="16">
        <f>IF(TabelaPrincipal[[#This Row],[POSIÇÃO]]=1,TabelaPrincipal[[#This Row],[VALOR TOTAL DO LANCE]],)</f>
        <v>0</v>
      </c>
      <c r="H86" s="14"/>
    </row>
    <row r="87" spans="1:8" ht="140.25" hidden="1" x14ac:dyDescent="0.25">
      <c r="A87" s="12">
        <f>IF(TabelaPrincipal[[#This Row],[POSIÇÃO]]=1, TabelaPrincipal[[#This Row],[ITEM]],)</f>
        <v>0</v>
      </c>
      <c r="B87" s="13">
        <f>IF(TabelaPrincipal[[#This Row],[POSIÇÃO]]=1, TabelaPrincipal[[#This Row],[DESCRIÇÃO]],)</f>
        <v>0</v>
      </c>
      <c r="C87" s="14">
        <f>IF(TabelaPrincipal[[#This Row],[POSIÇÃO]]=1,TabelaPrincipal[[#This Row],[UND]],)</f>
        <v>0</v>
      </c>
      <c r="D87" s="13">
        <f>IF(TabelaPrincipal[[#This Row],[POSIÇÃO]]=1,TabelaPrincipal[[#This Row],[QTD]],)</f>
        <v>0</v>
      </c>
      <c r="E87" s="13">
        <f>IF(TabelaPrincipal[[#This Row],[POSIÇÃO]]=1,TabelaPrincipal[[#This Row],[MARCA]],)</f>
        <v>0</v>
      </c>
      <c r="F87" s="15">
        <f>IF(TabelaPrincipal[[#This Row],[POSIÇÃO]]=1,TabelaPrincipal[[#This Row],[LANCE ATUAL]],)</f>
        <v>0</v>
      </c>
      <c r="G87" s="16">
        <f>IF(TabelaPrincipal[[#This Row],[POSIÇÃO]]=1,TabelaPrincipal[[#This Row],[VALOR TOTAL DO LANCE]],)</f>
        <v>0</v>
      </c>
      <c r="H87" s="14"/>
    </row>
    <row r="88" spans="1:8" ht="63.75" hidden="1" x14ac:dyDescent="0.25">
      <c r="A88" s="12">
        <f>IF(TabelaPrincipal[[#This Row],[POSIÇÃO]]=1, TabelaPrincipal[[#This Row],[ITEM]],)</f>
        <v>0</v>
      </c>
      <c r="B88" s="13">
        <f>IF(TabelaPrincipal[[#This Row],[POSIÇÃO]]=1, TabelaPrincipal[[#This Row],[DESCRIÇÃO]],)</f>
        <v>0</v>
      </c>
      <c r="C88" s="14">
        <f>IF(TabelaPrincipal[[#This Row],[POSIÇÃO]]=1,TabelaPrincipal[[#This Row],[UND]],)</f>
        <v>0</v>
      </c>
      <c r="D88" s="13">
        <f>IF(TabelaPrincipal[[#This Row],[POSIÇÃO]]=1,TabelaPrincipal[[#This Row],[QTD]],)</f>
        <v>0</v>
      </c>
      <c r="E88" s="13">
        <f>IF(TabelaPrincipal[[#This Row],[POSIÇÃO]]=1,TabelaPrincipal[[#This Row],[MARCA]],)</f>
        <v>0</v>
      </c>
      <c r="F88" s="15">
        <f>IF(TabelaPrincipal[[#This Row],[POSIÇÃO]]=1,TabelaPrincipal[[#This Row],[LANCE ATUAL]],)</f>
        <v>0</v>
      </c>
      <c r="G88" s="16">
        <f>IF(TabelaPrincipal[[#This Row],[POSIÇÃO]]=1,TabelaPrincipal[[#This Row],[VALOR TOTAL DO LANCE]],)</f>
        <v>0</v>
      </c>
      <c r="H88" s="14"/>
    </row>
    <row r="89" spans="1:8" ht="25.5" hidden="1" x14ac:dyDescent="0.25">
      <c r="A89" s="12">
        <f>IF(TabelaPrincipal[[#This Row],[POSIÇÃO]]=1, TabelaPrincipal[[#This Row],[ITEM]],)</f>
        <v>0</v>
      </c>
      <c r="B89" s="13">
        <f>IF(TabelaPrincipal[[#This Row],[POSIÇÃO]]=1, TabelaPrincipal[[#This Row],[DESCRIÇÃO]],)</f>
        <v>0</v>
      </c>
      <c r="C89" s="14">
        <f>IF(TabelaPrincipal[[#This Row],[POSIÇÃO]]=1,TabelaPrincipal[[#This Row],[UND]],)</f>
        <v>0</v>
      </c>
      <c r="D89" s="13">
        <f>IF(TabelaPrincipal[[#This Row],[POSIÇÃO]]=1,TabelaPrincipal[[#This Row],[QTD]],)</f>
        <v>0</v>
      </c>
      <c r="E89" s="13">
        <f>IF(TabelaPrincipal[[#This Row],[POSIÇÃO]]=1,TabelaPrincipal[[#This Row],[MARCA]],)</f>
        <v>0</v>
      </c>
      <c r="F89" s="15">
        <f>IF(TabelaPrincipal[[#This Row],[POSIÇÃO]]=1,TabelaPrincipal[[#This Row],[LANCE ATUAL]],)</f>
        <v>0</v>
      </c>
      <c r="G89" s="16">
        <f>IF(TabelaPrincipal[[#This Row],[POSIÇÃO]]=1,TabelaPrincipal[[#This Row],[VALOR TOTAL DO LANCE]],)</f>
        <v>0</v>
      </c>
      <c r="H89" s="14"/>
    </row>
    <row r="90" spans="1:8" ht="25.5" hidden="1" x14ac:dyDescent="0.25">
      <c r="A90" s="12">
        <f>IF(TabelaPrincipal[[#This Row],[POSIÇÃO]]=1, TabelaPrincipal[[#This Row],[ITEM]],)</f>
        <v>0</v>
      </c>
      <c r="B90" s="13">
        <f>IF(TabelaPrincipal[[#This Row],[POSIÇÃO]]=1, TabelaPrincipal[[#This Row],[DESCRIÇÃO]],)</f>
        <v>0</v>
      </c>
      <c r="C90" s="14">
        <f>IF(TabelaPrincipal[[#This Row],[POSIÇÃO]]=1,TabelaPrincipal[[#This Row],[UND]],)</f>
        <v>0</v>
      </c>
      <c r="D90" s="13">
        <f>IF(TabelaPrincipal[[#This Row],[POSIÇÃO]]=1,TabelaPrincipal[[#This Row],[QTD]],)</f>
        <v>0</v>
      </c>
      <c r="E90" s="13">
        <f>IF(TabelaPrincipal[[#This Row],[POSIÇÃO]]=1,TabelaPrincipal[[#This Row],[MARCA]],)</f>
        <v>0</v>
      </c>
      <c r="F90" s="15">
        <f>IF(TabelaPrincipal[[#This Row],[POSIÇÃO]]=1,TabelaPrincipal[[#This Row],[LANCE ATUAL]],)</f>
        <v>0</v>
      </c>
      <c r="G90" s="16">
        <f>IF(TabelaPrincipal[[#This Row],[POSIÇÃO]]=1,TabelaPrincipal[[#This Row],[VALOR TOTAL DO LANCE]],)</f>
        <v>0</v>
      </c>
      <c r="H90" s="14"/>
    </row>
    <row r="91" spans="1:8" ht="25.5" x14ac:dyDescent="0.25">
      <c r="A91" s="12">
        <f>IF(TabelaPrincipal[[#This Row],[POSIÇÃO]]=1, TabelaPrincipal[[#This Row],[ITEM]],)</f>
        <v>165</v>
      </c>
      <c r="B91" s="13" t="str">
        <f>IF(TabelaPrincipal[[#This Row],[POSIÇÃO]]=1, TabelaPrincipal[[#This Row],[DESCRIÇÃO]],)</f>
        <v>Cloreto de sódio, princípio ativo: 0,9%_ solução injetável, aplicação: sistema fechado 10 ml</v>
      </c>
      <c r="C91" s="14" t="str">
        <f>IF(TabelaPrincipal[[#This Row],[POSIÇÃO]]=1,TabelaPrincipal[[#This Row],[UND]],)</f>
        <v>Ampola 10 ml</v>
      </c>
      <c r="D91" s="13">
        <f>IF(TabelaPrincipal[[#This Row],[POSIÇÃO]]=1,TabelaPrincipal[[#This Row],[QTD]],)</f>
        <v>1000</v>
      </c>
      <c r="E91" s="13" t="str">
        <f>IF(TabelaPrincipal[[#This Row],[POSIÇÃO]]=1,TabelaPrincipal[[#This Row],[MARCA]],)</f>
        <v>Isofarma</v>
      </c>
      <c r="F91" s="15">
        <f>IF(TabelaPrincipal[[#This Row],[POSIÇÃO]]=1,TabelaPrincipal[[#This Row],[LANCE ATUAL]],)</f>
        <v>0.63</v>
      </c>
      <c r="G91" s="16">
        <f>IF(TabelaPrincipal[[#This Row],[POSIÇÃO]]=1,TabelaPrincipal[[#This Row],[VALOR TOTAL DO LANCE]],)</f>
        <v>630</v>
      </c>
      <c r="H91" s="14"/>
    </row>
    <row r="92" spans="1:8" ht="25.5" x14ac:dyDescent="0.25">
      <c r="A92" s="12">
        <f>IF(TabelaPrincipal[[#This Row],[POSIÇÃO]]=1, TabelaPrincipal[[#This Row],[ITEM]],)</f>
        <v>166</v>
      </c>
      <c r="B92" s="13" t="str">
        <f>IF(TabelaPrincipal[[#This Row],[POSIÇÃO]]=1, TabelaPrincipal[[#This Row],[DESCRIÇÃO]],)</f>
        <v>Paracetamol, apresentação: associado com codeína, dosagem: 500 mg + 30 mg</v>
      </c>
      <c r="C92" s="14" t="str">
        <f>IF(TabelaPrincipal[[#This Row],[POSIÇÃO]]=1,TabelaPrincipal[[#This Row],[UND]],)</f>
        <v>Comprimido</v>
      </c>
      <c r="D92" s="13">
        <f>IF(TabelaPrincipal[[#This Row],[POSIÇÃO]]=1,TabelaPrincipal[[#This Row],[QTD]],)</f>
        <v>2400</v>
      </c>
      <c r="E92" s="13" t="str">
        <f>IF(TabelaPrincipal[[#This Row],[POSIÇÃO]]=1,TabelaPrincipal[[#This Row],[MARCA]],)</f>
        <v>Geolab</v>
      </c>
      <c r="F92" s="15">
        <f>IF(TabelaPrincipal[[#This Row],[POSIÇÃO]]=1,TabelaPrincipal[[#This Row],[LANCE ATUAL]],)</f>
        <v>0.65</v>
      </c>
      <c r="G92" s="16">
        <f>IF(TabelaPrincipal[[#This Row],[POSIÇÃO]]=1,TabelaPrincipal[[#This Row],[VALOR TOTAL DO LANCE]],)</f>
        <v>1560</v>
      </c>
      <c r="H92" s="14"/>
    </row>
    <row r="93" spans="1:8" hidden="1" x14ac:dyDescent="0.25">
      <c r="A93" s="12">
        <f>IF(TabelaPrincipal[[#This Row],[POSIÇÃO]]=1, TabelaPrincipal[[#This Row],[ITEM]],)</f>
        <v>0</v>
      </c>
      <c r="B93" s="13">
        <f>IF(TabelaPrincipal[[#This Row],[POSIÇÃO]]=1, TabelaPrincipal[[#This Row],[DESCRIÇÃO]],)</f>
        <v>0</v>
      </c>
      <c r="C93" s="14">
        <f>IF(TabelaPrincipal[[#This Row],[POSIÇÃO]]=1,TabelaPrincipal[[#This Row],[UND]],)</f>
        <v>0</v>
      </c>
      <c r="D93" s="13">
        <f>IF(TabelaPrincipal[[#This Row],[POSIÇÃO]]=1,TabelaPrincipal[[#This Row],[QTD]],)</f>
        <v>0</v>
      </c>
      <c r="E93" s="13">
        <f>IF(TabelaPrincipal[[#This Row],[POSIÇÃO]]=1,TabelaPrincipal[[#This Row],[MARCA]],)</f>
        <v>0</v>
      </c>
      <c r="F93" s="15">
        <f>IF(TabelaPrincipal[[#This Row],[POSIÇÃO]]=1,TabelaPrincipal[[#This Row],[LANCE ATUAL]],)</f>
        <v>0</v>
      </c>
      <c r="G93" s="16">
        <f>IF(TabelaPrincipal[[#This Row],[POSIÇÃO]]=1,TabelaPrincipal[[#This Row],[VALOR TOTAL DO LANCE]],)</f>
        <v>0</v>
      </c>
      <c r="H93" s="14"/>
    </row>
    <row r="94" spans="1:8" hidden="1" x14ac:dyDescent="0.25">
      <c r="A94" s="12">
        <f>IF(TabelaPrincipal[[#This Row],[POSIÇÃO]]=1, TabelaPrincipal[[#This Row],[ITEM]],)</f>
        <v>0</v>
      </c>
      <c r="B94" s="13">
        <f>IF(TabelaPrincipal[[#This Row],[POSIÇÃO]]=1, TabelaPrincipal[[#This Row],[DESCRIÇÃO]],)</f>
        <v>0</v>
      </c>
      <c r="C94" s="14">
        <f>IF(TabelaPrincipal[[#This Row],[POSIÇÃO]]=1,TabelaPrincipal[[#This Row],[UND]],)</f>
        <v>0</v>
      </c>
      <c r="D94" s="13">
        <f>IF(TabelaPrincipal[[#This Row],[POSIÇÃO]]=1,TabelaPrincipal[[#This Row],[QTD]],)</f>
        <v>0</v>
      </c>
      <c r="E94" s="13">
        <f>IF(TabelaPrincipal[[#This Row],[POSIÇÃO]]=1,TabelaPrincipal[[#This Row],[MARCA]],)</f>
        <v>0</v>
      </c>
      <c r="F94" s="15">
        <f>IF(TabelaPrincipal[[#This Row],[POSIÇÃO]]=1,TabelaPrincipal[[#This Row],[LANCE ATUAL]],)</f>
        <v>0</v>
      </c>
      <c r="G94" s="16">
        <f>IF(TabelaPrincipal[[#This Row],[POSIÇÃO]]=1,TabelaPrincipal[[#This Row],[VALOR TOTAL DO LANCE]],)</f>
        <v>0</v>
      </c>
      <c r="H94" s="14"/>
    </row>
    <row r="95" spans="1:8" hidden="1" x14ac:dyDescent="0.25">
      <c r="A95" s="12">
        <f>IF(TabelaPrincipal[[#This Row],[POSIÇÃO]]=1, TabelaPrincipal[[#This Row],[ITEM]],)</f>
        <v>0</v>
      </c>
      <c r="B95" s="13">
        <f>IF(TabelaPrincipal[[#This Row],[POSIÇÃO]]=1, TabelaPrincipal[[#This Row],[DESCRIÇÃO]],)</f>
        <v>0</v>
      </c>
      <c r="C95" s="14">
        <f>IF(TabelaPrincipal[[#This Row],[POSIÇÃO]]=1,TabelaPrincipal[[#This Row],[UND]],)</f>
        <v>0</v>
      </c>
      <c r="D95" s="13">
        <f>IF(TabelaPrincipal[[#This Row],[POSIÇÃO]]=1,TabelaPrincipal[[#This Row],[QTD]],)</f>
        <v>0</v>
      </c>
      <c r="E95" s="13">
        <f>IF(TabelaPrincipal[[#This Row],[POSIÇÃO]]=1,TabelaPrincipal[[#This Row],[MARCA]],)</f>
        <v>0</v>
      </c>
      <c r="F95" s="15">
        <f>IF(TabelaPrincipal[[#This Row],[POSIÇÃO]]=1,TabelaPrincipal[[#This Row],[LANCE ATUAL]],)</f>
        <v>0</v>
      </c>
      <c r="G95" s="16">
        <f>IF(TabelaPrincipal[[#This Row],[POSIÇÃO]]=1,TabelaPrincipal[[#This Row],[VALOR TOTAL DO LANCE]],)</f>
        <v>0</v>
      </c>
      <c r="H95" s="14"/>
    </row>
    <row r="96" spans="1:8" x14ac:dyDescent="0.25">
      <c r="A96" s="12">
        <f>IF(TabelaPrincipal[[#This Row],[POSIÇÃO]]=1, TabelaPrincipal[[#This Row],[ITEM]],)</f>
        <v>170</v>
      </c>
      <c r="B96" s="13" t="str">
        <f>IF(TabelaPrincipal[[#This Row],[POSIÇÃO]]=1, TabelaPrincipal[[#This Row],[DESCRIÇÃO]],)</f>
        <v>Glicose 25% solução injetável</v>
      </c>
      <c r="C96" s="14" t="str">
        <f>IF(TabelaPrincipal[[#This Row],[POSIÇÃO]]=1,TabelaPrincipal[[#This Row],[UND]],)</f>
        <v>Ampola 10 ml</v>
      </c>
      <c r="D96" s="13">
        <f>IF(TabelaPrincipal[[#This Row],[POSIÇÃO]]=1,TabelaPrincipal[[#This Row],[QTD]],)</f>
        <v>200</v>
      </c>
      <c r="E96" s="13" t="str">
        <f>IF(TabelaPrincipal[[#This Row],[POSIÇÃO]]=1,TabelaPrincipal[[#This Row],[MARCA]],)</f>
        <v>Isofarma</v>
      </c>
      <c r="F96" s="15">
        <f>IF(TabelaPrincipal[[#This Row],[POSIÇÃO]]=1,TabelaPrincipal[[#This Row],[LANCE ATUAL]],)</f>
        <v>0.61</v>
      </c>
      <c r="G96" s="16">
        <f>IF(TabelaPrincipal[[#This Row],[POSIÇÃO]]=1,TabelaPrincipal[[#This Row],[VALOR TOTAL DO LANCE]],)</f>
        <v>122</v>
      </c>
      <c r="H96" s="14"/>
    </row>
    <row r="97" spans="1:8" ht="25.5" hidden="1" x14ac:dyDescent="0.25">
      <c r="A97" s="12">
        <f>IF(TabelaPrincipal[[#This Row],[POSIÇÃO]]=1, TabelaPrincipal[[#This Row],[ITEM]],)</f>
        <v>0</v>
      </c>
      <c r="B97" s="13">
        <f>IF(TabelaPrincipal[[#This Row],[POSIÇÃO]]=1, TabelaPrincipal[[#This Row],[DESCRIÇÃO]],)</f>
        <v>0</v>
      </c>
      <c r="C97" s="14">
        <f>IF(TabelaPrincipal[[#This Row],[POSIÇÃO]]=1,TabelaPrincipal[[#This Row],[UND]],)</f>
        <v>0</v>
      </c>
      <c r="D97" s="13">
        <f>IF(TabelaPrincipal[[#This Row],[POSIÇÃO]]=1,TabelaPrincipal[[#This Row],[QTD]],)</f>
        <v>0</v>
      </c>
      <c r="E97" s="13">
        <f>IF(TabelaPrincipal[[#This Row],[POSIÇÃO]]=1,TabelaPrincipal[[#This Row],[MARCA]],)</f>
        <v>0</v>
      </c>
      <c r="F97" s="15">
        <f>IF(TabelaPrincipal[[#This Row],[POSIÇÃO]]=1,TabelaPrincipal[[#This Row],[LANCE ATUAL]],)</f>
        <v>0</v>
      </c>
      <c r="G97" s="16">
        <f>IF(TabelaPrincipal[[#This Row],[POSIÇÃO]]=1,TabelaPrincipal[[#This Row],[VALOR TOTAL DO LANCE]],)</f>
        <v>0</v>
      </c>
      <c r="H97" s="14"/>
    </row>
    <row r="98" spans="1:8" x14ac:dyDescent="0.25">
      <c r="A98" s="12">
        <f>IF(TabelaPrincipal[[#This Row],[POSIÇÃO]]=1, TabelaPrincipal[[#This Row],[ITEM]],)</f>
        <v>173</v>
      </c>
      <c r="B98" s="13" t="str">
        <f>IF(TabelaPrincipal[[#This Row],[POSIÇÃO]]=1, TabelaPrincipal[[#This Row],[DESCRIÇÃO]],)</f>
        <v>Dexametasona 1 mg/mL (0,1%) solução oftálmica</v>
      </c>
      <c r="C98" s="14" t="str">
        <f>IF(TabelaPrincipal[[#This Row],[POSIÇÃO]]=1,TabelaPrincipal[[#This Row],[UND]],)</f>
        <v>Frasco 5 ml</v>
      </c>
      <c r="D98" s="13">
        <f>IF(TabelaPrincipal[[#This Row],[POSIÇÃO]]=1,TabelaPrincipal[[#This Row],[QTD]],)</f>
        <v>120</v>
      </c>
      <c r="E98" s="13" t="str">
        <f>IF(TabelaPrincipal[[#This Row],[POSIÇÃO]]=1,TabelaPrincipal[[#This Row],[MARCA]],)</f>
        <v>Novartis</v>
      </c>
      <c r="F98" s="15">
        <f>IF(TabelaPrincipal[[#This Row],[POSIÇÃO]]=1,TabelaPrincipal[[#This Row],[LANCE ATUAL]],)</f>
        <v>9</v>
      </c>
      <c r="G98" s="16">
        <f>IF(TabelaPrincipal[[#This Row],[POSIÇÃO]]=1,TabelaPrincipal[[#This Row],[VALOR TOTAL DO LANCE]],)</f>
        <v>1080</v>
      </c>
      <c r="H98" s="14"/>
    </row>
    <row r="99" spans="1:8" ht="25.5" hidden="1" x14ac:dyDescent="0.25">
      <c r="A99" s="12">
        <f>IF(TabelaPrincipal[[#This Row],[POSIÇÃO]]=1, TabelaPrincipal[[#This Row],[ITEM]],)</f>
        <v>0</v>
      </c>
      <c r="B99" s="13">
        <f>IF(TabelaPrincipal[[#This Row],[POSIÇÃO]]=1, TabelaPrincipal[[#This Row],[DESCRIÇÃO]],)</f>
        <v>0</v>
      </c>
      <c r="C99" s="14">
        <f>IF(TabelaPrincipal[[#This Row],[POSIÇÃO]]=1,TabelaPrincipal[[#This Row],[UND]],)</f>
        <v>0</v>
      </c>
      <c r="D99" s="13">
        <f>IF(TabelaPrincipal[[#This Row],[POSIÇÃO]]=1,TabelaPrincipal[[#This Row],[QTD]],)</f>
        <v>0</v>
      </c>
      <c r="E99" s="13">
        <f>IF(TabelaPrincipal[[#This Row],[POSIÇÃO]]=1,TabelaPrincipal[[#This Row],[MARCA]],)</f>
        <v>0</v>
      </c>
      <c r="F99" s="15">
        <f>IF(TabelaPrincipal[[#This Row],[POSIÇÃO]]=1,TabelaPrincipal[[#This Row],[LANCE ATUAL]],)</f>
        <v>0</v>
      </c>
      <c r="G99" s="16">
        <f>IF(TabelaPrincipal[[#This Row],[POSIÇÃO]]=1,TabelaPrincipal[[#This Row],[VALOR TOTAL DO LANCE]],)</f>
        <v>0</v>
      </c>
      <c r="H99" s="14"/>
    </row>
    <row r="100" spans="1:8" ht="25.5" hidden="1" x14ac:dyDescent="0.25">
      <c r="A100" s="12">
        <f>IF(TabelaPrincipal[[#This Row],[POSIÇÃO]]=1, TabelaPrincipal[[#This Row],[ITEM]],)</f>
        <v>0</v>
      </c>
      <c r="B100" s="13">
        <f>IF(TabelaPrincipal[[#This Row],[POSIÇÃO]]=1, TabelaPrincipal[[#This Row],[DESCRIÇÃO]],)</f>
        <v>0</v>
      </c>
      <c r="C100" s="14">
        <f>IF(TabelaPrincipal[[#This Row],[POSIÇÃO]]=1,TabelaPrincipal[[#This Row],[UND]],)</f>
        <v>0</v>
      </c>
      <c r="D100" s="13">
        <f>IF(TabelaPrincipal[[#This Row],[POSIÇÃO]]=1,TabelaPrincipal[[#This Row],[QTD]],)</f>
        <v>0</v>
      </c>
      <c r="E100" s="13">
        <f>IF(TabelaPrincipal[[#This Row],[POSIÇÃO]]=1,TabelaPrincipal[[#This Row],[MARCA]],)</f>
        <v>0</v>
      </c>
      <c r="F100" s="15">
        <f>IF(TabelaPrincipal[[#This Row],[POSIÇÃO]]=1,TabelaPrincipal[[#This Row],[LANCE ATUAL]],)</f>
        <v>0</v>
      </c>
      <c r="G100" s="16">
        <f>IF(TabelaPrincipal[[#This Row],[POSIÇÃO]]=1,TabelaPrincipal[[#This Row],[VALOR TOTAL DO LANCE]],)</f>
        <v>0</v>
      </c>
      <c r="H100" s="14"/>
    </row>
    <row r="101" spans="1:8" hidden="1" x14ac:dyDescent="0.25">
      <c r="A101" s="12">
        <f>IF(TabelaPrincipal[[#This Row],[POSIÇÃO]]=1, TabelaPrincipal[[#This Row],[ITEM]],)</f>
        <v>0</v>
      </c>
      <c r="B101" s="13">
        <f>IF(TabelaPrincipal[[#This Row],[POSIÇÃO]]=1, TabelaPrincipal[[#This Row],[DESCRIÇÃO]],)</f>
        <v>0</v>
      </c>
      <c r="C101" s="14">
        <f>IF(TabelaPrincipal[[#This Row],[POSIÇÃO]]=1,TabelaPrincipal[[#This Row],[UND]],)</f>
        <v>0</v>
      </c>
      <c r="D101" s="13">
        <f>IF(TabelaPrincipal[[#This Row],[POSIÇÃO]]=1,TabelaPrincipal[[#This Row],[QTD]],)</f>
        <v>0</v>
      </c>
      <c r="E101" s="13">
        <f>IF(TabelaPrincipal[[#This Row],[POSIÇÃO]]=1,TabelaPrincipal[[#This Row],[MARCA]],)</f>
        <v>0</v>
      </c>
      <c r="F101" s="15">
        <f>IF(TabelaPrincipal[[#This Row],[POSIÇÃO]]=1,TabelaPrincipal[[#This Row],[LANCE ATUAL]],)</f>
        <v>0</v>
      </c>
      <c r="G101" s="16">
        <f>IF(TabelaPrincipal[[#This Row],[POSIÇÃO]]=1,TabelaPrincipal[[#This Row],[VALOR TOTAL DO LANCE]],)</f>
        <v>0</v>
      </c>
      <c r="H101" s="14"/>
    </row>
    <row r="102" spans="1:8" ht="25.5" x14ac:dyDescent="0.25">
      <c r="A102" s="12">
        <f>IF(TabelaPrincipal[[#This Row],[POSIÇÃO]]=1, TabelaPrincipal[[#This Row],[ITEM]],)</f>
        <v>177</v>
      </c>
      <c r="B102" s="13" t="str">
        <f>IF(TabelaPrincipal[[#This Row],[POSIÇÃO]]=1, TabelaPrincipal[[#This Row],[DESCRIÇÃO]],)</f>
        <v>Ceftriaxona sódica, concentração: 1 g, forma farmaceutica: pó p, solução injetável</v>
      </c>
      <c r="C102" s="14" t="str">
        <f>IF(TabelaPrincipal[[#This Row],[POSIÇÃO]]=1,TabelaPrincipal[[#This Row],[UND]],)</f>
        <v>Frasco- ampola</v>
      </c>
      <c r="D102" s="13">
        <f>IF(TabelaPrincipal[[#This Row],[POSIÇÃO]]=1,TabelaPrincipal[[#This Row],[QTD]],)</f>
        <v>200</v>
      </c>
      <c r="E102" s="13" t="str">
        <f>IF(TabelaPrincipal[[#This Row],[POSIÇÃO]]=1,TabelaPrincipal[[#This Row],[MARCA]],)</f>
        <v>Teuto</v>
      </c>
      <c r="F102" s="15">
        <f>IF(TabelaPrincipal[[#This Row],[POSIÇÃO]]=1,TabelaPrincipal[[#This Row],[LANCE ATUAL]],)</f>
        <v>4.3</v>
      </c>
      <c r="G102" s="16">
        <f>IF(TabelaPrincipal[[#This Row],[POSIÇÃO]]=1,TabelaPrincipal[[#This Row],[VALOR TOTAL DO LANCE]],)</f>
        <v>860</v>
      </c>
      <c r="H102" s="14"/>
    </row>
    <row r="103" spans="1:8" hidden="1" x14ac:dyDescent="0.25">
      <c r="A103" s="12">
        <f>IF(TabelaPrincipal[[#This Row],[POSIÇÃO]]=1, TabelaPrincipal[[#This Row],[ITEM]],)</f>
        <v>0</v>
      </c>
      <c r="B103" s="13">
        <f>IF(TabelaPrincipal[[#This Row],[POSIÇÃO]]=1, TabelaPrincipal[[#This Row],[DESCRIÇÃO]],)</f>
        <v>0</v>
      </c>
      <c r="C103" s="14">
        <f>IF(TabelaPrincipal[[#This Row],[POSIÇÃO]]=1,TabelaPrincipal[[#This Row],[UND]],)</f>
        <v>0</v>
      </c>
      <c r="D103" s="13">
        <f>IF(TabelaPrincipal[[#This Row],[POSIÇÃO]]=1,TabelaPrincipal[[#This Row],[QTD]],)</f>
        <v>0</v>
      </c>
      <c r="E103" s="13">
        <f>IF(TabelaPrincipal[[#This Row],[POSIÇÃO]]=1,TabelaPrincipal[[#This Row],[MARCA]],)</f>
        <v>0</v>
      </c>
      <c r="F103" s="15">
        <f>IF(TabelaPrincipal[[#This Row],[POSIÇÃO]]=1,TabelaPrincipal[[#This Row],[LANCE ATUAL]],)</f>
        <v>0</v>
      </c>
      <c r="G103" s="16">
        <f>IF(TabelaPrincipal[[#This Row],[POSIÇÃO]]=1,TabelaPrincipal[[#This Row],[VALOR TOTAL DO LANCE]],)</f>
        <v>0</v>
      </c>
      <c r="H103" s="14"/>
    </row>
    <row r="104" spans="1:8" hidden="1" x14ac:dyDescent="0.25">
      <c r="A104" s="12">
        <f>IF(TabelaPrincipal[[#This Row],[POSIÇÃO]]=1, TabelaPrincipal[[#This Row],[ITEM]],)</f>
        <v>0</v>
      </c>
      <c r="B104" s="13">
        <f>IF(TabelaPrincipal[[#This Row],[POSIÇÃO]]=1, TabelaPrincipal[[#This Row],[DESCRIÇÃO]],)</f>
        <v>0</v>
      </c>
      <c r="C104" s="14">
        <f>IF(TabelaPrincipal[[#This Row],[POSIÇÃO]]=1,TabelaPrincipal[[#This Row],[UND]],)</f>
        <v>0</v>
      </c>
      <c r="D104" s="13">
        <f>IF(TabelaPrincipal[[#This Row],[POSIÇÃO]]=1,TabelaPrincipal[[#This Row],[QTD]],)</f>
        <v>0</v>
      </c>
      <c r="E104" s="13">
        <f>IF(TabelaPrincipal[[#This Row],[POSIÇÃO]]=1,TabelaPrincipal[[#This Row],[MARCA]],)</f>
        <v>0</v>
      </c>
      <c r="F104" s="15">
        <f>IF(TabelaPrincipal[[#This Row],[POSIÇÃO]]=1,TabelaPrincipal[[#This Row],[LANCE ATUAL]],)</f>
        <v>0</v>
      </c>
      <c r="G104" s="16">
        <f>IF(TabelaPrincipal[[#This Row],[POSIÇÃO]]=1,TabelaPrincipal[[#This Row],[VALOR TOTAL DO LANCE]],)</f>
        <v>0</v>
      </c>
      <c r="H104" s="14"/>
    </row>
    <row r="105" spans="1:8" ht="25.5" hidden="1" x14ac:dyDescent="0.25">
      <c r="A105" s="12">
        <f>IF(TabelaPrincipal[[#This Row],[POSIÇÃO]]=1, TabelaPrincipal[[#This Row],[ITEM]],)</f>
        <v>0</v>
      </c>
      <c r="B105" s="13">
        <f>IF(TabelaPrincipal[[#This Row],[POSIÇÃO]]=1, TabelaPrincipal[[#This Row],[DESCRIÇÃO]],)</f>
        <v>0</v>
      </c>
      <c r="C105" s="14">
        <f>IF(TabelaPrincipal[[#This Row],[POSIÇÃO]]=1,TabelaPrincipal[[#This Row],[UND]],)</f>
        <v>0</v>
      </c>
      <c r="D105" s="13">
        <f>IF(TabelaPrincipal[[#This Row],[POSIÇÃO]]=1,TabelaPrincipal[[#This Row],[QTD]],)</f>
        <v>0</v>
      </c>
      <c r="E105" s="13">
        <f>IF(TabelaPrincipal[[#This Row],[POSIÇÃO]]=1,TabelaPrincipal[[#This Row],[MARCA]],)</f>
        <v>0</v>
      </c>
      <c r="F105" s="15">
        <f>IF(TabelaPrincipal[[#This Row],[POSIÇÃO]]=1,TabelaPrincipal[[#This Row],[LANCE ATUAL]],)</f>
        <v>0</v>
      </c>
      <c r="G105" s="16">
        <f>IF(TabelaPrincipal[[#This Row],[POSIÇÃO]]=1,TabelaPrincipal[[#This Row],[VALOR TOTAL DO LANCE]],)</f>
        <v>0</v>
      </c>
      <c r="H105" s="14"/>
    </row>
    <row r="106" spans="1:8" x14ac:dyDescent="0.25">
      <c r="A106" s="12">
        <f>IF(TabelaPrincipal[[#This Row],[POSIÇÃO]]=1, TabelaPrincipal[[#This Row],[ITEM]],)</f>
        <v>181</v>
      </c>
      <c r="B106" s="13" t="str">
        <f>IF(TabelaPrincipal[[#This Row],[POSIÇÃO]]=1, TabelaPrincipal[[#This Row],[DESCRIÇÃO]],)</f>
        <v>Ondansetrona 2 mg/mL solução injetável</v>
      </c>
      <c r="C106" s="14" t="str">
        <f>IF(TabelaPrincipal[[#This Row],[POSIÇÃO]]=1,TabelaPrincipal[[#This Row],[UND]],)</f>
        <v>Ampola 2 ml</v>
      </c>
      <c r="D106" s="13">
        <f>IF(TabelaPrincipal[[#This Row],[POSIÇÃO]]=1,TabelaPrincipal[[#This Row],[QTD]],)</f>
        <v>200</v>
      </c>
      <c r="E106" s="13" t="str">
        <f>IF(TabelaPrincipal[[#This Row],[POSIÇÃO]]=1,TabelaPrincipal[[#This Row],[MARCA]],)</f>
        <v>Hypofarma</v>
      </c>
      <c r="F106" s="15">
        <f>IF(TabelaPrincipal[[#This Row],[POSIÇÃO]]=1,TabelaPrincipal[[#This Row],[LANCE ATUAL]],)</f>
        <v>1.4</v>
      </c>
      <c r="G106" s="16">
        <f>IF(TabelaPrincipal[[#This Row],[POSIÇÃO]]=1,TabelaPrincipal[[#This Row],[VALOR TOTAL DO LANCE]],)</f>
        <v>280</v>
      </c>
      <c r="H106" s="14"/>
    </row>
    <row r="107" spans="1:8" hidden="1" x14ac:dyDescent="0.25">
      <c r="A107" s="12">
        <f>IF(TabelaPrincipal[[#This Row],[POSIÇÃO]]=1, TabelaPrincipal[[#This Row],[ITEM]],)</f>
        <v>0</v>
      </c>
      <c r="B107" s="13">
        <f>IF(TabelaPrincipal[[#This Row],[POSIÇÃO]]=1, TabelaPrincipal[[#This Row],[DESCRIÇÃO]],)</f>
        <v>0</v>
      </c>
      <c r="C107" s="14">
        <f>IF(TabelaPrincipal[[#This Row],[POSIÇÃO]]=1,TabelaPrincipal[[#This Row],[UND]],)</f>
        <v>0</v>
      </c>
      <c r="D107" s="13">
        <f>IF(TabelaPrincipal[[#This Row],[POSIÇÃO]]=1,TabelaPrincipal[[#This Row],[QTD]],)</f>
        <v>0</v>
      </c>
      <c r="E107" s="13">
        <f>IF(TabelaPrincipal[[#This Row],[POSIÇÃO]]=1,TabelaPrincipal[[#This Row],[MARCA]],)</f>
        <v>0</v>
      </c>
      <c r="F107" s="15">
        <f>IF(TabelaPrincipal[[#This Row],[POSIÇÃO]]=1,TabelaPrincipal[[#This Row],[LANCE ATUAL]],)</f>
        <v>0</v>
      </c>
      <c r="G107" s="16">
        <f>IF(TabelaPrincipal[[#This Row],[POSIÇÃO]]=1,TabelaPrincipal[[#This Row],[VALOR TOTAL DO LANCE]],)</f>
        <v>0</v>
      </c>
      <c r="H107" s="14"/>
    </row>
    <row r="108" spans="1:8" x14ac:dyDescent="0.25">
      <c r="A108" s="12">
        <f>IF(TabelaPrincipal[[#This Row],[POSIÇÃO]]=1, TabelaPrincipal[[#This Row],[ITEM]],)</f>
        <v>183</v>
      </c>
      <c r="B108" s="13" t="str">
        <f>IF(TabelaPrincipal[[#This Row],[POSIÇÃO]]=1, TabelaPrincipal[[#This Row],[DESCRIÇÃO]],)</f>
        <v>Terbutalina 0,5mg/mL solução injetável</v>
      </c>
      <c r="C108" s="14" t="str">
        <f>IF(TabelaPrincipal[[#This Row],[POSIÇÃO]]=1,TabelaPrincipal[[#This Row],[UND]],)</f>
        <v>Ampola</v>
      </c>
      <c r="D108" s="13">
        <f>IF(TabelaPrincipal[[#This Row],[POSIÇÃO]]=1,TabelaPrincipal[[#This Row],[QTD]],)</f>
        <v>200</v>
      </c>
      <c r="E108" s="13" t="str">
        <f>IF(TabelaPrincipal[[#This Row],[POSIÇÃO]]=1,TabelaPrincipal[[#This Row],[MARCA]],)</f>
        <v>Hipolabor</v>
      </c>
      <c r="F108" s="15">
        <f>IF(TabelaPrincipal[[#This Row],[POSIÇÃO]]=1,TabelaPrincipal[[#This Row],[LANCE ATUAL]],)</f>
        <v>2.16</v>
      </c>
      <c r="G108" s="16">
        <f>IF(TabelaPrincipal[[#This Row],[POSIÇÃO]]=1,TabelaPrincipal[[#This Row],[VALOR TOTAL DO LANCE]],)</f>
        <v>432</v>
      </c>
      <c r="H108" s="14"/>
    </row>
    <row r="109" spans="1:8" hidden="1" x14ac:dyDescent="0.25">
      <c r="A109" s="12">
        <f>IF(TabelaPrincipal[[#This Row],[POSIÇÃO]]=1, TabelaPrincipal[[#This Row],[ITEM]],)</f>
        <v>0</v>
      </c>
      <c r="B109" s="13">
        <f>IF(TabelaPrincipal[[#This Row],[POSIÇÃO]]=1, TabelaPrincipal[[#This Row],[DESCRIÇÃO]],)</f>
        <v>0</v>
      </c>
      <c r="C109" s="14">
        <f>IF(TabelaPrincipal[[#This Row],[POSIÇÃO]]=1,TabelaPrincipal[[#This Row],[UND]],)</f>
        <v>0</v>
      </c>
      <c r="D109" s="13">
        <f>IF(TabelaPrincipal[[#This Row],[POSIÇÃO]]=1,TabelaPrincipal[[#This Row],[QTD]],)</f>
        <v>0</v>
      </c>
      <c r="E109" s="13">
        <f>IF(TabelaPrincipal[[#This Row],[POSIÇÃO]]=1,TabelaPrincipal[[#This Row],[MARCA]],)</f>
        <v>0</v>
      </c>
      <c r="F109" s="15">
        <f>IF(TabelaPrincipal[[#This Row],[POSIÇÃO]]=1,TabelaPrincipal[[#This Row],[LANCE ATUAL]],)</f>
        <v>0</v>
      </c>
      <c r="G109" s="16">
        <f>IF(TabelaPrincipal[[#This Row],[POSIÇÃO]]=1,TabelaPrincipal[[#This Row],[VALOR TOTAL DO LANCE]],)</f>
        <v>0</v>
      </c>
      <c r="H109" s="14"/>
    </row>
    <row r="110" spans="1:8" ht="25.5" x14ac:dyDescent="0.25">
      <c r="A110" s="12">
        <f>IF(TabelaPrincipal[[#This Row],[POSIÇÃO]]=1, TabelaPrincipal[[#This Row],[ITEM]],)</f>
        <v>185</v>
      </c>
      <c r="B110" s="13" t="str">
        <f>IF(TabelaPrincipal[[#This Row],[POSIÇÃO]]=1, TabelaPrincipal[[#This Row],[DESCRIÇÃO]],)</f>
        <v>Neostigminametilsulfato, dosagem: 0,5 mg/ml, apresentação: solução injetável</v>
      </c>
      <c r="C110" s="14" t="str">
        <f>IF(TabelaPrincipal[[#This Row],[POSIÇÃO]]=1,TabelaPrincipal[[#This Row],[UND]],)</f>
        <v>Ampola</v>
      </c>
      <c r="D110" s="13">
        <f>IF(TabelaPrincipal[[#This Row],[POSIÇÃO]]=1,TabelaPrincipal[[#This Row],[QTD]],)</f>
        <v>100</v>
      </c>
      <c r="E110" s="13" t="str">
        <f>IF(TabelaPrincipal[[#This Row],[POSIÇÃO]]=1,TabelaPrincipal[[#This Row],[MARCA]],)</f>
        <v>União Química</v>
      </c>
      <c r="F110" s="15">
        <f>IF(TabelaPrincipal[[#This Row],[POSIÇÃO]]=1,TabelaPrincipal[[#This Row],[LANCE ATUAL]],)</f>
        <v>2.27</v>
      </c>
      <c r="G110" s="16">
        <f>IF(TabelaPrincipal[[#This Row],[POSIÇÃO]]=1,TabelaPrincipal[[#This Row],[VALOR TOTAL DO LANCE]],)</f>
        <v>227</v>
      </c>
      <c r="H110" s="14"/>
    </row>
    <row r="111" spans="1:8" x14ac:dyDescent="0.25">
      <c r="A111" s="12">
        <f>IF(TabelaPrincipal[[#This Row],[POSIÇÃO]]=1, TabelaPrincipal[[#This Row],[ITEM]],)</f>
        <v>186</v>
      </c>
      <c r="B111" s="13" t="str">
        <f>IF(TabelaPrincipal[[#This Row],[POSIÇÃO]]=1, TabelaPrincipal[[#This Row],[DESCRIÇÃO]],)</f>
        <v>Nitroglicerina, dosagem: 5 mg/ml, aplicação: injetável</v>
      </c>
      <c r="C111" s="14" t="str">
        <f>IF(TabelaPrincipal[[#This Row],[POSIÇÃO]]=1,TabelaPrincipal[[#This Row],[UND]],)</f>
        <v>Ampola 5 ml</v>
      </c>
      <c r="D111" s="13">
        <f>IF(TabelaPrincipal[[#This Row],[POSIÇÃO]]=1,TabelaPrincipal[[#This Row],[QTD]],)</f>
        <v>50</v>
      </c>
      <c r="E111" s="13" t="str">
        <f>IF(TabelaPrincipal[[#This Row],[POSIÇÃO]]=1,TabelaPrincipal[[#This Row],[MARCA]],)</f>
        <v>Cristália</v>
      </c>
      <c r="F111" s="15">
        <f>IF(TabelaPrincipal[[#This Row],[POSIÇÃO]]=1,TabelaPrincipal[[#This Row],[LANCE ATUAL]],)</f>
        <v>41.91</v>
      </c>
      <c r="G111" s="16">
        <f>IF(TabelaPrincipal[[#This Row],[POSIÇÃO]]=1,TabelaPrincipal[[#This Row],[VALOR TOTAL DO LANCE]],)</f>
        <v>2095.5</v>
      </c>
      <c r="H111" s="14"/>
    </row>
    <row r="112" spans="1:8" ht="25.5" x14ac:dyDescent="0.25">
      <c r="A112" s="12">
        <f>IF(TabelaPrincipal[[#This Row],[POSIÇÃO]]=1, TabelaPrincipal[[#This Row],[ITEM]],)</f>
        <v>187</v>
      </c>
      <c r="B112" s="13" t="str">
        <f>IF(TabelaPrincipal[[#This Row],[POSIÇÃO]]=1, TabelaPrincipal[[#This Row],[DESCRIÇÃO]],)</f>
        <v>Nitroprusseto de sódio, concentração: 25 mg/ml, forma farmacêutica: solução injetável</v>
      </c>
      <c r="C112" s="14" t="str">
        <f>IF(TabelaPrincipal[[#This Row],[POSIÇÃO]]=1,TabelaPrincipal[[#This Row],[UND]],)</f>
        <v>Ampola 2 ml</v>
      </c>
      <c r="D112" s="13">
        <f>IF(TabelaPrincipal[[#This Row],[POSIÇÃO]]=1,TabelaPrincipal[[#This Row],[QTD]],)</f>
        <v>50</v>
      </c>
      <c r="E112" s="13" t="str">
        <f>IF(TabelaPrincipal[[#This Row],[POSIÇÃO]]=1,TabelaPrincipal[[#This Row],[MARCA]],)</f>
        <v>Hypofarma</v>
      </c>
      <c r="F112" s="15">
        <f>IF(TabelaPrincipal[[#This Row],[POSIÇÃO]]=1,TabelaPrincipal[[#This Row],[LANCE ATUAL]],)</f>
        <v>15.56</v>
      </c>
      <c r="G112" s="16">
        <f>IF(TabelaPrincipal[[#This Row],[POSIÇÃO]]=1,TabelaPrincipal[[#This Row],[VALOR TOTAL DO LANCE]],)</f>
        <v>778</v>
      </c>
      <c r="H112" s="14"/>
    </row>
    <row r="113" spans="1:8" hidden="1" x14ac:dyDescent="0.25">
      <c r="A113" s="12">
        <f>IF(TabelaPrincipal[[#This Row],[POSIÇÃO]]=1, TabelaPrincipal[[#This Row],[ITEM]],)</f>
        <v>0</v>
      </c>
      <c r="B113" s="13">
        <f>IF(TabelaPrincipal[[#This Row],[POSIÇÃO]]=1, TabelaPrincipal[[#This Row],[DESCRIÇÃO]],)</f>
        <v>0</v>
      </c>
      <c r="C113" s="14">
        <f>IF(TabelaPrincipal[[#This Row],[POSIÇÃO]]=1,TabelaPrincipal[[#This Row],[UND]],)</f>
        <v>0</v>
      </c>
      <c r="D113" s="13">
        <f>IF(TabelaPrincipal[[#This Row],[POSIÇÃO]]=1,TabelaPrincipal[[#This Row],[QTD]],)</f>
        <v>0</v>
      </c>
      <c r="E113" s="13">
        <f>IF(TabelaPrincipal[[#This Row],[POSIÇÃO]]=1,TabelaPrincipal[[#This Row],[MARCA]],)</f>
        <v>0</v>
      </c>
      <c r="F113" s="15">
        <f>IF(TabelaPrincipal[[#This Row],[POSIÇÃO]]=1,TabelaPrincipal[[#This Row],[LANCE ATUAL]],)</f>
        <v>0</v>
      </c>
      <c r="G113" s="16">
        <f>IF(TabelaPrincipal[[#This Row],[POSIÇÃO]]=1,TabelaPrincipal[[#This Row],[VALOR TOTAL DO LANCE]],)</f>
        <v>0</v>
      </c>
      <c r="H113" s="14"/>
    </row>
    <row r="114" spans="1:8" x14ac:dyDescent="0.25">
      <c r="A114" s="12">
        <f>IF(TabelaPrincipal[[#This Row],[POSIÇÃO]]=1, TabelaPrincipal[[#This Row],[ITEM]],)</f>
        <v>189</v>
      </c>
      <c r="B114" s="13" t="str">
        <f>IF(TabelaPrincipal[[#This Row],[POSIÇÃO]]=1, TabelaPrincipal[[#This Row],[DESCRIÇÃO]],)</f>
        <v>Bromoprida 5 mg/mL solução injetável</v>
      </c>
      <c r="C114" s="14" t="str">
        <f>IF(TabelaPrincipal[[#This Row],[POSIÇÃO]]=1,TabelaPrincipal[[#This Row],[UND]],)</f>
        <v>Ampola 2 ml</v>
      </c>
      <c r="D114" s="13">
        <f>IF(TabelaPrincipal[[#This Row],[POSIÇÃO]]=1,TabelaPrincipal[[#This Row],[QTD]],)</f>
        <v>100</v>
      </c>
      <c r="E114" s="13" t="str">
        <f>IF(TabelaPrincipal[[#This Row],[POSIÇÃO]]=1,TabelaPrincipal[[#This Row],[MARCA]],)</f>
        <v>Hipolabor</v>
      </c>
      <c r="F114" s="15">
        <f>IF(TabelaPrincipal[[#This Row],[POSIÇÃO]]=1,TabelaPrincipal[[#This Row],[LANCE ATUAL]],)</f>
        <v>1.9</v>
      </c>
      <c r="G114" s="16">
        <f>IF(TabelaPrincipal[[#This Row],[POSIÇÃO]]=1,TabelaPrincipal[[#This Row],[VALOR TOTAL DO LANCE]],)</f>
        <v>190</v>
      </c>
      <c r="H114" s="14"/>
    </row>
    <row r="115" spans="1:8" ht="25.5" hidden="1" x14ac:dyDescent="0.25">
      <c r="A115" s="12">
        <f>IF(TabelaPrincipal[[#This Row],[POSIÇÃO]]=1, TabelaPrincipal[[#This Row],[ITEM]],)</f>
        <v>0</v>
      </c>
      <c r="B115" s="13">
        <f>IF(TabelaPrincipal[[#This Row],[POSIÇÃO]]=1, TabelaPrincipal[[#This Row],[DESCRIÇÃO]],)</f>
        <v>0</v>
      </c>
      <c r="C115" s="14">
        <f>IF(TabelaPrincipal[[#This Row],[POSIÇÃO]]=1,TabelaPrincipal[[#This Row],[UND]],)</f>
        <v>0</v>
      </c>
      <c r="D115" s="13">
        <f>IF(TabelaPrincipal[[#This Row],[POSIÇÃO]]=1,TabelaPrincipal[[#This Row],[QTD]],)</f>
        <v>0</v>
      </c>
      <c r="E115" s="13">
        <f>IF(TabelaPrincipal[[#This Row],[POSIÇÃO]]=1,TabelaPrincipal[[#This Row],[MARCA]],)</f>
        <v>0</v>
      </c>
      <c r="F115" s="15">
        <f>IF(TabelaPrincipal[[#This Row],[POSIÇÃO]]=1,TabelaPrincipal[[#This Row],[LANCE ATUAL]],)</f>
        <v>0</v>
      </c>
      <c r="G115" s="16">
        <f>IF(TabelaPrincipal[[#This Row],[POSIÇÃO]]=1,TabelaPrincipal[[#This Row],[VALOR TOTAL DO LANCE]],)</f>
        <v>0</v>
      </c>
      <c r="H115" s="14"/>
    </row>
    <row r="116" spans="1:8" ht="38.25" x14ac:dyDescent="0.25">
      <c r="A116" s="12">
        <f>IF(TabelaPrincipal[[#This Row],[POSIÇÃO]]=1, TabelaPrincipal[[#This Row],[ITEM]],)</f>
        <v>191</v>
      </c>
      <c r="B116" s="13" t="str">
        <f>IF(TabelaPrincipal[[#This Row],[POSIÇÃO]]=1, TabelaPrincipal[[#This Row],[DESCRIÇÃO]],)</f>
        <v>Tobramicina, composição: associada a dexametasona, concentraçao: 3 mg + 1 mg,ml, forma farmaceutica: suspensão oftálmica</v>
      </c>
      <c r="C116" s="14" t="str">
        <f>IF(TabelaPrincipal[[#This Row],[POSIÇÃO]]=1,TabelaPrincipal[[#This Row],[UND]],)</f>
        <v>Frasco 5 ml</v>
      </c>
      <c r="D116" s="13">
        <f>IF(TabelaPrincipal[[#This Row],[POSIÇÃO]]=1,TabelaPrincipal[[#This Row],[QTD]],)</f>
        <v>200</v>
      </c>
      <c r="E116" s="13" t="str">
        <f>IF(TabelaPrincipal[[#This Row],[POSIÇÃO]]=1,TabelaPrincipal[[#This Row],[MARCA]],)</f>
        <v>Genom</v>
      </c>
      <c r="F116" s="15">
        <f>IF(TabelaPrincipal[[#This Row],[POSIÇÃO]]=1,TabelaPrincipal[[#This Row],[LANCE ATUAL]],)</f>
        <v>32.47</v>
      </c>
      <c r="G116" s="16">
        <f>IF(TabelaPrincipal[[#This Row],[POSIÇÃO]]=1,TabelaPrincipal[[#This Row],[VALOR TOTAL DO LANCE]],)</f>
        <v>6494</v>
      </c>
      <c r="H116" s="14"/>
    </row>
    <row r="117" spans="1:8" ht="25.5" x14ac:dyDescent="0.25">
      <c r="A117" s="12">
        <f>IF(TabelaPrincipal[[#This Row],[POSIÇÃO]]=1, TabelaPrincipal[[#This Row],[ITEM]],)</f>
        <v>192</v>
      </c>
      <c r="B117" s="13" t="str">
        <f>IF(TabelaPrincipal[[#This Row],[POSIÇÃO]]=1, TabelaPrincipal[[#This Row],[DESCRIÇÃO]],)</f>
        <v>Hialuronato de sódio, c: 2 mg/ml, forma farmacêutica: solução oftálmica</v>
      </c>
      <c r="C117" s="14" t="str">
        <f>IF(TabelaPrincipal[[#This Row],[POSIÇÃO]]=1,TabelaPrincipal[[#This Row],[UND]],)</f>
        <v>Frasco 10 ml</v>
      </c>
      <c r="D117" s="13">
        <f>IF(TabelaPrincipal[[#This Row],[POSIÇÃO]]=1,TabelaPrincipal[[#This Row],[QTD]],)</f>
        <v>200</v>
      </c>
      <c r="E117" s="13" t="str">
        <f>IF(TabelaPrincipal[[#This Row],[POSIÇÃO]]=1,TabelaPrincipal[[#This Row],[MARCA]],)</f>
        <v>Latinofarma</v>
      </c>
      <c r="F117" s="15">
        <f>IF(TabelaPrincipal[[#This Row],[POSIÇÃO]]=1,TabelaPrincipal[[#This Row],[LANCE ATUAL]],)</f>
        <v>119</v>
      </c>
      <c r="G117" s="16">
        <f>IF(TabelaPrincipal[[#This Row],[POSIÇÃO]]=1,TabelaPrincipal[[#This Row],[VALOR TOTAL DO LANCE]],)</f>
        <v>23800</v>
      </c>
      <c r="H117" s="14"/>
    </row>
    <row r="118" spans="1:8" ht="25.5" x14ac:dyDescent="0.25">
      <c r="A118" s="12">
        <f>IF(TabelaPrincipal[[#This Row],[POSIÇÃO]]=1, TabelaPrincipal[[#This Row],[ITEM]],)</f>
        <v>193</v>
      </c>
      <c r="B118" s="13" t="str">
        <f>IF(TabelaPrincipal[[#This Row],[POSIÇÃO]]=1, TabelaPrincipal[[#This Row],[DESCRIÇÃO]],)</f>
        <v>Hialuronato de sódio, c: 1 mg/ml, forma farmacêutica: solução oftálmica</v>
      </c>
      <c r="C118" s="14" t="str">
        <f>IF(TabelaPrincipal[[#This Row],[POSIÇÃO]]=1,TabelaPrincipal[[#This Row],[UND]],)</f>
        <v>Frasco 10 ml</v>
      </c>
      <c r="D118" s="13">
        <f>IF(TabelaPrincipal[[#This Row],[POSIÇÃO]]=1,TabelaPrincipal[[#This Row],[QTD]],)</f>
        <v>200</v>
      </c>
      <c r="E118" s="13" t="str">
        <f>IF(TabelaPrincipal[[#This Row],[POSIÇÃO]]=1,TabelaPrincipal[[#This Row],[MARCA]],)</f>
        <v>Globo</v>
      </c>
      <c r="F118" s="15">
        <f>IF(TabelaPrincipal[[#This Row],[POSIÇÃO]]=1,TabelaPrincipal[[#This Row],[LANCE ATUAL]],)</f>
        <v>100</v>
      </c>
      <c r="G118" s="16">
        <f>IF(TabelaPrincipal[[#This Row],[POSIÇÃO]]=1,TabelaPrincipal[[#This Row],[VALOR TOTAL DO LANCE]],)</f>
        <v>20000</v>
      </c>
      <c r="H118" s="14"/>
    </row>
    <row r="119" spans="1:8" ht="25.5" hidden="1" x14ac:dyDescent="0.25">
      <c r="A119" s="12">
        <f>IF(TabelaPrincipal[[#This Row],[POSIÇÃO]]=1, TabelaPrincipal[[#This Row],[ITEM]],)</f>
        <v>0</v>
      </c>
      <c r="B119" s="13">
        <f>IF(TabelaPrincipal[[#This Row],[POSIÇÃO]]=1, TabelaPrincipal[[#This Row],[DESCRIÇÃO]],)</f>
        <v>0</v>
      </c>
      <c r="C119" s="14">
        <f>IF(TabelaPrincipal[[#This Row],[POSIÇÃO]]=1,TabelaPrincipal[[#This Row],[UND]],)</f>
        <v>0</v>
      </c>
      <c r="D119" s="13">
        <f>IF(TabelaPrincipal[[#This Row],[POSIÇÃO]]=1,TabelaPrincipal[[#This Row],[QTD]],)</f>
        <v>0</v>
      </c>
      <c r="E119" s="13">
        <f>IF(TabelaPrincipal[[#This Row],[POSIÇÃO]]=1,TabelaPrincipal[[#This Row],[MARCA]],)</f>
        <v>0</v>
      </c>
      <c r="F119" s="15">
        <f>IF(TabelaPrincipal[[#This Row],[POSIÇÃO]]=1,TabelaPrincipal[[#This Row],[LANCE ATUAL]],)</f>
        <v>0</v>
      </c>
      <c r="G119" s="16">
        <f>IF(TabelaPrincipal[[#This Row],[POSIÇÃO]]=1,TabelaPrincipal[[#This Row],[VALOR TOTAL DO LANCE]],)</f>
        <v>0</v>
      </c>
      <c r="H119" s="14"/>
    </row>
    <row r="120" spans="1:8" ht="25.5" hidden="1" x14ac:dyDescent="0.25">
      <c r="A120" s="12">
        <f>IF(TabelaPrincipal[[#This Row],[POSIÇÃO]]=1, TabelaPrincipal[[#This Row],[ITEM]],)</f>
        <v>0</v>
      </c>
      <c r="B120" s="13">
        <f>IF(TabelaPrincipal[[#This Row],[POSIÇÃO]]=1, TabelaPrincipal[[#This Row],[DESCRIÇÃO]],)</f>
        <v>0</v>
      </c>
      <c r="C120" s="14">
        <f>IF(TabelaPrincipal[[#This Row],[POSIÇÃO]]=1,TabelaPrincipal[[#This Row],[UND]],)</f>
        <v>0</v>
      </c>
      <c r="D120" s="13">
        <f>IF(TabelaPrincipal[[#This Row],[POSIÇÃO]]=1,TabelaPrincipal[[#This Row],[QTD]],)</f>
        <v>0</v>
      </c>
      <c r="E120" s="13">
        <f>IF(TabelaPrincipal[[#This Row],[POSIÇÃO]]=1,TabelaPrincipal[[#This Row],[MARCA]],)</f>
        <v>0</v>
      </c>
      <c r="F120" s="15">
        <f>IF(TabelaPrincipal[[#This Row],[POSIÇÃO]]=1,TabelaPrincipal[[#This Row],[LANCE ATUAL]],)</f>
        <v>0</v>
      </c>
      <c r="G120" s="16">
        <f>IF(TabelaPrincipal[[#This Row],[POSIÇÃO]]=1,TabelaPrincipal[[#This Row],[VALOR TOTAL DO LANCE]],)</f>
        <v>0</v>
      </c>
      <c r="H120" s="14"/>
    </row>
    <row r="121" spans="1:8" ht="51" hidden="1" x14ac:dyDescent="0.25">
      <c r="A121" s="12">
        <f>IF(TabelaPrincipal[[#This Row],[POSIÇÃO]]=1, TabelaPrincipal[[#This Row],[ITEM]],)</f>
        <v>0</v>
      </c>
      <c r="B121" s="13">
        <f>IF(TabelaPrincipal[[#This Row],[POSIÇÃO]]=1, TabelaPrincipal[[#This Row],[DESCRIÇÃO]],)</f>
        <v>0</v>
      </c>
      <c r="C121" s="14">
        <f>IF(TabelaPrincipal[[#This Row],[POSIÇÃO]]=1,TabelaPrincipal[[#This Row],[UND]],)</f>
        <v>0</v>
      </c>
      <c r="D121" s="13">
        <f>IF(TabelaPrincipal[[#This Row],[POSIÇÃO]]=1,TabelaPrincipal[[#This Row],[QTD]],)</f>
        <v>0</v>
      </c>
      <c r="E121" s="13">
        <f>IF(TabelaPrincipal[[#This Row],[POSIÇÃO]]=1,TabelaPrincipal[[#This Row],[MARCA]],)</f>
        <v>0</v>
      </c>
      <c r="F121" s="15">
        <f>IF(TabelaPrincipal[[#This Row],[POSIÇÃO]]=1,TabelaPrincipal[[#This Row],[LANCE ATUAL]],)</f>
        <v>0</v>
      </c>
      <c r="G121" s="16">
        <f>IF(TabelaPrincipal[[#This Row],[POSIÇÃO]]=1,TabelaPrincipal[[#This Row],[VALOR TOTAL DO LANCE]],)</f>
        <v>0</v>
      </c>
      <c r="H121" s="14"/>
    </row>
    <row r="122" spans="1:8" ht="38.25" x14ac:dyDescent="0.25">
      <c r="A122" s="12">
        <f>IF(TabelaPrincipal[[#This Row],[POSIÇÃO]]=1, TabelaPrincipal[[#This Row],[ITEM]],)</f>
        <v>197</v>
      </c>
      <c r="B122" s="13" t="str">
        <f>IF(TabelaPrincipal[[#This Row],[POSIÇÃO]]=1, TabelaPrincipal[[#This Row],[DESCRIÇÃO]],)</f>
        <v>Salicilato de metila, composição: associado à ess. terebentina, cânfora e mentol, concentração: 0,02 ml + 0,05 ml + 30 mg + 5 mg,g, forma farmacêutica: pomada</v>
      </c>
      <c r="C122" s="14" t="str">
        <f>IF(TabelaPrincipal[[#This Row],[POSIÇÃO]]=1,TabelaPrincipal[[#This Row],[UND]],)</f>
        <v>Bisnaga 30 g</v>
      </c>
      <c r="D122" s="13">
        <f>IF(TabelaPrincipal[[#This Row],[POSIÇÃO]]=1,TabelaPrincipal[[#This Row],[QTD]],)</f>
        <v>2000</v>
      </c>
      <c r="E122" s="13" t="str">
        <f>IF(TabelaPrincipal[[#This Row],[POSIÇÃO]]=1,TabelaPrincipal[[#This Row],[MARCA]],)</f>
        <v>Neo Química</v>
      </c>
      <c r="F122" s="15">
        <f>IF(TabelaPrincipal[[#This Row],[POSIÇÃO]]=1,TabelaPrincipal[[#This Row],[LANCE ATUAL]],)</f>
        <v>6.65</v>
      </c>
      <c r="G122" s="16">
        <f>IF(TabelaPrincipal[[#This Row],[POSIÇÃO]]=1,TabelaPrincipal[[#This Row],[VALOR TOTAL DO LANCE]],)</f>
        <v>13300</v>
      </c>
      <c r="H122" s="14"/>
    </row>
    <row r="123" spans="1:8" hidden="1" x14ac:dyDescent="0.25">
      <c r="A123" s="12">
        <f>IF(TabelaPrincipal[[#This Row],[POSIÇÃO]]=1, TabelaPrincipal[[#This Row],[ITEM]],)</f>
        <v>0</v>
      </c>
      <c r="B123" s="13">
        <f>IF(TabelaPrincipal[[#This Row],[POSIÇÃO]]=1, TabelaPrincipal[[#This Row],[DESCRIÇÃO]],)</f>
        <v>0</v>
      </c>
      <c r="C123" s="14">
        <f>IF(TabelaPrincipal[[#This Row],[POSIÇÃO]]=1,TabelaPrincipal[[#This Row],[UND]],)</f>
        <v>0</v>
      </c>
      <c r="D123" s="13">
        <f>IF(TabelaPrincipal[[#This Row],[POSIÇÃO]]=1,TabelaPrincipal[[#This Row],[QTD]],)</f>
        <v>0</v>
      </c>
      <c r="E123" s="13">
        <f>IF(TabelaPrincipal[[#This Row],[POSIÇÃO]]=1,TabelaPrincipal[[#This Row],[MARCA]],)</f>
        <v>0</v>
      </c>
      <c r="F123" s="15">
        <f>IF(TabelaPrincipal[[#This Row],[POSIÇÃO]]=1,TabelaPrincipal[[#This Row],[LANCE ATUAL]],)</f>
        <v>0</v>
      </c>
      <c r="G123" s="16">
        <f>IF(TabelaPrincipal[[#This Row],[POSIÇÃO]]=1,TabelaPrincipal[[#This Row],[VALOR TOTAL DO LANCE]],)</f>
        <v>0</v>
      </c>
      <c r="H123" s="14"/>
    </row>
    <row r="124" spans="1:8" ht="25.5" x14ac:dyDescent="0.25">
      <c r="A124" s="12">
        <f>IF(TabelaPrincipal[[#This Row],[POSIÇÃO]]=1, TabelaPrincipal[[#This Row],[ITEM]],)</f>
        <v>199</v>
      </c>
      <c r="B124" s="13" t="str">
        <f>IF(TabelaPrincipal[[#This Row],[POSIÇÃO]]=1, TabelaPrincipal[[#This Row],[DESCRIÇÃO]],)</f>
        <v>Triancinolona, composição: acetonida, concentração: 1 mg/g, forma farmacêutica: pasta oral</v>
      </c>
      <c r="C124" s="14" t="str">
        <f>IF(TabelaPrincipal[[#This Row],[POSIÇÃO]]=1,TabelaPrincipal[[#This Row],[UND]],)</f>
        <v>Bisnaga 10 g</v>
      </c>
      <c r="D124" s="13">
        <f>IF(TabelaPrincipal[[#This Row],[POSIÇÃO]]=1,TabelaPrincipal[[#This Row],[QTD]],)</f>
        <v>1000</v>
      </c>
      <c r="E124" s="13" t="str">
        <f>IF(TabelaPrincipal[[#This Row],[POSIÇÃO]]=1,TabelaPrincipal[[#This Row],[MARCA]],)</f>
        <v>Germed</v>
      </c>
      <c r="F124" s="15">
        <f>IF(TabelaPrincipal[[#This Row],[POSIÇÃO]]=1,TabelaPrincipal[[#This Row],[LANCE ATUAL]],)</f>
        <v>4.9000000000000004</v>
      </c>
      <c r="G124" s="16">
        <f>IF(TabelaPrincipal[[#This Row],[POSIÇÃO]]=1,TabelaPrincipal[[#This Row],[VALOR TOTAL DO LANCE]],)</f>
        <v>4900</v>
      </c>
      <c r="H124" s="14"/>
    </row>
    <row r="125" spans="1:8" ht="38.25" hidden="1" x14ac:dyDescent="0.25">
      <c r="A125" s="12">
        <f>IF(TabelaPrincipal[[#This Row],[POSIÇÃO]]=1, TabelaPrincipal[[#This Row],[ITEM]],)</f>
        <v>0</v>
      </c>
      <c r="B125" s="13">
        <f>IF(TabelaPrincipal[[#This Row],[POSIÇÃO]]=1, TabelaPrincipal[[#This Row],[DESCRIÇÃO]],)</f>
        <v>0</v>
      </c>
      <c r="C125" s="14">
        <f>IF(TabelaPrincipal[[#This Row],[POSIÇÃO]]=1,TabelaPrincipal[[#This Row],[UND]],)</f>
        <v>0</v>
      </c>
      <c r="D125" s="13">
        <f>IF(TabelaPrincipal[[#This Row],[POSIÇÃO]]=1,TabelaPrincipal[[#This Row],[QTD]],)</f>
        <v>0</v>
      </c>
      <c r="E125" s="13">
        <f>IF(TabelaPrincipal[[#This Row],[POSIÇÃO]]=1,TabelaPrincipal[[#This Row],[MARCA]],)</f>
        <v>0</v>
      </c>
      <c r="F125" s="15">
        <f>IF(TabelaPrincipal[[#This Row],[POSIÇÃO]]=1,TabelaPrincipal[[#This Row],[LANCE ATUAL]],)</f>
        <v>0</v>
      </c>
      <c r="G125" s="16">
        <f>IF(TabelaPrincipal[[#This Row],[POSIÇÃO]]=1,TabelaPrincipal[[#This Row],[VALOR TOTAL DO LANCE]],)</f>
        <v>0</v>
      </c>
      <c r="H125" s="14"/>
    </row>
    <row r="126" spans="1:8" x14ac:dyDescent="0.25">
      <c r="A126" s="12">
        <f>IF(TabelaPrincipal[[#This Row],[POSIÇÃO]]=1, TabelaPrincipal[[#This Row],[ITEM]],)</f>
        <v>201</v>
      </c>
      <c r="B126" s="13" t="str">
        <f>IF(TabelaPrincipal[[#This Row],[POSIÇÃO]]=1, TabelaPrincipal[[#This Row],[DESCRIÇÃO]],)</f>
        <v>Aripiprazol 1 mg/mL suspensão oral</v>
      </c>
      <c r="C126" s="14" t="str">
        <f>IF(TabelaPrincipal[[#This Row],[POSIÇÃO]]=1,TabelaPrincipal[[#This Row],[UND]],)</f>
        <v>Frasco 150 mL</v>
      </c>
      <c r="D126" s="13">
        <f>IF(TabelaPrincipal[[#This Row],[POSIÇÃO]]=1,TabelaPrincipal[[#This Row],[QTD]],)</f>
        <v>60</v>
      </c>
      <c r="E126" s="13" t="str">
        <f>IF(TabelaPrincipal[[#This Row],[POSIÇÃO]]=1,TabelaPrincipal[[#This Row],[MARCA]],)</f>
        <v>Aché</v>
      </c>
      <c r="F126" s="15">
        <f>IF(TabelaPrincipal[[#This Row],[POSIÇÃO]]=1,TabelaPrincipal[[#This Row],[LANCE ATUAL]],)</f>
        <v>145.01</v>
      </c>
      <c r="G126" s="16">
        <f>IF(TabelaPrincipal[[#This Row],[POSIÇÃO]]=1,TabelaPrincipal[[#This Row],[VALOR TOTAL DO LANCE]],)</f>
        <v>8700.5999999999985</v>
      </c>
      <c r="H126" s="14"/>
    </row>
    <row r="127" spans="1:8" hidden="1" x14ac:dyDescent="0.25">
      <c r="A127" s="12">
        <f>IF(TabelaPrincipal[[#This Row],[POSIÇÃO]]=1, TabelaPrincipal[[#This Row],[ITEM]],)</f>
        <v>0</v>
      </c>
      <c r="B127" s="13">
        <f>IF(TabelaPrincipal[[#This Row],[POSIÇÃO]]=1, TabelaPrincipal[[#This Row],[DESCRIÇÃO]],)</f>
        <v>0</v>
      </c>
      <c r="C127" s="14">
        <f>IF(TabelaPrincipal[[#This Row],[POSIÇÃO]]=1,TabelaPrincipal[[#This Row],[UND]],)</f>
        <v>0</v>
      </c>
      <c r="D127" s="13">
        <f>IF(TabelaPrincipal[[#This Row],[POSIÇÃO]]=1,TabelaPrincipal[[#This Row],[QTD]],)</f>
        <v>0</v>
      </c>
      <c r="E127" s="13">
        <f>IF(TabelaPrincipal[[#This Row],[POSIÇÃO]]=1,TabelaPrincipal[[#This Row],[MARCA]],)</f>
        <v>0</v>
      </c>
      <c r="F127" s="15">
        <f>IF(TabelaPrincipal[[#This Row],[POSIÇÃO]]=1,TabelaPrincipal[[#This Row],[LANCE ATUAL]],)</f>
        <v>0</v>
      </c>
      <c r="G127" s="16">
        <f>IF(TabelaPrincipal[[#This Row],[POSIÇÃO]]=1,TabelaPrincipal[[#This Row],[VALOR TOTAL DO LANCE]],)</f>
        <v>0</v>
      </c>
      <c r="H127" s="14"/>
    </row>
    <row r="128" spans="1:8" hidden="1" x14ac:dyDescent="0.25">
      <c r="A128" s="12">
        <f>IF(TabelaPrincipal[[#This Row],[POSIÇÃO]]=1, TabelaPrincipal[[#This Row],[ITEM]],)</f>
        <v>0</v>
      </c>
      <c r="B128" s="13">
        <f>IF(TabelaPrincipal[[#This Row],[POSIÇÃO]]=1, TabelaPrincipal[[#This Row],[DESCRIÇÃO]],)</f>
        <v>0</v>
      </c>
      <c r="C128" s="14">
        <f>IF(TabelaPrincipal[[#This Row],[POSIÇÃO]]=1,TabelaPrincipal[[#This Row],[UND]],)</f>
        <v>0</v>
      </c>
      <c r="D128" s="13">
        <f>IF(TabelaPrincipal[[#This Row],[POSIÇÃO]]=1,TabelaPrincipal[[#This Row],[QTD]],)</f>
        <v>0</v>
      </c>
      <c r="E128" s="13">
        <f>IF(TabelaPrincipal[[#This Row],[POSIÇÃO]]=1,TabelaPrincipal[[#This Row],[MARCA]],)</f>
        <v>0</v>
      </c>
      <c r="F128" s="15">
        <f>IF(TabelaPrincipal[[#This Row],[POSIÇÃO]]=1,TabelaPrincipal[[#This Row],[LANCE ATUAL]],)</f>
        <v>0</v>
      </c>
      <c r="G128" s="16">
        <f>IF(TabelaPrincipal[[#This Row],[POSIÇÃO]]=1,TabelaPrincipal[[#This Row],[VALOR TOTAL DO LANCE]],)</f>
        <v>0</v>
      </c>
      <c r="H128" s="14"/>
    </row>
    <row r="129" spans="1:8" x14ac:dyDescent="0.25">
      <c r="A129" s="12">
        <f>IF(TabelaPrincipal[[#This Row],[POSIÇÃO]]=1, TabelaPrincipal[[#This Row],[ITEM]],)</f>
        <v>207</v>
      </c>
      <c r="B129" s="13" t="str">
        <f>IF(TabelaPrincipal[[#This Row],[POSIÇÃO]]=1, TabelaPrincipal[[#This Row],[DESCRIÇÃO]],)</f>
        <v>Omeprazol 40 mg pó para solução injetável</v>
      </c>
      <c r="C129" s="14" t="str">
        <f>IF(TabelaPrincipal[[#This Row],[POSIÇÃO]]=1,TabelaPrincipal[[#This Row],[UND]],)</f>
        <v>Frasco- ampola</v>
      </c>
      <c r="D129" s="13">
        <f>IF(TabelaPrincipal[[#This Row],[POSIÇÃO]]=1,TabelaPrincipal[[#This Row],[QTD]],)</f>
        <v>150</v>
      </c>
      <c r="E129" s="13" t="str">
        <f>IF(TabelaPrincipal[[#This Row],[POSIÇÃO]]=1,TabelaPrincipal[[#This Row],[MARCA]],)</f>
        <v>Blau</v>
      </c>
      <c r="F129" s="15">
        <f>IF(TabelaPrincipal[[#This Row],[POSIÇÃO]]=1,TabelaPrincipal[[#This Row],[LANCE ATUAL]],)</f>
        <v>6.99</v>
      </c>
      <c r="G129" s="16">
        <f>IF(TabelaPrincipal[[#This Row],[POSIÇÃO]]=1,TabelaPrincipal[[#This Row],[VALOR TOTAL DO LANCE]],)</f>
        <v>1048.5</v>
      </c>
      <c r="H129" s="14"/>
    </row>
    <row r="130" spans="1:8" hidden="1" x14ac:dyDescent="0.25">
      <c r="A130" s="12">
        <f>IF(TabelaPrincipal[[#This Row],[POSIÇÃO]]=1, TabelaPrincipal[[#This Row],[ITEM]],)</f>
        <v>0</v>
      </c>
      <c r="B130" s="13">
        <f>IF(TabelaPrincipal[[#This Row],[POSIÇÃO]]=1, TabelaPrincipal[[#This Row],[DESCRIÇÃO]],)</f>
        <v>0</v>
      </c>
      <c r="C130" s="14">
        <f>IF(TabelaPrincipal[[#This Row],[POSIÇÃO]]=1,TabelaPrincipal[[#This Row],[UND]],)</f>
        <v>0</v>
      </c>
      <c r="D130" s="13">
        <f>IF(TabelaPrincipal[[#This Row],[POSIÇÃO]]=1,TabelaPrincipal[[#This Row],[QTD]],)</f>
        <v>0</v>
      </c>
      <c r="E130" s="13">
        <f>IF(TabelaPrincipal[[#This Row],[POSIÇÃO]]=1,TabelaPrincipal[[#This Row],[MARCA]],)</f>
        <v>0</v>
      </c>
      <c r="F130" s="15">
        <f>IF(TabelaPrincipal[[#This Row],[POSIÇÃO]]=1,TabelaPrincipal[[#This Row],[LANCE ATUAL]],)</f>
        <v>0</v>
      </c>
      <c r="G130" s="16">
        <f>IF(TabelaPrincipal[[#This Row],[POSIÇÃO]]=1,TabelaPrincipal[[#This Row],[VALOR TOTAL DO LANCE]],)</f>
        <v>0</v>
      </c>
      <c r="H130" s="14"/>
    </row>
    <row r="131" spans="1:8" hidden="1" x14ac:dyDescent="0.25">
      <c r="A131" s="12">
        <f>IF(TabelaPrincipal[[#This Row],[POSIÇÃO]]=1, TabelaPrincipal[[#This Row],[ITEM]],)</f>
        <v>0</v>
      </c>
      <c r="B131" s="13">
        <f>IF(TabelaPrincipal[[#This Row],[POSIÇÃO]]=1, TabelaPrincipal[[#This Row],[DESCRIÇÃO]],)</f>
        <v>0</v>
      </c>
      <c r="C131" s="14">
        <f>IF(TabelaPrincipal[[#This Row],[POSIÇÃO]]=1,TabelaPrincipal[[#This Row],[UND]],)</f>
        <v>0</v>
      </c>
      <c r="D131" s="13">
        <f>IF(TabelaPrincipal[[#This Row],[POSIÇÃO]]=1,TabelaPrincipal[[#This Row],[QTD]],)</f>
        <v>0</v>
      </c>
      <c r="E131" s="13">
        <f>IF(TabelaPrincipal[[#This Row],[POSIÇÃO]]=1,TabelaPrincipal[[#This Row],[MARCA]],)</f>
        <v>0</v>
      </c>
      <c r="F131" s="15">
        <f>IF(TabelaPrincipal[[#This Row],[POSIÇÃO]]=1,TabelaPrincipal[[#This Row],[LANCE ATUAL]],)</f>
        <v>0</v>
      </c>
      <c r="G131" s="16">
        <f>IF(TabelaPrincipal[[#This Row],[POSIÇÃO]]=1,TabelaPrincipal[[#This Row],[VALOR TOTAL DO LANCE]],)</f>
        <v>0</v>
      </c>
      <c r="H131" s="14"/>
    </row>
    <row r="132" spans="1:8" hidden="1" x14ac:dyDescent="0.25">
      <c r="A132" s="12">
        <f>IF(TabelaPrincipal[[#This Row],[POSIÇÃO]]=1, TabelaPrincipal[[#This Row],[ITEM]],)</f>
        <v>0</v>
      </c>
      <c r="B132" s="13">
        <f>IF(TabelaPrincipal[[#This Row],[POSIÇÃO]]=1, TabelaPrincipal[[#This Row],[DESCRIÇÃO]],)</f>
        <v>0</v>
      </c>
      <c r="C132" s="14">
        <f>IF(TabelaPrincipal[[#This Row],[POSIÇÃO]]=1,TabelaPrincipal[[#This Row],[UND]],)</f>
        <v>0</v>
      </c>
      <c r="D132" s="13">
        <f>IF(TabelaPrincipal[[#This Row],[POSIÇÃO]]=1,TabelaPrincipal[[#This Row],[QTD]],)</f>
        <v>0</v>
      </c>
      <c r="E132" s="13">
        <f>IF(TabelaPrincipal[[#This Row],[POSIÇÃO]]=1,TabelaPrincipal[[#This Row],[MARCA]],)</f>
        <v>0</v>
      </c>
      <c r="F132" s="15">
        <f>IF(TabelaPrincipal[[#This Row],[POSIÇÃO]]=1,TabelaPrincipal[[#This Row],[LANCE ATUAL]],)</f>
        <v>0</v>
      </c>
      <c r="G132" s="16">
        <f>IF(TabelaPrincipal[[#This Row],[POSIÇÃO]]=1,TabelaPrincipal[[#This Row],[VALOR TOTAL DO LANCE]],)</f>
        <v>0</v>
      </c>
      <c r="H132" s="14"/>
    </row>
    <row r="133" spans="1:8" hidden="1" x14ac:dyDescent="0.25">
      <c r="A133" s="12">
        <f>IF(TabelaPrincipal[[#This Row],[POSIÇÃO]]=1, TabelaPrincipal[[#This Row],[ITEM]],)</f>
        <v>0</v>
      </c>
      <c r="B133" s="13">
        <f>IF(TabelaPrincipal[[#This Row],[POSIÇÃO]]=1, TabelaPrincipal[[#This Row],[DESCRIÇÃO]],)</f>
        <v>0</v>
      </c>
      <c r="C133" s="14">
        <f>IF(TabelaPrincipal[[#This Row],[POSIÇÃO]]=1,TabelaPrincipal[[#This Row],[UND]],)</f>
        <v>0</v>
      </c>
      <c r="D133" s="13">
        <f>IF(TabelaPrincipal[[#This Row],[POSIÇÃO]]=1,TabelaPrincipal[[#This Row],[QTD]],)</f>
        <v>0</v>
      </c>
      <c r="E133" s="13">
        <f>IF(TabelaPrincipal[[#This Row],[POSIÇÃO]]=1,TabelaPrincipal[[#This Row],[MARCA]],)</f>
        <v>0</v>
      </c>
      <c r="F133" s="15">
        <f>IF(TabelaPrincipal[[#This Row],[POSIÇÃO]]=1,TabelaPrincipal[[#This Row],[LANCE ATUAL]],)</f>
        <v>0</v>
      </c>
      <c r="G133" s="16">
        <f>IF(TabelaPrincipal[[#This Row],[POSIÇÃO]]=1,TabelaPrincipal[[#This Row],[VALOR TOTAL DO LANCE]],)</f>
        <v>0</v>
      </c>
      <c r="H133" s="14"/>
    </row>
    <row r="134" spans="1:8" hidden="1" x14ac:dyDescent="0.25">
      <c r="A134" s="12">
        <f>IF(TabelaPrincipal[[#This Row],[POSIÇÃO]]=1, TabelaPrincipal[[#This Row],[ITEM]],)</f>
        <v>0</v>
      </c>
      <c r="B134" s="13">
        <f>IF(TabelaPrincipal[[#This Row],[POSIÇÃO]]=1, TabelaPrincipal[[#This Row],[DESCRIÇÃO]],)</f>
        <v>0</v>
      </c>
      <c r="C134" s="14">
        <f>IF(TabelaPrincipal[[#This Row],[POSIÇÃO]]=1,TabelaPrincipal[[#This Row],[UND]],)</f>
        <v>0</v>
      </c>
      <c r="D134" s="13">
        <f>IF(TabelaPrincipal[[#This Row],[POSIÇÃO]]=1,TabelaPrincipal[[#This Row],[QTD]],)</f>
        <v>0</v>
      </c>
      <c r="E134" s="13">
        <f>IF(TabelaPrincipal[[#This Row],[POSIÇÃO]]=1,TabelaPrincipal[[#This Row],[MARCA]],)</f>
        <v>0</v>
      </c>
      <c r="F134" s="15">
        <f>IF(TabelaPrincipal[[#This Row],[POSIÇÃO]]=1,TabelaPrincipal[[#This Row],[LANCE ATUAL]],)</f>
        <v>0</v>
      </c>
      <c r="G134" s="16">
        <f>IF(TabelaPrincipal[[#This Row],[POSIÇÃO]]=1,TabelaPrincipal[[#This Row],[VALOR TOTAL DO LANCE]],)</f>
        <v>0</v>
      </c>
      <c r="H134" s="14"/>
    </row>
    <row r="135" spans="1:8" hidden="1" x14ac:dyDescent="0.25">
      <c r="A135" s="12">
        <f>IF(TabelaPrincipal[[#This Row],[POSIÇÃO]]=1, TabelaPrincipal[[#This Row],[ITEM]],)</f>
        <v>0</v>
      </c>
      <c r="B135" s="13">
        <f>IF(TabelaPrincipal[[#This Row],[POSIÇÃO]]=1, TabelaPrincipal[[#This Row],[DESCRIÇÃO]],)</f>
        <v>0</v>
      </c>
      <c r="C135" s="14">
        <f>IF(TabelaPrincipal[[#This Row],[POSIÇÃO]]=1,TabelaPrincipal[[#This Row],[UND]],)</f>
        <v>0</v>
      </c>
      <c r="D135" s="13">
        <f>IF(TabelaPrincipal[[#This Row],[POSIÇÃO]]=1,TabelaPrincipal[[#This Row],[QTD]],)</f>
        <v>0</v>
      </c>
      <c r="E135" s="13">
        <f>IF(TabelaPrincipal[[#This Row],[POSIÇÃO]]=1,TabelaPrincipal[[#This Row],[MARCA]],)</f>
        <v>0</v>
      </c>
      <c r="F135" s="15">
        <f>IF(TabelaPrincipal[[#This Row],[POSIÇÃO]]=1,TabelaPrincipal[[#This Row],[LANCE ATUAL]],)</f>
        <v>0</v>
      </c>
      <c r="G135" s="16">
        <f>IF(TabelaPrincipal[[#This Row],[POSIÇÃO]]=1,TabelaPrincipal[[#This Row],[VALOR TOTAL DO LANCE]],)</f>
        <v>0</v>
      </c>
      <c r="H135" s="14"/>
    </row>
    <row r="136" spans="1:8" ht="25.5" hidden="1" x14ac:dyDescent="0.25">
      <c r="A136" s="12">
        <f>IF(TabelaPrincipal[[#This Row],[POSIÇÃO]]=1, TabelaPrincipal[[#This Row],[ITEM]],)</f>
        <v>0</v>
      </c>
      <c r="B136" s="13">
        <f>IF(TabelaPrincipal[[#This Row],[POSIÇÃO]]=1, TabelaPrincipal[[#This Row],[DESCRIÇÃO]],)</f>
        <v>0</v>
      </c>
      <c r="C136" s="14">
        <f>IF(TabelaPrincipal[[#This Row],[POSIÇÃO]]=1,TabelaPrincipal[[#This Row],[UND]],)</f>
        <v>0</v>
      </c>
      <c r="D136" s="13">
        <f>IF(TabelaPrincipal[[#This Row],[POSIÇÃO]]=1,TabelaPrincipal[[#This Row],[QTD]],)</f>
        <v>0</v>
      </c>
      <c r="E136" s="13">
        <f>IF(TabelaPrincipal[[#This Row],[POSIÇÃO]]=1,TabelaPrincipal[[#This Row],[MARCA]],)</f>
        <v>0</v>
      </c>
      <c r="F136" s="15">
        <f>IF(TabelaPrincipal[[#This Row],[POSIÇÃO]]=1,TabelaPrincipal[[#This Row],[LANCE ATUAL]],)</f>
        <v>0</v>
      </c>
      <c r="G136" s="16">
        <f>IF(TabelaPrincipal[[#This Row],[POSIÇÃO]]=1,TabelaPrincipal[[#This Row],[VALOR TOTAL DO LANCE]],)</f>
        <v>0</v>
      </c>
      <c r="H136" s="14"/>
    </row>
    <row r="137" spans="1:8" ht="25.5" x14ac:dyDescent="0.25">
      <c r="A137" s="12">
        <f>IF(TabelaPrincipal[[#This Row],[POSIÇÃO]]=1, TabelaPrincipal[[#This Row],[ITEM]],)</f>
        <v>215</v>
      </c>
      <c r="B137" s="13" t="str">
        <f>IF(TabelaPrincipal[[#This Row],[POSIÇÃO]]=1, TabelaPrincipal[[#This Row],[DESCRIÇÃO]],)</f>
        <v>Desvenlafaxina, composição: salsuccinato, concentração:50 mg, forma farmacêutica: liberação controlada</v>
      </c>
      <c r="C137" s="14" t="str">
        <f>IF(TabelaPrincipal[[#This Row],[POSIÇÃO]]=1,TabelaPrincipal[[#This Row],[UND]],)</f>
        <v>Comprimido</v>
      </c>
      <c r="D137" s="13">
        <f>IF(TabelaPrincipal[[#This Row],[POSIÇÃO]]=1,TabelaPrincipal[[#This Row],[QTD]],)</f>
        <v>1440</v>
      </c>
      <c r="E137" s="13" t="str">
        <f>IF(TabelaPrincipal[[#This Row],[POSIÇÃO]]=1,TabelaPrincipal[[#This Row],[MARCA]],)</f>
        <v>Biosintética</v>
      </c>
      <c r="F137" s="15">
        <f>IF(TabelaPrincipal[[#This Row],[POSIÇÃO]]=1,TabelaPrincipal[[#This Row],[LANCE ATUAL]],)</f>
        <v>1.34</v>
      </c>
      <c r="G137" s="16">
        <f>IF(TabelaPrincipal[[#This Row],[POSIÇÃO]]=1,TabelaPrincipal[[#This Row],[VALOR TOTAL DO LANCE]],)</f>
        <v>1929.6000000000001</v>
      </c>
      <c r="H137" s="14"/>
    </row>
    <row r="138" spans="1:8" ht="25.5" x14ac:dyDescent="0.25">
      <c r="A138" s="12">
        <f>IF(TabelaPrincipal[[#This Row],[POSIÇÃO]]=1, TabelaPrincipal[[#This Row],[ITEM]],)</f>
        <v>216</v>
      </c>
      <c r="B138" s="13" t="str">
        <f>IF(TabelaPrincipal[[#This Row],[POSIÇÃO]]=1, TabelaPrincipal[[#This Row],[DESCRIÇÃO]],)</f>
        <v>Desvenlafaxina, composição:salsuccinato, concentração:100 mg, forma farmacêutica: liberação controlada</v>
      </c>
      <c r="C138" s="14" t="str">
        <f>IF(TabelaPrincipal[[#This Row],[POSIÇÃO]]=1,TabelaPrincipal[[#This Row],[UND]],)</f>
        <v>Comprimido</v>
      </c>
      <c r="D138" s="13">
        <f>IF(TabelaPrincipal[[#This Row],[POSIÇÃO]]=1,TabelaPrincipal[[#This Row],[QTD]],)</f>
        <v>1440</v>
      </c>
      <c r="E138" s="13" t="str">
        <f>IF(TabelaPrincipal[[#This Row],[POSIÇÃO]]=1,TabelaPrincipal[[#This Row],[MARCA]],)</f>
        <v>Legrand</v>
      </c>
      <c r="F138" s="15">
        <f>IF(TabelaPrincipal[[#This Row],[POSIÇÃO]]=1,TabelaPrincipal[[#This Row],[LANCE ATUAL]],)</f>
        <v>1.6</v>
      </c>
      <c r="G138" s="16">
        <f>IF(TabelaPrincipal[[#This Row],[POSIÇÃO]]=1,TabelaPrincipal[[#This Row],[VALOR TOTAL DO LANCE]],)</f>
        <v>2304</v>
      </c>
      <c r="H138" s="14"/>
    </row>
    <row r="139" spans="1:8" x14ac:dyDescent="0.25">
      <c r="A139" s="12">
        <f>IF(TabelaPrincipal[[#This Row],[POSIÇÃO]]=1, TabelaPrincipal[[#This Row],[ITEM]],)</f>
        <v>217</v>
      </c>
      <c r="B139" s="13" t="str">
        <f>IF(TabelaPrincipal[[#This Row],[POSIÇÃO]]=1, TabelaPrincipal[[#This Row],[DESCRIÇÃO]],)</f>
        <v>Zolpidem, dosagem:10 mg</v>
      </c>
      <c r="C139" s="14" t="str">
        <f>IF(TabelaPrincipal[[#This Row],[POSIÇÃO]]=1,TabelaPrincipal[[#This Row],[UND]],)</f>
        <v>Comprimido</v>
      </c>
      <c r="D139" s="13">
        <f>IF(TabelaPrincipal[[#This Row],[POSIÇÃO]]=1,TabelaPrincipal[[#This Row],[QTD]],)</f>
        <v>1440</v>
      </c>
      <c r="E139" s="13" t="str">
        <f>IF(TabelaPrincipal[[#This Row],[POSIÇÃO]]=1,TabelaPrincipal[[#This Row],[MARCA]],)</f>
        <v>Geolab</v>
      </c>
      <c r="F139" s="15">
        <f>IF(TabelaPrincipal[[#This Row],[POSIÇÃO]]=1,TabelaPrincipal[[#This Row],[LANCE ATUAL]],)</f>
        <v>0.17</v>
      </c>
      <c r="G139" s="16">
        <f>IF(TabelaPrincipal[[#This Row],[POSIÇÃO]]=1,TabelaPrincipal[[#This Row],[VALOR TOTAL DO LANCE]],)</f>
        <v>244.8</v>
      </c>
      <c r="H139" s="14"/>
    </row>
    <row r="140" spans="1:8" ht="63.75" hidden="1" x14ac:dyDescent="0.25">
      <c r="A140" s="12">
        <f>IF(TabelaPrincipal[[#This Row],[POSIÇÃO]]=1, TabelaPrincipal[[#This Row],[ITEM]],)</f>
        <v>0</v>
      </c>
      <c r="B140" s="13">
        <f>IF(TabelaPrincipal[[#This Row],[POSIÇÃO]]=1, TabelaPrincipal[[#This Row],[DESCRIÇÃO]],)</f>
        <v>0</v>
      </c>
      <c r="C140" s="14">
        <f>IF(TabelaPrincipal[[#This Row],[POSIÇÃO]]=1,TabelaPrincipal[[#This Row],[UND]],)</f>
        <v>0</v>
      </c>
      <c r="D140" s="13">
        <f>IF(TabelaPrincipal[[#This Row],[POSIÇÃO]]=1,TabelaPrincipal[[#This Row],[QTD]],)</f>
        <v>0</v>
      </c>
      <c r="E140" s="13">
        <f>IF(TabelaPrincipal[[#This Row],[POSIÇÃO]]=1,TabelaPrincipal[[#This Row],[MARCA]],)</f>
        <v>0</v>
      </c>
      <c r="F140" s="15">
        <f>IF(TabelaPrincipal[[#This Row],[POSIÇÃO]]=1,TabelaPrincipal[[#This Row],[LANCE ATUAL]],)</f>
        <v>0</v>
      </c>
      <c r="G140" s="16">
        <f>IF(TabelaPrincipal[[#This Row],[POSIÇÃO]]=1,TabelaPrincipal[[#This Row],[VALOR TOTAL DO LANCE]],)</f>
        <v>0</v>
      </c>
      <c r="H140" s="14"/>
    </row>
    <row r="141" spans="1:8" ht="89.25" x14ac:dyDescent="0.25">
      <c r="A141" s="12">
        <f>IF(TabelaPrincipal[[#This Row],[POSIÇÃO]]=1, TabelaPrincipal[[#This Row],[ITEM]],)</f>
        <v>227</v>
      </c>
      <c r="B141" s="13" t="str">
        <f>IF(TabelaPrincipal[[#This Row],[POSIÇÃO]]=1, TabelaPrincipal[[#This Row],[DESCRIÇÃO]],)</f>
        <v>Sonda    trato    digestivo,    aplicação:    oro    ou nasogástrica,    modelo:    levine,    material:    pvc, calibre: nº 22, tamanho: longa, comprimento: cerca
120   cm,   conector:   conector   padrão   c,   tampa, componentes:  ponta  distal  fechada,  c,  orifícios laterais,      esterilidade:      estéril,      descartável, embalagem: embalagem individual</v>
      </c>
      <c r="C141" s="14" t="str">
        <f>IF(TabelaPrincipal[[#This Row],[POSIÇÃO]]=1,TabelaPrincipal[[#This Row],[UND]],)</f>
        <v>Unidade</v>
      </c>
      <c r="D141" s="13">
        <f>IF(TabelaPrincipal[[#This Row],[POSIÇÃO]]=1,TabelaPrincipal[[#This Row],[QTD]],)</f>
        <v>20</v>
      </c>
      <c r="E141" s="13" t="str">
        <f>IF(TabelaPrincipal[[#This Row],[POSIÇÃO]]=1,TabelaPrincipal[[#This Row],[MARCA]],)</f>
        <v>Medsonda</v>
      </c>
      <c r="F141" s="15">
        <f>IF(TabelaPrincipal[[#This Row],[POSIÇÃO]]=1,TabelaPrincipal[[#This Row],[LANCE ATUAL]],)</f>
        <v>2.5299999999999998</v>
      </c>
      <c r="G141" s="16">
        <f>IF(TabelaPrincipal[[#This Row],[POSIÇÃO]]=1,TabelaPrincipal[[#This Row],[VALOR TOTAL DO LANCE]],)</f>
        <v>50.599999999999994</v>
      </c>
      <c r="H141" s="14"/>
    </row>
    <row r="142" spans="1:8" ht="89.25" x14ac:dyDescent="0.25">
      <c r="A142" s="12">
        <f>IF(TabelaPrincipal[[#This Row],[POSIÇÃO]]=1, TabelaPrincipal[[#This Row],[ITEM]],)</f>
        <v>228</v>
      </c>
      <c r="B142" s="13" t="str">
        <f>IF(TabelaPrincipal[[#This Row],[POSIÇÃO]]=1, TabelaPrincipal[[#This Row],[DESCRIÇÃO]],)</f>
        <v>Sonda    trato    digestivo,    aplicação:    oro    ou nasogástrica,    modelo:    levine,    material:    pvc, calibre: nº 20, tamanho: longa, comprimento: cerca
120   cm,   conector:   conector   padrão   c,   tampa, componentes:  ponta  distal  fechada,  c,  orifícios laterais,      esterilidade:      estéril,      descartável, embalagem: embalagem individual</v>
      </c>
      <c r="C142" s="14" t="str">
        <f>IF(TabelaPrincipal[[#This Row],[POSIÇÃO]]=1,TabelaPrincipal[[#This Row],[UND]],)</f>
        <v>Unidade</v>
      </c>
      <c r="D142" s="13">
        <f>IF(TabelaPrincipal[[#This Row],[POSIÇÃO]]=1,TabelaPrincipal[[#This Row],[QTD]],)</f>
        <v>20</v>
      </c>
      <c r="E142" s="13" t="str">
        <f>IF(TabelaPrincipal[[#This Row],[POSIÇÃO]]=1,TabelaPrincipal[[#This Row],[MARCA]],)</f>
        <v>Medsonda</v>
      </c>
      <c r="F142" s="15">
        <f>IF(TabelaPrincipal[[#This Row],[POSIÇÃO]]=1,TabelaPrincipal[[#This Row],[LANCE ATUAL]],)</f>
        <v>1.91</v>
      </c>
      <c r="G142" s="16">
        <f>IF(TabelaPrincipal[[#This Row],[POSIÇÃO]]=1,TabelaPrincipal[[#This Row],[VALOR TOTAL DO LANCE]],)</f>
        <v>38.199999999999996</v>
      </c>
      <c r="H142" s="14"/>
    </row>
    <row r="143" spans="1:8" ht="89.25" x14ac:dyDescent="0.25">
      <c r="A143" s="12">
        <f>IF(TabelaPrincipal[[#This Row],[POSIÇÃO]]=1, TabelaPrincipal[[#This Row],[ITEM]],)</f>
        <v>229</v>
      </c>
      <c r="B143" s="13" t="str">
        <f>IF(TabelaPrincipal[[#This Row],[POSIÇÃO]]=1, TabelaPrincipal[[#This Row],[DESCRIÇÃO]],)</f>
        <v>Sonda    trato    digestivo,    aplicação:    oro    ou nasogástrica,  modelo:  levine,  material:  silicone, calibre: nº 18, tamanho: longa, comprimento: cerca
120   cm,   conector:   conector   padrão   c,   tampa, componentes:  ponta  distal  fechada,  c,  orifícios laterais,      esterilidade:      estéril,      descartável, embalagem: embalagem individual</v>
      </c>
      <c r="C143" s="14" t="str">
        <f>IF(TabelaPrincipal[[#This Row],[POSIÇÃO]]=1,TabelaPrincipal[[#This Row],[UND]],)</f>
        <v>Unidade</v>
      </c>
      <c r="D143" s="13">
        <f>IF(TabelaPrincipal[[#This Row],[POSIÇÃO]]=1,TabelaPrincipal[[#This Row],[QTD]],)</f>
        <v>20</v>
      </c>
      <c r="E143" s="13" t="str">
        <f>IF(TabelaPrincipal[[#This Row],[POSIÇÃO]]=1,TabelaPrincipal[[#This Row],[MARCA]],)</f>
        <v>Medsonda</v>
      </c>
      <c r="F143" s="15">
        <f>IF(TabelaPrincipal[[#This Row],[POSIÇÃO]]=1,TabelaPrincipal[[#This Row],[LANCE ATUAL]],)</f>
        <v>2.0299999999999998</v>
      </c>
      <c r="G143" s="16">
        <f>IF(TabelaPrincipal[[#This Row],[POSIÇÃO]]=1,TabelaPrincipal[[#This Row],[VALOR TOTAL DO LANCE]],)</f>
        <v>40.599999999999994</v>
      </c>
      <c r="H143" s="14"/>
    </row>
    <row r="144" spans="1:8" ht="89.25" x14ac:dyDescent="0.25">
      <c r="A144" s="12">
        <f>IF(TabelaPrincipal[[#This Row],[POSIÇÃO]]=1, TabelaPrincipal[[#This Row],[ITEM]],)</f>
        <v>230</v>
      </c>
      <c r="B144" s="13" t="str">
        <f>IF(TabelaPrincipal[[#This Row],[POSIÇÃO]]=1, TabelaPrincipal[[#This Row],[DESCRIÇÃO]],)</f>
        <v>Sonda    trato    digestivo,    aplicação:    oro    ou nasogástrica,    modelo:    levine,    material:    pvc, calibre: nº 16, tamanho: longa, comprimento: cerca
120   cm,   conector:   conector   padrão   c,   tampa, componentes:  ponta  distal  fechada,  c,  orifícios laterais,      esterilidade:      estéril,      descartável, embalagem: embalagem individual</v>
      </c>
      <c r="C144" s="14" t="str">
        <f>IF(TabelaPrincipal[[#This Row],[POSIÇÃO]]=1,TabelaPrincipal[[#This Row],[UND]],)</f>
        <v>Unidade</v>
      </c>
      <c r="D144" s="13">
        <f>IF(TabelaPrincipal[[#This Row],[POSIÇÃO]]=1,TabelaPrincipal[[#This Row],[QTD]],)</f>
        <v>20</v>
      </c>
      <c r="E144" s="13" t="str">
        <f>IF(TabelaPrincipal[[#This Row],[POSIÇÃO]]=1,TabelaPrincipal[[#This Row],[MARCA]],)</f>
        <v>Medsonda</v>
      </c>
      <c r="F144" s="15">
        <f>IF(TabelaPrincipal[[#This Row],[POSIÇÃO]]=1,TabelaPrincipal[[#This Row],[LANCE ATUAL]],)</f>
        <v>2.7</v>
      </c>
      <c r="G144" s="16">
        <f>IF(TabelaPrincipal[[#This Row],[POSIÇÃO]]=1,TabelaPrincipal[[#This Row],[VALOR TOTAL DO LANCE]],)</f>
        <v>54</v>
      </c>
      <c r="H144" s="14"/>
    </row>
    <row r="145" spans="1:8" ht="89.25" x14ac:dyDescent="0.25">
      <c r="A145" s="12">
        <f>IF(TabelaPrincipal[[#This Row],[POSIÇÃO]]=1, TabelaPrincipal[[#This Row],[ITEM]],)</f>
        <v>231</v>
      </c>
      <c r="B145" s="13" t="str">
        <f>IF(TabelaPrincipal[[#This Row],[POSIÇÃO]]=1, TabelaPrincipal[[#This Row],[DESCRIÇÃO]],)</f>
        <v>Sonda    trato    digestivo,    aplicação:    oro    ou nasogástrica,    modelo:    levine,    material:    pvc, calibre: nº 14, tamanho: longa, comprimento: cerca
120   cm,   conector:   conector   padrão   c,   tampa, componentes:  ponta  distal  fechada,  c,  orifícios laterais,      esterilidade:      estéril,      descartável, embalagem: embalagem individual</v>
      </c>
      <c r="C145" s="14" t="str">
        <f>IF(TabelaPrincipal[[#This Row],[POSIÇÃO]]=1,TabelaPrincipal[[#This Row],[UND]],)</f>
        <v>Unidade</v>
      </c>
      <c r="D145" s="13">
        <f>IF(TabelaPrincipal[[#This Row],[POSIÇÃO]]=1,TabelaPrincipal[[#This Row],[QTD]],)</f>
        <v>20</v>
      </c>
      <c r="E145" s="13" t="str">
        <f>IF(TabelaPrincipal[[#This Row],[POSIÇÃO]]=1,TabelaPrincipal[[#This Row],[MARCA]],)</f>
        <v>Medsonda</v>
      </c>
      <c r="F145" s="15">
        <f>IF(TabelaPrincipal[[#This Row],[POSIÇÃO]]=1,TabelaPrincipal[[#This Row],[LANCE ATUAL]],)</f>
        <v>2.99</v>
      </c>
      <c r="G145" s="16">
        <f>IF(TabelaPrincipal[[#This Row],[POSIÇÃO]]=1,TabelaPrincipal[[#This Row],[VALOR TOTAL DO LANCE]],)</f>
        <v>59.800000000000004</v>
      </c>
      <c r="H145" s="14"/>
    </row>
    <row r="146" spans="1:8" ht="89.25" x14ac:dyDescent="0.25">
      <c r="A146" s="12">
        <f>IF(TabelaPrincipal[[#This Row],[POSIÇÃO]]=1, TabelaPrincipal[[#This Row],[ITEM]],)</f>
        <v>232</v>
      </c>
      <c r="B146" s="13" t="str">
        <f>IF(TabelaPrincipal[[#This Row],[POSIÇÃO]]=1, TabelaPrincipal[[#This Row],[DESCRIÇÃO]],)</f>
        <v>Sonda    trato    digestivo,    aplicação:    oro    ou nasogástrica,  modelo:  levine,  material:  silicone, calibre: nº 12, tamanho: longa, comprimento: cerca
120   cm,   conector:   conector   padrão   c,   tampa, componentes:  ponta  distal  fechada,  c,  orifícios laterais,      esterilidade:      estéril,      descartável, embalagem: embalagem individual</v>
      </c>
      <c r="C146" s="14" t="str">
        <f>IF(TabelaPrincipal[[#This Row],[POSIÇÃO]]=1,TabelaPrincipal[[#This Row],[UND]],)</f>
        <v>Unidade</v>
      </c>
      <c r="D146" s="13">
        <f>IF(TabelaPrincipal[[#This Row],[POSIÇÃO]]=1,TabelaPrincipal[[#This Row],[QTD]],)</f>
        <v>20</v>
      </c>
      <c r="E146" s="13" t="str">
        <f>IF(TabelaPrincipal[[#This Row],[POSIÇÃO]]=1,TabelaPrincipal[[#This Row],[MARCA]],)</f>
        <v>Medsonda</v>
      </c>
      <c r="F146" s="15">
        <f>IF(TabelaPrincipal[[#This Row],[POSIÇÃO]]=1,TabelaPrincipal[[#This Row],[LANCE ATUAL]],)</f>
        <v>1.92</v>
      </c>
      <c r="G146" s="16">
        <f>IF(TabelaPrincipal[[#This Row],[POSIÇÃO]]=1,TabelaPrincipal[[#This Row],[VALOR TOTAL DO LANCE]],)</f>
        <v>38.4</v>
      </c>
      <c r="H146" s="14"/>
    </row>
    <row r="147" spans="1:8" ht="89.25" x14ac:dyDescent="0.25">
      <c r="A147" s="12">
        <f>IF(TabelaPrincipal[[#This Row],[POSIÇÃO]]=1, TabelaPrincipal[[#This Row],[ITEM]],)</f>
        <v>233</v>
      </c>
      <c r="B147" s="13" t="str">
        <f>IF(TabelaPrincipal[[#This Row],[POSIÇÃO]]=1, TabelaPrincipal[[#This Row],[DESCRIÇÃO]],)</f>
        <v>Sonda    trato    digestivo,    aplicação:    oro    ou nasogástrica,  modelo:  levine,  material:  silicone, calibre: nº 10, tamanho: longa, comprimento: cerca
120   cm,   conector:   conector   padrão   c,   tampa, componentes:  ponta  distal  fechada,  c,  orifícios laterais,      esterilidade:      estéril,      descartável, embalagem: embalagem individual</v>
      </c>
      <c r="C147" s="14" t="str">
        <f>IF(TabelaPrincipal[[#This Row],[POSIÇÃO]]=1,TabelaPrincipal[[#This Row],[UND]],)</f>
        <v>Unidade</v>
      </c>
      <c r="D147" s="13">
        <f>IF(TabelaPrincipal[[#This Row],[POSIÇÃO]]=1,TabelaPrincipal[[#This Row],[QTD]],)</f>
        <v>20</v>
      </c>
      <c r="E147" s="13" t="str">
        <f>IF(TabelaPrincipal[[#This Row],[POSIÇÃO]]=1,TabelaPrincipal[[#This Row],[MARCA]],)</f>
        <v>Medsonda</v>
      </c>
      <c r="F147" s="15">
        <f>IF(TabelaPrincipal[[#This Row],[POSIÇÃO]]=1,TabelaPrincipal[[#This Row],[LANCE ATUAL]],)</f>
        <v>1.87</v>
      </c>
      <c r="G147" s="16">
        <f>IF(TabelaPrincipal[[#This Row],[POSIÇÃO]]=1,TabelaPrincipal[[#This Row],[VALOR TOTAL DO LANCE]],)</f>
        <v>37.400000000000006</v>
      </c>
      <c r="H147" s="14"/>
    </row>
    <row r="148" spans="1:8" ht="89.25" x14ac:dyDescent="0.25">
      <c r="A148" s="12">
        <f>IF(TabelaPrincipal[[#This Row],[POSIÇÃO]]=1, TabelaPrincipal[[#This Row],[ITEM]],)</f>
        <v>234</v>
      </c>
      <c r="B148" s="13" t="str">
        <f>IF(TabelaPrincipal[[#This Row],[POSIÇÃO]]=1, TabelaPrincipal[[#This Row],[DESCRIÇÃO]],)</f>
        <v>Sonda    trato    digestivo,    aplicação:    oro    ou nasogástrica,  modelo:  levine,  material:  silicone, calibre: nº 8, tamanho: longa, comprimento: cerca
100   cm,   conector:   conector   padrão   c,   tampa, componentes:  ponta  distal  fechada,  c,  orifícios laterais,      esterilidade:      estéril,      descartável, embalagem: embalagem individual</v>
      </c>
      <c r="C148" s="14" t="str">
        <f>IF(TabelaPrincipal[[#This Row],[POSIÇÃO]]=1,TabelaPrincipal[[#This Row],[UND]],)</f>
        <v>Unidade</v>
      </c>
      <c r="D148" s="13">
        <f>IF(TabelaPrincipal[[#This Row],[POSIÇÃO]]=1,TabelaPrincipal[[#This Row],[QTD]],)</f>
        <v>20</v>
      </c>
      <c r="E148" s="13" t="str">
        <f>IF(TabelaPrincipal[[#This Row],[POSIÇÃO]]=1,TabelaPrincipal[[#This Row],[MARCA]],)</f>
        <v>Medsonda</v>
      </c>
      <c r="F148" s="15">
        <f>IF(TabelaPrincipal[[#This Row],[POSIÇÃO]]=1,TabelaPrincipal[[#This Row],[LANCE ATUAL]],)</f>
        <v>2.17</v>
      </c>
      <c r="G148" s="16">
        <f>IF(TabelaPrincipal[[#This Row],[POSIÇÃO]]=1,TabelaPrincipal[[#This Row],[VALOR TOTAL DO LANCE]],)</f>
        <v>43.4</v>
      </c>
      <c r="H148" s="14"/>
    </row>
    <row r="149" spans="1:8" ht="51" x14ac:dyDescent="0.25">
      <c r="A149" s="12">
        <f>IF(TabelaPrincipal[[#This Row],[POSIÇÃO]]=1, TabelaPrincipal[[#This Row],[ITEM]],)</f>
        <v>235</v>
      </c>
      <c r="B149" s="13" t="str">
        <f>IF(TabelaPrincipal[[#This Row],[POSIÇÃO]]=1, TabelaPrincipal[[#This Row],[DESCRIÇÃO]],)</f>
        <v>Cateter  aspiração  traqueal,  material:  pvc  atóxico flexível,   tipo   uso:   descartável,   características adicionais:   ponta   atraumática,   orifícios   distais lateralizados,  tipo  embalagem:  estéril,  embalagem individual, espessura: nº 16</v>
      </c>
      <c r="C149" s="14" t="str">
        <f>IF(TabelaPrincipal[[#This Row],[POSIÇÃO]]=1,TabelaPrincipal[[#This Row],[UND]],)</f>
        <v>Unidade</v>
      </c>
      <c r="D149" s="13">
        <f>IF(TabelaPrincipal[[#This Row],[POSIÇÃO]]=1,TabelaPrincipal[[#This Row],[QTD]],)</f>
        <v>20</v>
      </c>
      <c r="E149" s="13" t="str">
        <f>IF(TabelaPrincipal[[#This Row],[POSIÇÃO]]=1,TabelaPrincipal[[#This Row],[MARCA]],)</f>
        <v>Biosani</v>
      </c>
      <c r="F149" s="15">
        <f>IF(TabelaPrincipal[[#This Row],[POSIÇÃO]]=1,TabelaPrincipal[[#This Row],[LANCE ATUAL]],)</f>
        <v>4.41</v>
      </c>
      <c r="G149" s="16">
        <f>IF(TabelaPrincipal[[#This Row],[POSIÇÃO]]=1,TabelaPrincipal[[#This Row],[VALOR TOTAL DO LANCE]],)</f>
        <v>88.2</v>
      </c>
      <c r="H149" s="14"/>
    </row>
    <row r="150" spans="1:8" ht="51" x14ac:dyDescent="0.25">
      <c r="A150" s="12">
        <f>IF(TabelaPrincipal[[#This Row],[POSIÇÃO]]=1, TabelaPrincipal[[#This Row],[ITEM]],)</f>
        <v>236</v>
      </c>
      <c r="B150" s="13" t="str">
        <f>IF(TabelaPrincipal[[#This Row],[POSIÇÃO]]=1, TabelaPrincipal[[#This Row],[DESCRIÇÃO]],)</f>
        <v>Cateter  aspiração  traqueal,  material:  pvc  atóxico flexível,   tipo   uso:   descartável,   características adicionais:   ponta   atraumática,   orifícios   distais lateralizados,  tipo  embalagem:  estéril,  embalagem individual, espessura: nº 14</v>
      </c>
      <c r="C150" s="14" t="str">
        <f>IF(TabelaPrincipal[[#This Row],[POSIÇÃO]]=1,TabelaPrincipal[[#This Row],[UND]],)</f>
        <v>Unidade</v>
      </c>
      <c r="D150" s="13">
        <f>IF(TabelaPrincipal[[#This Row],[POSIÇÃO]]=1,TabelaPrincipal[[#This Row],[QTD]],)</f>
        <v>20</v>
      </c>
      <c r="E150" s="13" t="str">
        <f>IF(TabelaPrincipal[[#This Row],[POSIÇÃO]]=1,TabelaPrincipal[[#This Row],[MARCA]],)</f>
        <v>Biosani</v>
      </c>
      <c r="F150" s="15">
        <f>IF(TabelaPrincipal[[#This Row],[POSIÇÃO]]=1,TabelaPrincipal[[#This Row],[LANCE ATUAL]],)</f>
        <v>1.72</v>
      </c>
      <c r="G150" s="16">
        <f>IF(TabelaPrincipal[[#This Row],[POSIÇÃO]]=1,TabelaPrincipal[[#This Row],[VALOR TOTAL DO LANCE]],)</f>
        <v>34.4</v>
      </c>
      <c r="H150" s="14"/>
    </row>
    <row r="151" spans="1:8" ht="51" x14ac:dyDescent="0.25">
      <c r="A151" s="12">
        <f>IF(TabelaPrincipal[[#This Row],[POSIÇÃO]]=1, TabelaPrincipal[[#This Row],[ITEM]],)</f>
        <v>237</v>
      </c>
      <c r="B151" s="13" t="str">
        <f>IF(TabelaPrincipal[[#This Row],[POSIÇÃO]]=1, TabelaPrincipal[[#This Row],[DESCRIÇÃO]],)</f>
        <v>Cateter  aspiração  traqueal,  material:  pvc  atóxico flexível,   tipo   uso:   descartável,   características adicionais:   ponta   atraumática,   orifícios   distais lateralizados,  tipo  embalagem:  estéril,  embalagem individual, espessura: nº 12</v>
      </c>
      <c r="C151" s="14" t="str">
        <f>IF(TabelaPrincipal[[#This Row],[POSIÇÃO]]=1,TabelaPrincipal[[#This Row],[UND]],)</f>
        <v>Unidade</v>
      </c>
      <c r="D151" s="13">
        <f>IF(TabelaPrincipal[[#This Row],[POSIÇÃO]]=1,TabelaPrincipal[[#This Row],[QTD]],)</f>
        <v>20</v>
      </c>
      <c r="E151" s="13" t="str">
        <f>IF(TabelaPrincipal[[#This Row],[POSIÇÃO]]=1,TabelaPrincipal[[#This Row],[MARCA]],)</f>
        <v>Biosani</v>
      </c>
      <c r="F151" s="15">
        <f>IF(TabelaPrincipal[[#This Row],[POSIÇÃO]]=1,TabelaPrincipal[[#This Row],[LANCE ATUAL]],)</f>
        <v>1.61</v>
      </c>
      <c r="G151" s="16">
        <f>IF(TabelaPrincipal[[#This Row],[POSIÇÃO]]=1,TabelaPrincipal[[#This Row],[VALOR TOTAL DO LANCE]],)</f>
        <v>32.200000000000003</v>
      </c>
      <c r="H151" s="14"/>
    </row>
    <row r="152" spans="1:8" ht="51" x14ac:dyDescent="0.25">
      <c r="A152" s="12">
        <f>IF(TabelaPrincipal[[#This Row],[POSIÇÃO]]=1, TabelaPrincipal[[#This Row],[ITEM]],)</f>
        <v>238</v>
      </c>
      <c r="B152" s="13" t="str">
        <f>IF(TabelaPrincipal[[#This Row],[POSIÇÃO]]=1, TabelaPrincipal[[#This Row],[DESCRIÇÃO]],)</f>
        <v>Cateter  aspiração  traqueal,  material:  pvc  atóxico flexível,   tipo   uso:   descartável,   características adicionais:   ponta   atraumática,   orifícios   distais lateralizados,  tipo  embalagem:  estéril,  embalagem individual, espessura: nº 8</v>
      </c>
      <c r="C152" s="14" t="str">
        <f>IF(TabelaPrincipal[[#This Row],[POSIÇÃO]]=1,TabelaPrincipal[[#This Row],[UND]],)</f>
        <v>Unidade</v>
      </c>
      <c r="D152" s="13">
        <f>IF(TabelaPrincipal[[#This Row],[POSIÇÃO]]=1,TabelaPrincipal[[#This Row],[QTD]],)</f>
        <v>20</v>
      </c>
      <c r="E152" s="13" t="str">
        <f>IF(TabelaPrincipal[[#This Row],[POSIÇÃO]]=1,TabelaPrincipal[[#This Row],[MARCA]],)</f>
        <v>Biosani</v>
      </c>
      <c r="F152" s="15">
        <f>IF(TabelaPrincipal[[#This Row],[POSIÇÃO]]=1,TabelaPrincipal[[#This Row],[LANCE ATUAL]],)</f>
        <v>1.69</v>
      </c>
      <c r="G152" s="16">
        <f>IF(TabelaPrincipal[[#This Row],[POSIÇÃO]]=1,TabelaPrincipal[[#This Row],[VALOR TOTAL DO LANCE]],)</f>
        <v>33.799999999999997</v>
      </c>
      <c r="H152" s="14"/>
    </row>
    <row r="153" spans="1:8" ht="76.5" x14ac:dyDescent="0.25">
      <c r="A153" s="12">
        <f>IF(TabelaPrincipal[[#This Row],[POSIÇÃO]]=1, TabelaPrincipal[[#This Row],[ITEM]],)</f>
        <v>240</v>
      </c>
      <c r="B153" s="13" t="str">
        <f>IF(TabelaPrincipal[[#This Row],[POSIÇÃO]]=1, TabelaPrincipal[[#This Row],[DESCRIÇÃO]],)</f>
        <v>Cateter oxigenoterapia, material tubo: pvc flexível grau  médico,  tipo:  tipo  óculos,  pronga  silicone contorno   arredondado,   tipo   uso:   descartável, esterilidade:        estéril,        tamanho:        adulto, características adicionais: a prova de deformação e torção,2,10m, tipo adaptador: conector universal</v>
      </c>
      <c r="C153" s="14" t="str">
        <f>IF(TabelaPrincipal[[#This Row],[POSIÇÃO]]=1,TabelaPrincipal[[#This Row],[UND]],)</f>
        <v>Unidade</v>
      </c>
      <c r="D153" s="13">
        <f>IF(TabelaPrincipal[[#This Row],[POSIÇÃO]]=1,TabelaPrincipal[[#This Row],[QTD]],)</f>
        <v>200</v>
      </c>
      <c r="E153" s="13" t="str">
        <f>IF(TabelaPrincipal[[#This Row],[POSIÇÃO]]=1,TabelaPrincipal[[#This Row],[MARCA]],)</f>
        <v>Biosani</v>
      </c>
      <c r="F153" s="15">
        <f>IF(TabelaPrincipal[[#This Row],[POSIÇÃO]]=1,TabelaPrincipal[[#This Row],[LANCE ATUAL]],)</f>
        <v>4</v>
      </c>
      <c r="G153" s="16">
        <f>IF(TabelaPrincipal[[#This Row],[POSIÇÃO]]=1,TabelaPrincipal[[#This Row],[VALOR TOTAL DO LANCE]],)</f>
        <v>800</v>
      </c>
      <c r="H153" s="14"/>
    </row>
    <row r="154" spans="1:8" ht="76.5" x14ac:dyDescent="0.25">
      <c r="A154" s="12">
        <f>IF(TabelaPrincipal[[#This Row],[POSIÇÃO]]=1, TabelaPrincipal[[#This Row],[ITEM]],)</f>
        <v>241</v>
      </c>
      <c r="B154" s="13" t="str">
        <f>IF(TabelaPrincipal[[#This Row],[POSIÇÃO]]=1, TabelaPrincipal[[#This Row],[DESCRIÇÃO]],)</f>
        <v>Máscara Cirúrgica. Material: Não Tecido 100% Polipropileno. Filtro: Elemento Filtrante Interno. Eficiência: Efp Maior Que 98% E Bfe Maior Que 95%. Quantidade Camadas: Mínimo 3 Camadas. Modelo: Ajustável, Clipe Nasal. Formato: Retangular, C/ Pregas Horizontais. Cor: C/ Cor. Tamanho: Adulto. Esterilidade: Descartável.</v>
      </c>
      <c r="C154" s="14" t="str">
        <f>IF(TabelaPrincipal[[#This Row],[POSIÇÃO]]=1,TabelaPrincipal[[#This Row],[UND]],)</f>
        <v>Unidade</v>
      </c>
      <c r="D154" s="13">
        <f>IF(TabelaPrincipal[[#This Row],[POSIÇÃO]]=1,TabelaPrincipal[[#This Row],[QTD]],)</f>
        <v>1000</v>
      </c>
      <c r="E154" s="13" t="str">
        <f>IF(TabelaPrincipal[[#This Row],[POSIÇÃO]]=1,TabelaPrincipal[[#This Row],[MARCA]],)</f>
        <v>Byd</v>
      </c>
      <c r="F154" s="15">
        <f>IF(TabelaPrincipal[[#This Row],[POSIÇÃO]]=1,TabelaPrincipal[[#This Row],[LANCE ATUAL]],)</f>
        <v>0.1</v>
      </c>
      <c r="G154" s="16">
        <f>IF(TabelaPrincipal[[#This Row],[POSIÇÃO]]=1,TabelaPrincipal[[#This Row],[VALOR TOTAL DO LANCE]],)</f>
        <v>100</v>
      </c>
      <c r="H154" s="14"/>
    </row>
    <row r="155" spans="1:8" ht="76.5" x14ac:dyDescent="0.25">
      <c r="A155" s="12">
        <f>IF(TabelaPrincipal[[#This Row],[POSIÇÃO]]=1, TabelaPrincipal[[#This Row],[ITEM]],)</f>
        <v>242</v>
      </c>
      <c r="B155" s="13" t="str">
        <f>IF(TabelaPrincipal[[#This Row],[POSIÇÃO]]=1, TabelaPrincipal[[#This Row],[DESCRIÇÃO]],)</f>
        <v>Máscara Cirúrgica. Material: Não Tecido 100% Polipropileno. Filtro: Elemento Filtrante Interno. Eficiência: Efp Maior Que 98% E Bfe Maior Que 95%. Quantidade Camadas: Mínimo 3 Camadas. Modelo: Ajustável, Clipe Nasal. Formato: Retangular, C/ Pregas Horizontais. Cor: C/ Cor. Tamanho: Infantil. Esterilidade: Descartável.</v>
      </c>
      <c r="C155" s="14" t="str">
        <f>IF(TabelaPrincipal[[#This Row],[POSIÇÃO]]=1,TabelaPrincipal[[#This Row],[UND]],)</f>
        <v>Unidade</v>
      </c>
      <c r="D155" s="13">
        <f>IF(TabelaPrincipal[[#This Row],[POSIÇÃO]]=1,TabelaPrincipal[[#This Row],[QTD]],)</f>
        <v>1000</v>
      </c>
      <c r="E155" s="13" t="str">
        <f>IF(TabelaPrincipal[[#This Row],[POSIÇÃO]]=1,TabelaPrincipal[[#This Row],[MARCA]],)</f>
        <v>Protec</v>
      </c>
      <c r="F155" s="15">
        <f>IF(TabelaPrincipal[[#This Row],[POSIÇÃO]]=1,TabelaPrincipal[[#This Row],[LANCE ATUAL]],)</f>
        <v>4.9000000000000004</v>
      </c>
      <c r="G155" s="16">
        <f>IF(TabelaPrincipal[[#This Row],[POSIÇÃO]]=1,TabelaPrincipal[[#This Row],[VALOR TOTAL DO LANCE]],)</f>
        <v>4900</v>
      </c>
      <c r="H155" s="14"/>
    </row>
    <row r="156" spans="1:8" ht="76.5" x14ac:dyDescent="0.25">
      <c r="A156" s="12">
        <f>IF(TabelaPrincipal[[#This Row],[POSIÇÃO]]=1, TabelaPrincipal[[#This Row],[ITEM]],)</f>
        <v>245</v>
      </c>
      <c r="B156" s="13" t="str">
        <f>IF(TabelaPrincipal[[#This Row],[POSIÇÃO]]=1, TabelaPrincipal[[#This Row],[DESCRIÇÃO]],)</f>
        <v>Avental hospitalar. Esterilidade: Não Estéril, Descartável. Tipo: Avental / Camisola / Bata. Material: Não Tecido 100% Polipropileno - Tipo SMS. Gramatura: Cerca De 50 G/M2. Modelo Camisola: Ajustável C/ Abertura Na Frente Ou Costas. Tamanho: Adulto Médio (M).
Característica: C/ Cor, Unissex.</v>
      </c>
      <c r="C156" s="14" t="str">
        <f>IF(TabelaPrincipal[[#This Row],[POSIÇÃO]]=1,TabelaPrincipal[[#This Row],[UND]],)</f>
        <v>Unidade</v>
      </c>
      <c r="D156" s="13">
        <f>IF(TabelaPrincipal[[#This Row],[POSIÇÃO]]=1,TabelaPrincipal[[#This Row],[QTD]],)</f>
        <v>500</v>
      </c>
      <c r="E156" s="13" t="str">
        <f>IF(TabelaPrincipal[[#This Row],[POSIÇÃO]]=1,TabelaPrincipal[[#This Row],[MARCA]],)</f>
        <v>Medix</v>
      </c>
      <c r="F156" s="15">
        <f>IF(TabelaPrincipal[[#This Row],[POSIÇÃO]]=1,TabelaPrincipal[[#This Row],[LANCE ATUAL]],)</f>
        <v>4.9000000000000004</v>
      </c>
      <c r="G156" s="16">
        <f>IF(TabelaPrincipal[[#This Row],[POSIÇÃO]]=1,TabelaPrincipal[[#This Row],[VALOR TOTAL DO LANCE]],)</f>
        <v>2450</v>
      </c>
      <c r="H156" s="14"/>
    </row>
    <row r="157" spans="1:8" ht="89.25" hidden="1" x14ac:dyDescent="0.25">
      <c r="A157" s="12">
        <f>IF(TabelaPrincipal[[#This Row],[POSIÇÃO]]=1, TabelaPrincipal[[#This Row],[ITEM]],)</f>
        <v>0</v>
      </c>
      <c r="B157" s="13">
        <f>IF(TabelaPrincipal[[#This Row],[POSIÇÃO]]=1, TabelaPrincipal[[#This Row],[DESCRIÇÃO]],)</f>
        <v>0</v>
      </c>
      <c r="C157" s="14">
        <f>IF(TabelaPrincipal[[#This Row],[POSIÇÃO]]=1,TabelaPrincipal[[#This Row],[UND]],)</f>
        <v>0</v>
      </c>
      <c r="D157" s="13">
        <f>IF(TabelaPrincipal[[#This Row],[POSIÇÃO]]=1,TabelaPrincipal[[#This Row],[QTD]],)</f>
        <v>0</v>
      </c>
      <c r="E157" s="13">
        <f>IF(TabelaPrincipal[[#This Row],[POSIÇÃO]]=1,TabelaPrincipal[[#This Row],[MARCA]],)</f>
        <v>0</v>
      </c>
      <c r="F157" s="15">
        <f>IF(TabelaPrincipal[[#This Row],[POSIÇÃO]]=1,TabelaPrincipal[[#This Row],[LANCE ATUAL]],)</f>
        <v>0</v>
      </c>
      <c r="G157" s="16">
        <f>IF(TabelaPrincipal[[#This Row],[POSIÇÃO]]=1,TabelaPrincipal[[#This Row],[VALOR TOTAL DO LANCE]],)</f>
        <v>0</v>
      </c>
      <c r="H157" s="14"/>
    </row>
    <row r="158" spans="1:8" ht="63.75" hidden="1" x14ac:dyDescent="0.25">
      <c r="A158" s="12">
        <f>IF(TabelaPrincipal[[#This Row],[POSIÇÃO]]=1, TabelaPrincipal[[#This Row],[ITEM]],)</f>
        <v>0</v>
      </c>
      <c r="B158" s="13">
        <f>IF(TabelaPrincipal[[#This Row],[POSIÇÃO]]=1, TabelaPrincipal[[#This Row],[DESCRIÇÃO]],)</f>
        <v>0</v>
      </c>
      <c r="C158" s="14">
        <f>IF(TabelaPrincipal[[#This Row],[POSIÇÃO]]=1,TabelaPrincipal[[#This Row],[UND]],)</f>
        <v>0</v>
      </c>
      <c r="D158" s="13">
        <f>IF(TabelaPrincipal[[#This Row],[POSIÇÃO]]=1,TabelaPrincipal[[#This Row],[QTD]],)</f>
        <v>0</v>
      </c>
      <c r="E158" s="13">
        <f>IF(TabelaPrincipal[[#This Row],[POSIÇÃO]]=1,TabelaPrincipal[[#This Row],[MARCA]],)</f>
        <v>0</v>
      </c>
      <c r="F158" s="15">
        <f>IF(TabelaPrincipal[[#This Row],[POSIÇÃO]]=1,TabelaPrincipal[[#This Row],[LANCE ATUAL]],)</f>
        <v>0</v>
      </c>
      <c r="G158" s="16">
        <f>IF(TabelaPrincipal[[#This Row],[POSIÇÃO]]=1,TabelaPrincipal[[#This Row],[VALOR TOTAL DO LANCE]],)</f>
        <v>0</v>
      </c>
      <c r="H158" s="14"/>
    </row>
    <row r="159" spans="1:8" ht="25.5" hidden="1" x14ac:dyDescent="0.25">
      <c r="A159" s="12">
        <f>IF(TabelaPrincipal[[#This Row],[POSIÇÃO]]=1, TabelaPrincipal[[#This Row],[ITEM]],)</f>
        <v>0</v>
      </c>
      <c r="B159" s="13">
        <f>IF(TabelaPrincipal[[#This Row],[POSIÇÃO]]=1, TabelaPrincipal[[#This Row],[DESCRIÇÃO]],)</f>
        <v>0</v>
      </c>
      <c r="C159" s="14">
        <f>IF(TabelaPrincipal[[#This Row],[POSIÇÃO]]=1,TabelaPrincipal[[#This Row],[UND]],)</f>
        <v>0</v>
      </c>
      <c r="D159" s="13">
        <f>IF(TabelaPrincipal[[#This Row],[POSIÇÃO]]=1,TabelaPrincipal[[#This Row],[QTD]],)</f>
        <v>0</v>
      </c>
      <c r="E159" s="13">
        <f>IF(TabelaPrincipal[[#This Row],[POSIÇÃO]]=1,TabelaPrincipal[[#This Row],[MARCA]],)</f>
        <v>0</v>
      </c>
      <c r="F159" s="15">
        <f>IF(TabelaPrincipal[[#This Row],[POSIÇÃO]]=1,TabelaPrincipal[[#This Row],[LANCE ATUAL]],)</f>
        <v>0</v>
      </c>
      <c r="G159" s="16">
        <f>IF(TabelaPrincipal[[#This Row],[POSIÇÃO]]=1,TabelaPrincipal[[#This Row],[VALOR TOTAL DO LANCE]],)</f>
        <v>0</v>
      </c>
      <c r="H159" s="14"/>
    </row>
    <row r="160" spans="1:8" ht="127.5" hidden="1" x14ac:dyDescent="0.25">
      <c r="A160" s="12">
        <f>IF(TabelaPrincipal[[#This Row],[POSIÇÃO]]=1, TabelaPrincipal[[#This Row],[ITEM]],)</f>
        <v>0</v>
      </c>
      <c r="B160" s="13">
        <f>IF(TabelaPrincipal[[#This Row],[POSIÇÃO]]=1, TabelaPrincipal[[#This Row],[DESCRIÇÃO]],)</f>
        <v>0</v>
      </c>
      <c r="C160" s="14">
        <f>IF(TabelaPrincipal[[#This Row],[POSIÇÃO]]=1,TabelaPrincipal[[#This Row],[UND]],)</f>
        <v>0</v>
      </c>
      <c r="D160" s="13">
        <f>IF(TabelaPrincipal[[#This Row],[POSIÇÃO]]=1,TabelaPrincipal[[#This Row],[QTD]],)</f>
        <v>0</v>
      </c>
      <c r="E160" s="13">
        <f>IF(TabelaPrincipal[[#This Row],[POSIÇÃO]]=1,TabelaPrincipal[[#This Row],[MARCA]],)</f>
        <v>0</v>
      </c>
      <c r="F160" s="15">
        <f>IF(TabelaPrincipal[[#This Row],[POSIÇÃO]]=1,TabelaPrincipal[[#This Row],[LANCE ATUAL]],)</f>
        <v>0</v>
      </c>
      <c r="G160" s="16">
        <f>IF(TabelaPrincipal[[#This Row],[POSIÇÃO]]=1,TabelaPrincipal[[#This Row],[VALOR TOTAL DO LANCE]],)</f>
        <v>0</v>
      </c>
      <c r="H160" s="14"/>
    </row>
    <row r="161" spans="1:8" ht="25.5" hidden="1" x14ac:dyDescent="0.25">
      <c r="A161" s="12">
        <f>IF(TabelaPrincipal[[#This Row],[POSIÇÃO]]=1, TabelaPrincipal[[#This Row],[ITEM]],)</f>
        <v>0</v>
      </c>
      <c r="B161" s="13">
        <f>IF(TabelaPrincipal[[#This Row],[POSIÇÃO]]=1, TabelaPrincipal[[#This Row],[DESCRIÇÃO]],)</f>
        <v>0</v>
      </c>
      <c r="C161" s="14">
        <f>IF(TabelaPrincipal[[#This Row],[POSIÇÃO]]=1,TabelaPrincipal[[#This Row],[UND]],)</f>
        <v>0</v>
      </c>
      <c r="D161" s="13">
        <f>IF(TabelaPrincipal[[#This Row],[POSIÇÃO]]=1,TabelaPrincipal[[#This Row],[QTD]],)</f>
        <v>0</v>
      </c>
      <c r="E161" s="13">
        <f>IF(TabelaPrincipal[[#This Row],[POSIÇÃO]]=1,TabelaPrincipal[[#This Row],[MARCA]],)</f>
        <v>0</v>
      </c>
      <c r="F161" s="15">
        <f>IF(TabelaPrincipal[[#This Row],[POSIÇÃO]]=1,TabelaPrincipal[[#This Row],[LANCE ATUAL]],)</f>
        <v>0</v>
      </c>
      <c r="G161" s="16">
        <f>IF(TabelaPrincipal[[#This Row],[POSIÇÃO]]=1,TabelaPrincipal[[#This Row],[VALOR TOTAL DO LANCE]],)</f>
        <v>0</v>
      </c>
      <c r="H161" s="14"/>
    </row>
    <row r="162" spans="1:8" ht="25.5" hidden="1" x14ac:dyDescent="0.25">
      <c r="A162" s="12">
        <f>IF(TabelaPrincipal[[#This Row],[POSIÇÃO]]=1, TabelaPrincipal[[#This Row],[ITEM]],)</f>
        <v>0</v>
      </c>
      <c r="B162" s="13">
        <f>IF(TabelaPrincipal[[#This Row],[POSIÇÃO]]=1, TabelaPrincipal[[#This Row],[DESCRIÇÃO]],)</f>
        <v>0</v>
      </c>
      <c r="C162" s="14">
        <f>IF(TabelaPrincipal[[#This Row],[POSIÇÃO]]=1,TabelaPrincipal[[#This Row],[UND]],)</f>
        <v>0</v>
      </c>
      <c r="D162" s="13">
        <f>IF(TabelaPrincipal[[#This Row],[POSIÇÃO]]=1,TabelaPrincipal[[#This Row],[QTD]],)</f>
        <v>0</v>
      </c>
      <c r="E162" s="13">
        <f>IF(TabelaPrincipal[[#This Row],[POSIÇÃO]]=1,TabelaPrincipal[[#This Row],[MARCA]],)</f>
        <v>0</v>
      </c>
      <c r="F162" s="15">
        <f>IF(TabelaPrincipal[[#This Row],[POSIÇÃO]]=1,TabelaPrincipal[[#This Row],[LANCE ATUAL]],)</f>
        <v>0</v>
      </c>
      <c r="G162" s="16">
        <f>IF(TabelaPrincipal[[#This Row],[POSIÇÃO]]=1,TabelaPrincipal[[#This Row],[VALOR TOTAL DO LANCE]],)</f>
        <v>0</v>
      </c>
      <c r="H162" s="14"/>
    </row>
    <row r="163" spans="1:8" hidden="1" x14ac:dyDescent="0.25">
      <c r="A163" s="12">
        <f>IF(TabelaPrincipal[[#This Row],[POSIÇÃO]]=1, TabelaPrincipal[[#This Row],[ITEM]],)</f>
        <v>0</v>
      </c>
      <c r="B163" s="13">
        <f>IF(TabelaPrincipal[[#This Row],[POSIÇÃO]]=1, TabelaPrincipal[[#This Row],[DESCRIÇÃO]],)</f>
        <v>0</v>
      </c>
      <c r="C163" s="14">
        <f>IF(TabelaPrincipal[[#This Row],[POSIÇÃO]]=1,TabelaPrincipal[[#This Row],[UND]],)</f>
        <v>0</v>
      </c>
      <c r="D163" s="13">
        <f>IF(TabelaPrincipal[[#This Row],[POSIÇÃO]]=1,TabelaPrincipal[[#This Row],[QTD]],)</f>
        <v>0</v>
      </c>
      <c r="E163" s="13">
        <f>IF(TabelaPrincipal[[#This Row],[POSIÇÃO]]=1,TabelaPrincipal[[#This Row],[MARCA]],)</f>
        <v>0</v>
      </c>
      <c r="F163" s="15">
        <f>IF(TabelaPrincipal[[#This Row],[POSIÇÃO]]=1,TabelaPrincipal[[#This Row],[LANCE ATUAL]],)</f>
        <v>0</v>
      </c>
      <c r="G163" s="16">
        <f>IF(TabelaPrincipal[[#This Row],[POSIÇÃO]]=1,TabelaPrincipal[[#This Row],[VALOR TOTAL DO LANCE]],)</f>
        <v>0</v>
      </c>
      <c r="H163" s="14"/>
    </row>
    <row r="164" spans="1:8" hidden="1" x14ac:dyDescent="0.25">
      <c r="A164" s="12">
        <f>IF(TabelaPrincipal[[#This Row],[POSIÇÃO]]=1, TabelaPrincipal[[#This Row],[ITEM]],)</f>
        <v>0</v>
      </c>
      <c r="B164" s="13">
        <f>IF(TabelaPrincipal[[#This Row],[POSIÇÃO]]=1, TabelaPrincipal[[#This Row],[DESCRIÇÃO]],)</f>
        <v>0</v>
      </c>
      <c r="C164" s="14">
        <f>IF(TabelaPrincipal[[#This Row],[POSIÇÃO]]=1,TabelaPrincipal[[#This Row],[UND]],)</f>
        <v>0</v>
      </c>
      <c r="D164" s="13">
        <f>IF(TabelaPrincipal[[#This Row],[POSIÇÃO]]=1,TabelaPrincipal[[#This Row],[QTD]],)</f>
        <v>0</v>
      </c>
      <c r="E164" s="13">
        <f>IF(TabelaPrincipal[[#This Row],[POSIÇÃO]]=1,TabelaPrincipal[[#This Row],[MARCA]],)</f>
        <v>0</v>
      </c>
      <c r="F164" s="15">
        <f>IF(TabelaPrincipal[[#This Row],[POSIÇÃO]]=1,TabelaPrincipal[[#This Row],[LANCE ATUAL]],)</f>
        <v>0</v>
      </c>
      <c r="G164" s="16">
        <f>IF(TabelaPrincipal[[#This Row],[POSIÇÃO]]=1,TabelaPrincipal[[#This Row],[VALOR TOTAL DO LANCE]],)</f>
        <v>0</v>
      </c>
      <c r="H164" s="14"/>
    </row>
    <row r="165" spans="1:8" hidden="1" x14ac:dyDescent="0.25">
      <c r="A165" s="12">
        <f>IF(TabelaPrincipal[[#This Row],[POSIÇÃO]]=1, TabelaPrincipal[[#This Row],[ITEM]],)</f>
        <v>0</v>
      </c>
      <c r="B165" s="13">
        <f>IF(TabelaPrincipal[[#This Row],[POSIÇÃO]]=1, TabelaPrincipal[[#This Row],[DESCRIÇÃO]],)</f>
        <v>0</v>
      </c>
      <c r="C165" s="14">
        <f>IF(TabelaPrincipal[[#This Row],[POSIÇÃO]]=1,TabelaPrincipal[[#This Row],[UND]],)</f>
        <v>0</v>
      </c>
      <c r="D165" s="13">
        <f>IF(TabelaPrincipal[[#This Row],[POSIÇÃO]]=1,TabelaPrincipal[[#This Row],[QTD]],)</f>
        <v>0</v>
      </c>
      <c r="E165" s="13">
        <f>IF(TabelaPrincipal[[#This Row],[POSIÇÃO]]=1,TabelaPrincipal[[#This Row],[MARCA]],)</f>
        <v>0</v>
      </c>
      <c r="F165" s="15">
        <f>IF(TabelaPrincipal[[#This Row],[POSIÇÃO]]=1,TabelaPrincipal[[#This Row],[LANCE ATUAL]],)</f>
        <v>0</v>
      </c>
      <c r="G165" s="16">
        <f>IF(TabelaPrincipal[[#This Row],[POSIÇÃO]]=1,TabelaPrincipal[[#This Row],[VALOR TOTAL DO LANCE]],)</f>
        <v>0</v>
      </c>
      <c r="H165" s="14"/>
    </row>
    <row r="166" spans="1:8" hidden="1" x14ac:dyDescent="0.25">
      <c r="A166" s="12">
        <f>IF(TabelaPrincipal[[#This Row],[POSIÇÃO]]=1, TabelaPrincipal[[#This Row],[ITEM]],)</f>
        <v>0</v>
      </c>
      <c r="B166" s="13">
        <f>IF(TabelaPrincipal[[#This Row],[POSIÇÃO]]=1, TabelaPrincipal[[#This Row],[DESCRIÇÃO]],)</f>
        <v>0</v>
      </c>
      <c r="C166" s="14">
        <f>IF(TabelaPrincipal[[#This Row],[POSIÇÃO]]=1,TabelaPrincipal[[#This Row],[UND]],)</f>
        <v>0</v>
      </c>
      <c r="D166" s="13">
        <f>IF(TabelaPrincipal[[#This Row],[POSIÇÃO]]=1,TabelaPrincipal[[#This Row],[QTD]],)</f>
        <v>0</v>
      </c>
      <c r="E166" s="13">
        <f>IF(TabelaPrincipal[[#This Row],[POSIÇÃO]]=1,TabelaPrincipal[[#This Row],[MARCA]],)</f>
        <v>0</v>
      </c>
      <c r="F166" s="15">
        <f>IF(TabelaPrincipal[[#This Row],[POSIÇÃO]]=1,TabelaPrincipal[[#This Row],[LANCE ATUAL]],)</f>
        <v>0</v>
      </c>
      <c r="G166" s="16">
        <f>IF(TabelaPrincipal[[#This Row],[POSIÇÃO]]=1,TabelaPrincipal[[#This Row],[VALOR TOTAL DO LANCE]],)</f>
        <v>0</v>
      </c>
      <c r="H166" s="14"/>
    </row>
    <row r="167" spans="1:8" hidden="1" x14ac:dyDescent="0.25">
      <c r="A167" s="12">
        <f>IF(TabelaPrincipal[[#This Row],[POSIÇÃO]]=1, TabelaPrincipal[[#This Row],[ITEM]],)</f>
        <v>0</v>
      </c>
      <c r="B167" s="13">
        <f>IF(TabelaPrincipal[[#This Row],[POSIÇÃO]]=1, TabelaPrincipal[[#This Row],[DESCRIÇÃO]],)</f>
        <v>0</v>
      </c>
      <c r="C167" s="14">
        <f>IF(TabelaPrincipal[[#This Row],[POSIÇÃO]]=1,TabelaPrincipal[[#This Row],[UND]],)</f>
        <v>0</v>
      </c>
      <c r="D167" s="13">
        <f>IF(TabelaPrincipal[[#This Row],[POSIÇÃO]]=1,TabelaPrincipal[[#This Row],[QTD]],)</f>
        <v>0</v>
      </c>
      <c r="E167" s="13">
        <f>IF(TabelaPrincipal[[#This Row],[POSIÇÃO]]=1,TabelaPrincipal[[#This Row],[MARCA]],)</f>
        <v>0</v>
      </c>
      <c r="F167" s="15">
        <f>IF(TabelaPrincipal[[#This Row],[POSIÇÃO]]=1,TabelaPrincipal[[#This Row],[LANCE ATUAL]],)</f>
        <v>0</v>
      </c>
      <c r="G167" s="16">
        <f>IF(TabelaPrincipal[[#This Row],[POSIÇÃO]]=1,TabelaPrincipal[[#This Row],[VALOR TOTAL DO LANCE]],)</f>
        <v>0</v>
      </c>
      <c r="H167" s="14"/>
    </row>
    <row r="168" spans="1:8" ht="25.5" hidden="1" x14ac:dyDescent="0.25">
      <c r="A168" s="12">
        <f>IF(TabelaPrincipal[[#This Row],[POSIÇÃO]]=1, TabelaPrincipal[[#This Row],[ITEM]],)</f>
        <v>0</v>
      </c>
      <c r="B168" s="13">
        <f>IF(TabelaPrincipal[[#This Row],[POSIÇÃO]]=1, TabelaPrincipal[[#This Row],[DESCRIÇÃO]],)</f>
        <v>0</v>
      </c>
      <c r="C168" s="14">
        <f>IF(TabelaPrincipal[[#This Row],[POSIÇÃO]]=1,TabelaPrincipal[[#This Row],[UND]],)</f>
        <v>0</v>
      </c>
      <c r="D168" s="13">
        <f>IF(TabelaPrincipal[[#This Row],[POSIÇÃO]]=1,TabelaPrincipal[[#This Row],[QTD]],)</f>
        <v>0</v>
      </c>
      <c r="E168" s="13">
        <f>IF(TabelaPrincipal[[#This Row],[POSIÇÃO]]=1,TabelaPrincipal[[#This Row],[MARCA]],)</f>
        <v>0</v>
      </c>
      <c r="F168" s="15">
        <f>IF(TabelaPrincipal[[#This Row],[POSIÇÃO]]=1,TabelaPrincipal[[#This Row],[LANCE ATUAL]],)</f>
        <v>0</v>
      </c>
      <c r="G168" s="16">
        <f>IF(TabelaPrincipal[[#This Row],[POSIÇÃO]]=1,TabelaPrincipal[[#This Row],[VALOR TOTAL DO LANCE]],)</f>
        <v>0</v>
      </c>
      <c r="H168" s="14"/>
    </row>
    <row r="169" spans="1:8" ht="25.5" hidden="1" x14ac:dyDescent="0.25">
      <c r="A169" s="12">
        <f>IF(TabelaPrincipal[[#This Row],[POSIÇÃO]]=1, TabelaPrincipal[[#This Row],[ITEM]],)</f>
        <v>0</v>
      </c>
      <c r="B169" s="13">
        <f>IF(TabelaPrincipal[[#This Row],[POSIÇÃO]]=1, TabelaPrincipal[[#This Row],[DESCRIÇÃO]],)</f>
        <v>0</v>
      </c>
      <c r="C169" s="14">
        <f>IF(TabelaPrincipal[[#This Row],[POSIÇÃO]]=1,TabelaPrincipal[[#This Row],[UND]],)</f>
        <v>0</v>
      </c>
      <c r="D169" s="13">
        <f>IF(TabelaPrincipal[[#This Row],[POSIÇÃO]]=1,TabelaPrincipal[[#This Row],[QTD]],)</f>
        <v>0</v>
      </c>
      <c r="E169" s="13">
        <f>IF(TabelaPrincipal[[#This Row],[POSIÇÃO]]=1,TabelaPrincipal[[#This Row],[MARCA]],)</f>
        <v>0</v>
      </c>
      <c r="F169" s="15">
        <f>IF(TabelaPrincipal[[#This Row],[POSIÇÃO]]=1,TabelaPrincipal[[#This Row],[LANCE ATUAL]],)</f>
        <v>0</v>
      </c>
      <c r="G169" s="16">
        <f>IF(TabelaPrincipal[[#This Row],[POSIÇÃO]]=1,TabelaPrincipal[[#This Row],[VALOR TOTAL DO LANCE]],)</f>
        <v>0</v>
      </c>
      <c r="H169" s="14"/>
    </row>
    <row r="170" spans="1:8" ht="25.5" hidden="1" x14ac:dyDescent="0.25">
      <c r="A170" s="12">
        <f>IF(TabelaPrincipal[[#This Row],[POSIÇÃO]]=1, TabelaPrincipal[[#This Row],[ITEM]],)</f>
        <v>0</v>
      </c>
      <c r="B170" s="13">
        <f>IF(TabelaPrincipal[[#This Row],[POSIÇÃO]]=1, TabelaPrincipal[[#This Row],[DESCRIÇÃO]],)</f>
        <v>0</v>
      </c>
      <c r="C170" s="14">
        <f>IF(TabelaPrincipal[[#This Row],[POSIÇÃO]]=1,TabelaPrincipal[[#This Row],[UND]],)</f>
        <v>0</v>
      </c>
      <c r="D170" s="13">
        <f>IF(TabelaPrincipal[[#This Row],[POSIÇÃO]]=1,TabelaPrincipal[[#This Row],[QTD]],)</f>
        <v>0</v>
      </c>
      <c r="E170" s="13">
        <f>IF(TabelaPrincipal[[#This Row],[POSIÇÃO]]=1,TabelaPrincipal[[#This Row],[MARCA]],)</f>
        <v>0</v>
      </c>
      <c r="F170" s="15">
        <f>IF(TabelaPrincipal[[#This Row],[POSIÇÃO]]=1,TabelaPrincipal[[#This Row],[LANCE ATUAL]],)</f>
        <v>0</v>
      </c>
      <c r="G170" s="16">
        <f>IF(TabelaPrincipal[[#This Row],[POSIÇÃO]]=1,TabelaPrincipal[[#This Row],[VALOR TOTAL DO LANCE]],)</f>
        <v>0</v>
      </c>
      <c r="H170" s="14"/>
    </row>
    <row r="171" spans="1:8" hidden="1" x14ac:dyDescent="0.25">
      <c r="A171" s="12">
        <f>IF(TabelaPrincipal[[#This Row],[POSIÇÃO]]=1, TabelaPrincipal[[#This Row],[ITEM]],)</f>
        <v>0</v>
      </c>
      <c r="B171" s="13">
        <f>IF(TabelaPrincipal[[#This Row],[POSIÇÃO]]=1, TabelaPrincipal[[#This Row],[DESCRIÇÃO]],)</f>
        <v>0</v>
      </c>
      <c r="C171" s="14">
        <f>IF(TabelaPrincipal[[#This Row],[POSIÇÃO]]=1,TabelaPrincipal[[#This Row],[UND]],)</f>
        <v>0</v>
      </c>
      <c r="D171" s="13">
        <f>IF(TabelaPrincipal[[#This Row],[POSIÇÃO]]=1,TabelaPrincipal[[#This Row],[QTD]],)</f>
        <v>0</v>
      </c>
      <c r="E171" s="13">
        <f>IF(TabelaPrincipal[[#This Row],[POSIÇÃO]]=1,TabelaPrincipal[[#This Row],[MARCA]],)</f>
        <v>0</v>
      </c>
      <c r="F171" s="15">
        <f>IF(TabelaPrincipal[[#This Row],[POSIÇÃO]]=1,TabelaPrincipal[[#This Row],[LANCE ATUAL]],)</f>
        <v>0</v>
      </c>
      <c r="G171" s="16">
        <f>IF(TabelaPrincipal[[#This Row],[POSIÇÃO]]=1,TabelaPrincipal[[#This Row],[VALOR TOTAL DO LANCE]],)</f>
        <v>0</v>
      </c>
      <c r="H171" s="14"/>
    </row>
    <row r="172" spans="1:8" x14ac:dyDescent="0.25">
      <c r="A172" s="12">
        <f>IF(TabelaPrincipal[[#This Row],[POSIÇÃO]]=1, TabelaPrincipal[[#This Row],[ITEM]],)</f>
        <v>416</v>
      </c>
      <c r="B172" s="13" t="str">
        <f>IF(TabelaPrincipal[[#This Row],[POSIÇÃO]]=1, TabelaPrincipal[[#This Row],[DESCRIÇÃO]],)</f>
        <v>Cloreto de potássio 2,56 mEq/mL (19,1%) solução injetável</v>
      </c>
      <c r="C172" s="14" t="str">
        <f>IF(TabelaPrincipal[[#This Row],[POSIÇÃO]]=1,TabelaPrincipal[[#This Row],[UND]],)</f>
        <v>Ampola 10 ml</v>
      </c>
      <c r="D172" s="13">
        <f>IF(TabelaPrincipal[[#This Row],[POSIÇÃO]]=1,TabelaPrincipal[[#This Row],[QTD]],)</f>
        <v>100</v>
      </c>
      <c r="E172" s="13" t="str">
        <f>IF(TabelaPrincipal[[#This Row],[POSIÇÃO]]=1,TabelaPrincipal[[#This Row],[MARCA]],)</f>
        <v>Isofarma</v>
      </c>
      <c r="F172" s="15">
        <f>IF(TabelaPrincipal[[#This Row],[POSIÇÃO]]=1,TabelaPrincipal[[#This Row],[LANCE ATUAL]],)</f>
        <v>1.27</v>
      </c>
      <c r="G172" s="16">
        <f>IF(TabelaPrincipal[[#This Row],[POSIÇÃO]]=1,TabelaPrincipal[[#This Row],[VALOR TOTAL DO LANCE]],)</f>
        <v>127</v>
      </c>
      <c r="H172" s="14"/>
    </row>
    <row r="173" spans="1:8" x14ac:dyDescent="0.25">
      <c r="A173" s="12">
        <f>IF(TabelaPrincipal[[#This Row],[POSIÇÃO]]=1, TabelaPrincipal[[#This Row],[ITEM]],)</f>
        <v>417</v>
      </c>
      <c r="B173" s="13" t="str">
        <f>IF(TabelaPrincipal[[#This Row],[POSIÇÃO]]=1, TabelaPrincipal[[#This Row],[DESCRIÇÃO]],)</f>
        <v>Cloreto de sódio 3,4 mEq/mL (20%) solução injetável</v>
      </c>
      <c r="C173" s="14" t="str">
        <f>IF(TabelaPrincipal[[#This Row],[POSIÇÃO]]=1,TabelaPrincipal[[#This Row],[UND]],)</f>
        <v>Ampola 10 ml</v>
      </c>
      <c r="D173" s="13">
        <f>IF(TabelaPrincipal[[#This Row],[POSIÇÃO]]=1,TabelaPrincipal[[#This Row],[QTD]],)</f>
        <v>100</v>
      </c>
      <c r="E173" s="13" t="str">
        <f>IF(TabelaPrincipal[[#This Row],[POSIÇÃO]]=1,TabelaPrincipal[[#This Row],[MARCA]],)</f>
        <v>Isofarma</v>
      </c>
      <c r="F173" s="15">
        <f>IF(TabelaPrincipal[[#This Row],[POSIÇÃO]]=1,TabelaPrincipal[[#This Row],[LANCE ATUAL]],)</f>
        <v>1.39</v>
      </c>
      <c r="G173" s="16">
        <f>IF(TabelaPrincipal[[#This Row],[POSIÇÃO]]=1,TabelaPrincipal[[#This Row],[VALOR TOTAL DO LANCE]],)</f>
        <v>139</v>
      </c>
      <c r="H173" s="14"/>
    </row>
    <row r="174" spans="1:8" hidden="1" x14ac:dyDescent="0.25">
      <c r="A174" s="12">
        <f>IF(TabelaPrincipal[[#This Row],[POSIÇÃO]]=1, TabelaPrincipal[[#This Row],[ITEM]],)</f>
        <v>0</v>
      </c>
      <c r="B174" s="13">
        <f>IF(TabelaPrincipal[[#This Row],[POSIÇÃO]]=1, TabelaPrincipal[[#This Row],[DESCRIÇÃO]],)</f>
        <v>0</v>
      </c>
      <c r="C174" s="14">
        <f>IF(TabelaPrincipal[[#This Row],[POSIÇÃO]]=1,TabelaPrincipal[[#This Row],[UND]],)</f>
        <v>0</v>
      </c>
      <c r="D174" s="13">
        <f>IF(TabelaPrincipal[[#This Row],[POSIÇÃO]]=1,TabelaPrincipal[[#This Row],[QTD]],)</f>
        <v>0</v>
      </c>
      <c r="E174" s="13">
        <f>IF(TabelaPrincipal[[#This Row],[POSIÇÃO]]=1,TabelaPrincipal[[#This Row],[MARCA]],)</f>
        <v>0</v>
      </c>
      <c r="F174" s="15">
        <f>IF(TabelaPrincipal[[#This Row],[POSIÇÃO]]=1,TabelaPrincipal[[#This Row],[LANCE ATUAL]],)</f>
        <v>0</v>
      </c>
      <c r="G174" s="16">
        <f>IF(TabelaPrincipal[[#This Row],[POSIÇÃO]]=1,TabelaPrincipal[[#This Row],[VALOR TOTAL DO LANCE]],)</f>
        <v>0</v>
      </c>
      <c r="H174" s="14"/>
    </row>
    <row r="175" spans="1:8" hidden="1" x14ac:dyDescent="0.25">
      <c r="A175" s="12">
        <f>IF(TabelaPrincipal[[#This Row],[POSIÇÃO]]=1, TabelaPrincipal[[#This Row],[ITEM]],)</f>
        <v>0</v>
      </c>
      <c r="B175" s="13">
        <f>IF(TabelaPrincipal[[#This Row],[POSIÇÃO]]=1, TabelaPrincipal[[#This Row],[DESCRIÇÃO]],)</f>
        <v>0</v>
      </c>
      <c r="C175" s="14">
        <f>IF(TabelaPrincipal[[#This Row],[POSIÇÃO]]=1,TabelaPrincipal[[#This Row],[UND]],)</f>
        <v>0</v>
      </c>
      <c r="D175" s="13">
        <f>IF(TabelaPrincipal[[#This Row],[POSIÇÃO]]=1,TabelaPrincipal[[#This Row],[QTD]],)</f>
        <v>0</v>
      </c>
      <c r="E175" s="13">
        <f>IF(TabelaPrincipal[[#This Row],[POSIÇÃO]]=1,TabelaPrincipal[[#This Row],[MARCA]],)</f>
        <v>0</v>
      </c>
      <c r="F175" s="15">
        <f>IF(TabelaPrincipal[[#This Row],[POSIÇÃO]]=1,TabelaPrincipal[[#This Row],[LANCE ATUAL]],)</f>
        <v>0</v>
      </c>
      <c r="G175" s="16">
        <f>IF(TabelaPrincipal[[#This Row],[POSIÇÃO]]=1,TabelaPrincipal[[#This Row],[VALOR TOTAL DO LANCE]],)</f>
        <v>0</v>
      </c>
      <c r="H175" s="14"/>
    </row>
    <row r="176" spans="1:8" ht="38.25" hidden="1" x14ac:dyDescent="0.25">
      <c r="A176" s="12">
        <f>IF(TabelaPrincipal[[#This Row],[POSIÇÃO]]=1, TabelaPrincipal[[#This Row],[ITEM]],)</f>
        <v>0</v>
      </c>
      <c r="B176" s="13">
        <f>IF(TabelaPrincipal[[#This Row],[POSIÇÃO]]=1, TabelaPrincipal[[#This Row],[DESCRIÇÃO]],)</f>
        <v>0</v>
      </c>
      <c r="C176" s="14">
        <f>IF(TabelaPrincipal[[#This Row],[POSIÇÃO]]=1,TabelaPrincipal[[#This Row],[UND]],)</f>
        <v>0</v>
      </c>
      <c r="D176" s="13">
        <f>IF(TabelaPrincipal[[#This Row],[POSIÇÃO]]=1,TabelaPrincipal[[#This Row],[QTD]],)</f>
        <v>0</v>
      </c>
      <c r="E176" s="13">
        <f>IF(TabelaPrincipal[[#This Row],[POSIÇÃO]]=1,TabelaPrincipal[[#This Row],[MARCA]],)</f>
        <v>0</v>
      </c>
      <c r="F176" s="15">
        <f>IF(TabelaPrincipal[[#This Row],[POSIÇÃO]]=1,TabelaPrincipal[[#This Row],[LANCE ATUAL]],)</f>
        <v>0</v>
      </c>
      <c r="G176" s="16">
        <f>IF(TabelaPrincipal[[#This Row],[POSIÇÃO]]=1,TabelaPrincipal[[#This Row],[VALOR TOTAL DO LANCE]],)</f>
        <v>0</v>
      </c>
      <c r="H176" s="14"/>
    </row>
    <row r="177" spans="1:8" ht="25.5" hidden="1" x14ac:dyDescent="0.25">
      <c r="A177" s="12">
        <f>IF(TabelaPrincipal[[#This Row],[POSIÇÃO]]=1, TabelaPrincipal[[#This Row],[ITEM]],)</f>
        <v>0</v>
      </c>
      <c r="B177" s="13">
        <f>IF(TabelaPrincipal[[#This Row],[POSIÇÃO]]=1, TabelaPrincipal[[#This Row],[DESCRIÇÃO]],)</f>
        <v>0</v>
      </c>
      <c r="C177" s="14">
        <f>IF(TabelaPrincipal[[#This Row],[POSIÇÃO]]=1,TabelaPrincipal[[#This Row],[UND]],)</f>
        <v>0</v>
      </c>
      <c r="D177" s="13">
        <f>IF(TabelaPrincipal[[#This Row],[POSIÇÃO]]=1,TabelaPrincipal[[#This Row],[QTD]],)</f>
        <v>0</v>
      </c>
      <c r="E177" s="13">
        <f>IF(TabelaPrincipal[[#This Row],[POSIÇÃO]]=1,TabelaPrincipal[[#This Row],[MARCA]],)</f>
        <v>0</v>
      </c>
      <c r="F177" s="15">
        <f>IF(TabelaPrincipal[[#This Row],[POSIÇÃO]]=1,TabelaPrincipal[[#This Row],[LANCE ATUAL]],)</f>
        <v>0</v>
      </c>
      <c r="G177" s="16">
        <f>IF(TabelaPrincipal[[#This Row],[POSIÇÃO]]=1,TabelaPrincipal[[#This Row],[VALOR TOTAL DO LANCE]],)</f>
        <v>0</v>
      </c>
      <c r="H177" s="14"/>
    </row>
    <row r="178" spans="1:8" hidden="1" x14ac:dyDescent="0.25">
      <c r="A178" s="12">
        <f>IF(TabelaPrincipal[[#This Row],[POSIÇÃO]]=1, TabelaPrincipal[[#This Row],[ITEM]],)</f>
        <v>0</v>
      </c>
      <c r="B178" s="13">
        <f>IF(TabelaPrincipal[[#This Row],[POSIÇÃO]]=1, TabelaPrincipal[[#This Row],[DESCRIÇÃO]],)</f>
        <v>0</v>
      </c>
      <c r="C178" s="14">
        <f>IF(TabelaPrincipal[[#This Row],[POSIÇÃO]]=1,TabelaPrincipal[[#This Row],[UND]],)</f>
        <v>0</v>
      </c>
      <c r="D178" s="13">
        <f>IF(TabelaPrincipal[[#This Row],[POSIÇÃO]]=1,TabelaPrincipal[[#This Row],[QTD]],)</f>
        <v>0</v>
      </c>
      <c r="E178" s="13">
        <f>IF(TabelaPrincipal[[#This Row],[POSIÇÃO]]=1,TabelaPrincipal[[#This Row],[MARCA]],)</f>
        <v>0</v>
      </c>
      <c r="F178" s="15">
        <f>IF(TabelaPrincipal[[#This Row],[POSIÇÃO]]=1,TabelaPrincipal[[#This Row],[LANCE ATUAL]],)</f>
        <v>0</v>
      </c>
      <c r="G178" s="16">
        <f>IF(TabelaPrincipal[[#This Row],[POSIÇÃO]]=1,TabelaPrincipal[[#This Row],[VALOR TOTAL DO LANCE]],)</f>
        <v>0</v>
      </c>
      <c r="H178" s="14"/>
    </row>
    <row r="179" spans="1:8" hidden="1" x14ac:dyDescent="0.25">
      <c r="A179" s="12">
        <f>IF(TabelaPrincipal[[#This Row],[POSIÇÃO]]=1, TabelaPrincipal[[#This Row],[ITEM]],)</f>
        <v>0</v>
      </c>
      <c r="B179" s="13">
        <f>IF(TabelaPrincipal[[#This Row],[POSIÇÃO]]=1, TabelaPrincipal[[#This Row],[DESCRIÇÃO]],)</f>
        <v>0</v>
      </c>
      <c r="C179" s="14">
        <f>IF(TabelaPrincipal[[#This Row],[POSIÇÃO]]=1,TabelaPrincipal[[#This Row],[UND]],)</f>
        <v>0</v>
      </c>
      <c r="D179" s="13">
        <f>IF(TabelaPrincipal[[#This Row],[POSIÇÃO]]=1,TabelaPrincipal[[#This Row],[QTD]],)</f>
        <v>0</v>
      </c>
      <c r="E179" s="13">
        <f>IF(TabelaPrincipal[[#This Row],[POSIÇÃO]]=1,TabelaPrincipal[[#This Row],[MARCA]],)</f>
        <v>0</v>
      </c>
      <c r="F179" s="15">
        <f>IF(TabelaPrincipal[[#This Row],[POSIÇÃO]]=1,TabelaPrincipal[[#This Row],[LANCE ATUAL]],)</f>
        <v>0</v>
      </c>
      <c r="G179" s="16">
        <f>IF(TabelaPrincipal[[#This Row],[POSIÇÃO]]=1,TabelaPrincipal[[#This Row],[VALOR TOTAL DO LANCE]],)</f>
        <v>0</v>
      </c>
      <c r="H179" s="14"/>
    </row>
    <row r="180" spans="1:8" hidden="1" x14ac:dyDescent="0.25">
      <c r="A180" s="12">
        <f>IF(TabelaPrincipal[[#This Row],[POSIÇÃO]]=1, TabelaPrincipal[[#This Row],[ITEM]],)</f>
        <v>0</v>
      </c>
      <c r="B180" s="13">
        <f>IF(TabelaPrincipal[[#This Row],[POSIÇÃO]]=1, TabelaPrincipal[[#This Row],[DESCRIÇÃO]],)</f>
        <v>0</v>
      </c>
      <c r="C180" s="14">
        <f>IF(TabelaPrincipal[[#This Row],[POSIÇÃO]]=1,TabelaPrincipal[[#This Row],[UND]],)</f>
        <v>0</v>
      </c>
      <c r="D180" s="13">
        <f>IF(TabelaPrincipal[[#This Row],[POSIÇÃO]]=1,TabelaPrincipal[[#This Row],[QTD]],)</f>
        <v>0</v>
      </c>
      <c r="E180" s="13">
        <f>IF(TabelaPrincipal[[#This Row],[POSIÇÃO]]=1,TabelaPrincipal[[#This Row],[MARCA]],)</f>
        <v>0</v>
      </c>
      <c r="F180" s="15">
        <f>IF(TabelaPrincipal[[#This Row],[POSIÇÃO]]=1,TabelaPrincipal[[#This Row],[LANCE ATUAL]],)</f>
        <v>0</v>
      </c>
      <c r="G180" s="16">
        <f>IF(TabelaPrincipal[[#This Row],[POSIÇÃO]]=1,TabelaPrincipal[[#This Row],[VALOR TOTAL DO LANCE]],)</f>
        <v>0</v>
      </c>
      <c r="H180" s="14"/>
    </row>
    <row r="181" spans="1:8" hidden="1" x14ac:dyDescent="0.25">
      <c r="A181" s="12">
        <f>IF(TabelaPrincipal[[#This Row],[POSIÇÃO]]=1, TabelaPrincipal[[#This Row],[ITEM]],)</f>
        <v>0</v>
      </c>
      <c r="B181" s="13">
        <f>IF(TabelaPrincipal[[#This Row],[POSIÇÃO]]=1, TabelaPrincipal[[#This Row],[DESCRIÇÃO]],)</f>
        <v>0</v>
      </c>
      <c r="C181" s="14">
        <f>IF(TabelaPrincipal[[#This Row],[POSIÇÃO]]=1,TabelaPrincipal[[#This Row],[UND]],)</f>
        <v>0</v>
      </c>
      <c r="D181" s="13">
        <f>IF(TabelaPrincipal[[#This Row],[POSIÇÃO]]=1,TabelaPrincipal[[#This Row],[QTD]],)</f>
        <v>0</v>
      </c>
      <c r="E181" s="13">
        <f>IF(TabelaPrincipal[[#This Row],[POSIÇÃO]]=1,TabelaPrincipal[[#This Row],[MARCA]],)</f>
        <v>0</v>
      </c>
      <c r="F181" s="15">
        <f>IF(TabelaPrincipal[[#This Row],[POSIÇÃO]]=1,TabelaPrincipal[[#This Row],[LANCE ATUAL]],)</f>
        <v>0</v>
      </c>
      <c r="G181" s="16">
        <f>IF(TabelaPrincipal[[#This Row],[POSIÇÃO]]=1,TabelaPrincipal[[#This Row],[VALOR TOTAL DO LANCE]],)</f>
        <v>0</v>
      </c>
      <c r="H181" s="14"/>
    </row>
    <row r="182" spans="1:8" hidden="1" x14ac:dyDescent="0.25">
      <c r="A182" s="12">
        <f>IF(TabelaPrincipal[[#This Row],[POSIÇÃO]]=1, TabelaPrincipal[[#This Row],[ITEM]],)</f>
        <v>0</v>
      </c>
      <c r="B182" s="13">
        <f>IF(TabelaPrincipal[[#This Row],[POSIÇÃO]]=1, TabelaPrincipal[[#This Row],[DESCRIÇÃO]],)</f>
        <v>0</v>
      </c>
      <c r="C182" s="14">
        <f>IF(TabelaPrincipal[[#This Row],[POSIÇÃO]]=1,TabelaPrincipal[[#This Row],[UND]],)</f>
        <v>0</v>
      </c>
      <c r="D182" s="13">
        <f>IF(TabelaPrincipal[[#This Row],[POSIÇÃO]]=1,TabelaPrincipal[[#This Row],[QTD]],)</f>
        <v>0</v>
      </c>
      <c r="E182" s="13">
        <f>IF(TabelaPrincipal[[#This Row],[POSIÇÃO]]=1,TabelaPrincipal[[#This Row],[MARCA]],)</f>
        <v>0</v>
      </c>
      <c r="F182" s="15">
        <f>IF(TabelaPrincipal[[#This Row],[POSIÇÃO]]=1,TabelaPrincipal[[#This Row],[LANCE ATUAL]],)</f>
        <v>0</v>
      </c>
      <c r="G182" s="16">
        <f>IF(TabelaPrincipal[[#This Row],[POSIÇÃO]]=1,TabelaPrincipal[[#This Row],[VALOR TOTAL DO LANCE]],)</f>
        <v>0</v>
      </c>
      <c r="H182" s="14"/>
    </row>
    <row r="183" spans="1:8" hidden="1" x14ac:dyDescent="0.25">
      <c r="A183" s="12">
        <f>IF(TabelaPrincipal[[#This Row],[POSIÇÃO]]=1, TabelaPrincipal[[#This Row],[ITEM]],)</f>
        <v>0</v>
      </c>
      <c r="B183" s="13">
        <f>IF(TabelaPrincipal[[#This Row],[POSIÇÃO]]=1, TabelaPrincipal[[#This Row],[DESCRIÇÃO]],)</f>
        <v>0</v>
      </c>
      <c r="C183" s="14">
        <f>IF(TabelaPrincipal[[#This Row],[POSIÇÃO]]=1,TabelaPrincipal[[#This Row],[UND]],)</f>
        <v>0</v>
      </c>
      <c r="D183" s="13">
        <f>IF(TabelaPrincipal[[#This Row],[POSIÇÃO]]=1,TabelaPrincipal[[#This Row],[QTD]],)</f>
        <v>0</v>
      </c>
      <c r="E183" s="13">
        <f>IF(TabelaPrincipal[[#This Row],[POSIÇÃO]]=1,TabelaPrincipal[[#This Row],[MARCA]],)</f>
        <v>0</v>
      </c>
      <c r="F183" s="15">
        <f>IF(TabelaPrincipal[[#This Row],[POSIÇÃO]]=1,TabelaPrincipal[[#This Row],[LANCE ATUAL]],)</f>
        <v>0</v>
      </c>
      <c r="G183" s="16">
        <f>IF(TabelaPrincipal[[#This Row],[POSIÇÃO]]=1,TabelaPrincipal[[#This Row],[VALOR TOTAL DO LANCE]],)</f>
        <v>0</v>
      </c>
      <c r="H183" s="14"/>
    </row>
    <row r="184" spans="1:8" hidden="1" x14ac:dyDescent="0.25">
      <c r="A184" s="12">
        <f>IF(TabelaPrincipal[[#This Row],[POSIÇÃO]]=1, TabelaPrincipal[[#This Row],[ITEM]],)</f>
        <v>0</v>
      </c>
      <c r="B184" s="13">
        <f>IF(TabelaPrincipal[[#This Row],[POSIÇÃO]]=1, TabelaPrincipal[[#This Row],[DESCRIÇÃO]],)</f>
        <v>0</v>
      </c>
      <c r="C184" s="14">
        <f>IF(TabelaPrincipal[[#This Row],[POSIÇÃO]]=1,TabelaPrincipal[[#This Row],[UND]],)</f>
        <v>0</v>
      </c>
      <c r="D184" s="13">
        <f>IF(TabelaPrincipal[[#This Row],[POSIÇÃO]]=1,TabelaPrincipal[[#This Row],[QTD]],)</f>
        <v>0</v>
      </c>
      <c r="E184" s="13">
        <f>IF(TabelaPrincipal[[#This Row],[POSIÇÃO]]=1,TabelaPrincipal[[#This Row],[MARCA]],)</f>
        <v>0</v>
      </c>
      <c r="F184" s="15">
        <f>IF(TabelaPrincipal[[#This Row],[POSIÇÃO]]=1,TabelaPrincipal[[#This Row],[LANCE ATUAL]],)</f>
        <v>0</v>
      </c>
      <c r="G184" s="16">
        <f>IF(TabelaPrincipal[[#This Row],[POSIÇÃO]]=1,TabelaPrincipal[[#This Row],[VALOR TOTAL DO LANCE]],)</f>
        <v>0</v>
      </c>
      <c r="H184" s="14"/>
    </row>
    <row r="185" spans="1:8" hidden="1" x14ac:dyDescent="0.25">
      <c r="A185" s="12">
        <f>IF(TabelaPrincipal[[#This Row],[POSIÇÃO]]=1, TabelaPrincipal[[#This Row],[ITEM]],)</f>
        <v>0</v>
      </c>
      <c r="B185" s="13">
        <f>IF(TabelaPrincipal[[#This Row],[POSIÇÃO]]=1, TabelaPrincipal[[#This Row],[DESCRIÇÃO]],)</f>
        <v>0</v>
      </c>
      <c r="C185" s="14">
        <f>IF(TabelaPrincipal[[#This Row],[POSIÇÃO]]=1,TabelaPrincipal[[#This Row],[UND]],)</f>
        <v>0</v>
      </c>
      <c r="D185" s="13">
        <f>IF(TabelaPrincipal[[#This Row],[POSIÇÃO]]=1,TabelaPrincipal[[#This Row],[QTD]],)</f>
        <v>0</v>
      </c>
      <c r="E185" s="13">
        <f>IF(TabelaPrincipal[[#This Row],[POSIÇÃO]]=1,TabelaPrincipal[[#This Row],[MARCA]],)</f>
        <v>0</v>
      </c>
      <c r="F185" s="15">
        <f>IF(TabelaPrincipal[[#This Row],[POSIÇÃO]]=1,TabelaPrincipal[[#This Row],[LANCE ATUAL]],)</f>
        <v>0</v>
      </c>
      <c r="G185" s="16">
        <f>IF(TabelaPrincipal[[#This Row],[POSIÇÃO]]=1,TabelaPrincipal[[#This Row],[VALOR TOTAL DO LANCE]],)</f>
        <v>0</v>
      </c>
      <c r="H185" s="14"/>
    </row>
    <row r="186" spans="1:8" hidden="1" x14ac:dyDescent="0.25">
      <c r="A186" s="12">
        <f>IF(TabelaPrincipal[[#This Row],[POSIÇÃO]]=1, TabelaPrincipal[[#This Row],[ITEM]],)</f>
        <v>0</v>
      </c>
      <c r="B186" s="13">
        <f>IF(TabelaPrincipal[[#This Row],[POSIÇÃO]]=1, TabelaPrincipal[[#This Row],[DESCRIÇÃO]],)</f>
        <v>0</v>
      </c>
      <c r="C186" s="14">
        <f>IF(TabelaPrincipal[[#This Row],[POSIÇÃO]]=1,TabelaPrincipal[[#This Row],[UND]],)</f>
        <v>0</v>
      </c>
      <c r="D186" s="13">
        <f>IF(TabelaPrincipal[[#This Row],[POSIÇÃO]]=1,TabelaPrincipal[[#This Row],[QTD]],)</f>
        <v>0</v>
      </c>
      <c r="E186" s="13">
        <f>IF(TabelaPrincipal[[#This Row],[POSIÇÃO]]=1,TabelaPrincipal[[#This Row],[MARCA]],)</f>
        <v>0</v>
      </c>
      <c r="F186" s="15">
        <f>IF(TabelaPrincipal[[#This Row],[POSIÇÃO]]=1,TabelaPrincipal[[#This Row],[LANCE ATUAL]],)</f>
        <v>0</v>
      </c>
      <c r="G186" s="16">
        <f>IF(TabelaPrincipal[[#This Row],[POSIÇÃO]]=1,TabelaPrincipal[[#This Row],[VALOR TOTAL DO LANCE]],)</f>
        <v>0</v>
      </c>
      <c r="H186" s="14"/>
    </row>
    <row r="187" spans="1:8" hidden="1" x14ac:dyDescent="0.25">
      <c r="A187" s="12">
        <f>IF(TabelaPrincipal[[#This Row],[POSIÇÃO]]=1, TabelaPrincipal[[#This Row],[ITEM]],)</f>
        <v>0</v>
      </c>
      <c r="B187" s="13">
        <f>IF(TabelaPrincipal[[#This Row],[POSIÇÃO]]=1, TabelaPrincipal[[#This Row],[DESCRIÇÃO]],)</f>
        <v>0</v>
      </c>
      <c r="C187" s="14">
        <f>IF(TabelaPrincipal[[#This Row],[POSIÇÃO]]=1,TabelaPrincipal[[#This Row],[UND]],)</f>
        <v>0</v>
      </c>
      <c r="D187" s="13">
        <f>IF(TabelaPrincipal[[#This Row],[POSIÇÃO]]=1,TabelaPrincipal[[#This Row],[QTD]],)</f>
        <v>0</v>
      </c>
      <c r="E187" s="13">
        <f>IF(TabelaPrincipal[[#This Row],[POSIÇÃO]]=1,TabelaPrincipal[[#This Row],[MARCA]],)</f>
        <v>0</v>
      </c>
      <c r="F187" s="15">
        <f>IF(TabelaPrincipal[[#This Row],[POSIÇÃO]]=1,TabelaPrincipal[[#This Row],[LANCE ATUAL]],)</f>
        <v>0</v>
      </c>
      <c r="G187" s="16">
        <f>IF(TabelaPrincipal[[#This Row],[POSIÇÃO]]=1,TabelaPrincipal[[#This Row],[VALOR TOTAL DO LANCE]],)</f>
        <v>0</v>
      </c>
      <c r="H187" s="14"/>
    </row>
    <row r="188" spans="1:8" hidden="1" x14ac:dyDescent="0.25">
      <c r="A188" s="12">
        <f>IF(TabelaPrincipal[[#This Row],[POSIÇÃO]]=1, TabelaPrincipal[[#This Row],[ITEM]],)</f>
        <v>0</v>
      </c>
      <c r="B188" s="13">
        <f>IF(TabelaPrincipal[[#This Row],[POSIÇÃO]]=1, TabelaPrincipal[[#This Row],[DESCRIÇÃO]],)</f>
        <v>0</v>
      </c>
      <c r="C188" s="14">
        <f>IF(TabelaPrincipal[[#This Row],[POSIÇÃO]]=1,TabelaPrincipal[[#This Row],[UND]],)</f>
        <v>0</v>
      </c>
      <c r="D188" s="13">
        <f>IF(TabelaPrincipal[[#This Row],[POSIÇÃO]]=1,TabelaPrincipal[[#This Row],[QTD]],)</f>
        <v>0</v>
      </c>
      <c r="E188" s="13">
        <f>IF(TabelaPrincipal[[#This Row],[POSIÇÃO]]=1,TabelaPrincipal[[#This Row],[MARCA]],)</f>
        <v>0</v>
      </c>
      <c r="F188" s="15">
        <f>IF(TabelaPrincipal[[#This Row],[POSIÇÃO]]=1,TabelaPrincipal[[#This Row],[LANCE ATUAL]],)</f>
        <v>0</v>
      </c>
      <c r="G188" s="16">
        <f>IF(TabelaPrincipal[[#This Row],[POSIÇÃO]]=1,TabelaPrincipal[[#This Row],[VALOR TOTAL DO LANCE]],)</f>
        <v>0</v>
      </c>
      <c r="H188" s="14"/>
    </row>
    <row r="189" spans="1:8" hidden="1" x14ac:dyDescent="0.25">
      <c r="A189" s="12">
        <f>IF(TabelaPrincipal[[#This Row],[POSIÇÃO]]=1, TabelaPrincipal[[#This Row],[ITEM]],)</f>
        <v>0</v>
      </c>
      <c r="B189" s="13">
        <f>IF(TabelaPrincipal[[#This Row],[POSIÇÃO]]=1, TabelaPrincipal[[#This Row],[DESCRIÇÃO]],)</f>
        <v>0</v>
      </c>
      <c r="C189" s="14">
        <f>IF(TabelaPrincipal[[#This Row],[POSIÇÃO]]=1,TabelaPrincipal[[#This Row],[UND]],)</f>
        <v>0</v>
      </c>
      <c r="D189" s="13">
        <f>IF(TabelaPrincipal[[#This Row],[POSIÇÃO]]=1,TabelaPrincipal[[#This Row],[QTD]],)</f>
        <v>0</v>
      </c>
      <c r="E189" s="13">
        <f>IF(TabelaPrincipal[[#This Row],[POSIÇÃO]]=1,TabelaPrincipal[[#This Row],[MARCA]],)</f>
        <v>0</v>
      </c>
      <c r="F189" s="15">
        <f>IF(TabelaPrincipal[[#This Row],[POSIÇÃO]]=1,TabelaPrincipal[[#This Row],[LANCE ATUAL]],)</f>
        <v>0</v>
      </c>
      <c r="G189" s="16">
        <f>IF(TabelaPrincipal[[#This Row],[POSIÇÃO]]=1,TabelaPrincipal[[#This Row],[VALOR TOTAL DO LANCE]],)</f>
        <v>0</v>
      </c>
      <c r="H189" s="14"/>
    </row>
    <row r="190" spans="1:8" hidden="1" x14ac:dyDescent="0.25">
      <c r="A190" s="12">
        <f>IF(TabelaPrincipal[[#This Row],[POSIÇÃO]]=1, TabelaPrincipal[[#This Row],[ITEM]],)</f>
        <v>0</v>
      </c>
      <c r="B190" s="13">
        <f>IF(TabelaPrincipal[[#This Row],[POSIÇÃO]]=1, TabelaPrincipal[[#This Row],[DESCRIÇÃO]],)</f>
        <v>0</v>
      </c>
      <c r="C190" s="14">
        <f>IF(TabelaPrincipal[[#This Row],[POSIÇÃO]]=1,TabelaPrincipal[[#This Row],[UND]],)</f>
        <v>0</v>
      </c>
      <c r="D190" s="13">
        <f>IF(TabelaPrincipal[[#This Row],[POSIÇÃO]]=1,TabelaPrincipal[[#This Row],[QTD]],)</f>
        <v>0</v>
      </c>
      <c r="E190" s="13">
        <f>IF(TabelaPrincipal[[#This Row],[POSIÇÃO]]=1,TabelaPrincipal[[#This Row],[MARCA]],)</f>
        <v>0</v>
      </c>
      <c r="F190" s="15">
        <f>IF(TabelaPrincipal[[#This Row],[POSIÇÃO]]=1,TabelaPrincipal[[#This Row],[LANCE ATUAL]],)</f>
        <v>0</v>
      </c>
      <c r="G190" s="16">
        <f>IF(TabelaPrincipal[[#This Row],[POSIÇÃO]]=1,TabelaPrincipal[[#This Row],[VALOR TOTAL DO LANCE]],)</f>
        <v>0</v>
      </c>
      <c r="H190" s="14"/>
    </row>
    <row r="191" spans="1:8" ht="38.25" hidden="1" x14ac:dyDescent="0.25">
      <c r="A191" s="12">
        <f>IF(TabelaPrincipal[[#This Row],[POSIÇÃO]]=1, TabelaPrincipal[[#This Row],[ITEM]],)</f>
        <v>0</v>
      </c>
      <c r="B191" s="13">
        <f>IF(TabelaPrincipal[[#This Row],[POSIÇÃO]]=1, TabelaPrincipal[[#This Row],[DESCRIÇÃO]],)</f>
        <v>0</v>
      </c>
      <c r="C191" s="14">
        <f>IF(TabelaPrincipal[[#This Row],[POSIÇÃO]]=1,TabelaPrincipal[[#This Row],[UND]],)</f>
        <v>0</v>
      </c>
      <c r="D191" s="13">
        <f>IF(TabelaPrincipal[[#This Row],[POSIÇÃO]]=1,TabelaPrincipal[[#This Row],[QTD]],)</f>
        <v>0</v>
      </c>
      <c r="E191" s="13">
        <f>IF(TabelaPrincipal[[#This Row],[POSIÇÃO]]=1,TabelaPrincipal[[#This Row],[MARCA]],)</f>
        <v>0</v>
      </c>
      <c r="F191" s="15">
        <f>IF(TabelaPrincipal[[#This Row],[POSIÇÃO]]=1,TabelaPrincipal[[#This Row],[LANCE ATUAL]],)</f>
        <v>0</v>
      </c>
      <c r="G191" s="16">
        <f>IF(TabelaPrincipal[[#This Row],[POSIÇÃO]]=1,TabelaPrincipal[[#This Row],[VALOR TOTAL DO LANCE]],)</f>
        <v>0</v>
      </c>
      <c r="H191" s="14"/>
    </row>
    <row r="192" spans="1:8" hidden="1" x14ac:dyDescent="0.25">
      <c r="A192" s="12">
        <f>IF(TabelaPrincipal[[#This Row],[POSIÇÃO]]=1, TabelaPrincipal[[#This Row],[ITEM]],)</f>
        <v>0</v>
      </c>
      <c r="B192" s="13">
        <f>IF(TabelaPrincipal[[#This Row],[POSIÇÃO]]=1, TabelaPrincipal[[#This Row],[DESCRIÇÃO]],)</f>
        <v>0</v>
      </c>
      <c r="C192" s="14">
        <f>IF(TabelaPrincipal[[#This Row],[POSIÇÃO]]=1,TabelaPrincipal[[#This Row],[UND]],)</f>
        <v>0</v>
      </c>
      <c r="D192" s="13">
        <f>IF(TabelaPrincipal[[#This Row],[POSIÇÃO]]=1,TabelaPrincipal[[#This Row],[QTD]],)</f>
        <v>0</v>
      </c>
      <c r="E192" s="13">
        <f>IF(TabelaPrincipal[[#This Row],[POSIÇÃO]]=1,TabelaPrincipal[[#This Row],[MARCA]],)</f>
        <v>0</v>
      </c>
      <c r="F192" s="15">
        <f>IF(TabelaPrincipal[[#This Row],[POSIÇÃO]]=1,TabelaPrincipal[[#This Row],[LANCE ATUAL]],)</f>
        <v>0</v>
      </c>
      <c r="G192" s="16">
        <f>IF(TabelaPrincipal[[#This Row],[POSIÇÃO]]=1,TabelaPrincipal[[#This Row],[VALOR TOTAL DO LANCE]],)</f>
        <v>0</v>
      </c>
      <c r="H192" s="14"/>
    </row>
    <row r="193" spans="1:8" hidden="1" x14ac:dyDescent="0.25">
      <c r="A193" s="12">
        <f>IF(TabelaPrincipal[[#This Row],[POSIÇÃO]]=1, TabelaPrincipal[[#This Row],[ITEM]],)</f>
        <v>0</v>
      </c>
      <c r="B193" s="13">
        <f>IF(TabelaPrincipal[[#This Row],[POSIÇÃO]]=1, TabelaPrincipal[[#This Row],[DESCRIÇÃO]],)</f>
        <v>0</v>
      </c>
      <c r="C193" s="14">
        <f>IF(TabelaPrincipal[[#This Row],[POSIÇÃO]]=1,TabelaPrincipal[[#This Row],[UND]],)</f>
        <v>0</v>
      </c>
      <c r="D193" s="13">
        <f>IF(TabelaPrincipal[[#This Row],[POSIÇÃO]]=1,TabelaPrincipal[[#This Row],[QTD]],)</f>
        <v>0</v>
      </c>
      <c r="E193" s="13">
        <f>IF(TabelaPrincipal[[#This Row],[POSIÇÃO]]=1,TabelaPrincipal[[#This Row],[MARCA]],)</f>
        <v>0</v>
      </c>
      <c r="F193" s="15">
        <f>IF(TabelaPrincipal[[#This Row],[POSIÇÃO]]=1,TabelaPrincipal[[#This Row],[LANCE ATUAL]],)</f>
        <v>0</v>
      </c>
      <c r="G193" s="16">
        <f>IF(TabelaPrincipal[[#This Row],[POSIÇÃO]]=1,TabelaPrincipal[[#This Row],[VALOR TOTAL DO LANCE]],)</f>
        <v>0</v>
      </c>
      <c r="H193" s="14"/>
    </row>
    <row r="194" spans="1:8" hidden="1" x14ac:dyDescent="0.25">
      <c r="A194" s="12">
        <f>IF(TabelaPrincipal[[#This Row],[POSIÇÃO]]=1, TabelaPrincipal[[#This Row],[ITEM]],)</f>
        <v>0</v>
      </c>
      <c r="B194" s="13">
        <f>IF(TabelaPrincipal[[#This Row],[POSIÇÃO]]=1, TabelaPrincipal[[#This Row],[DESCRIÇÃO]],)</f>
        <v>0</v>
      </c>
      <c r="C194" s="14">
        <f>IF(TabelaPrincipal[[#This Row],[POSIÇÃO]]=1,TabelaPrincipal[[#This Row],[UND]],)</f>
        <v>0</v>
      </c>
      <c r="D194" s="13">
        <f>IF(TabelaPrincipal[[#This Row],[POSIÇÃO]]=1,TabelaPrincipal[[#This Row],[QTD]],)</f>
        <v>0</v>
      </c>
      <c r="E194" s="13">
        <f>IF(TabelaPrincipal[[#This Row],[POSIÇÃO]]=1,TabelaPrincipal[[#This Row],[MARCA]],)</f>
        <v>0</v>
      </c>
      <c r="F194" s="15">
        <f>IF(TabelaPrincipal[[#This Row],[POSIÇÃO]]=1,TabelaPrincipal[[#This Row],[LANCE ATUAL]],)</f>
        <v>0</v>
      </c>
      <c r="G194" s="16">
        <f>IF(TabelaPrincipal[[#This Row],[POSIÇÃO]]=1,TabelaPrincipal[[#This Row],[VALOR TOTAL DO LANCE]],)</f>
        <v>0</v>
      </c>
      <c r="H194" s="14"/>
    </row>
    <row r="195" spans="1:8" ht="25.5" hidden="1" x14ac:dyDescent="0.25">
      <c r="A195" s="12">
        <f>IF(TabelaPrincipal[[#This Row],[POSIÇÃO]]=1, TabelaPrincipal[[#This Row],[ITEM]],)</f>
        <v>0</v>
      </c>
      <c r="B195" s="13">
        <f>IF(TabelaPrincipal[[#This Row],[POSIÇÃO]]=1, TabelaPrincipal[[#This Row],[DESCRIÇÃO]],)</f>
        <v>0</v>
      </c>
      <c r="C195" s="14">
        <f>IF(TabelaPrincipal[[#This Row],[POSIÇÃO]]=1,TabelaPrincipal[[#This Row],[UND]],)</f>
        <v>0</v>
      </c>
      <c r="D195" s="13">
        <f>IF(TabelaPrincipal[[#This Row],[POSIÇÃO]]=1,TabelaPrincipal[[#This Row],[QTD]],)</f>
        <v>0</v>
      </c>
      <c r="E195" s="13">
        <f>IF(TabelaPrincipal[[#This Row],[POSIÇÃO]]=1,TabelaPrincipal[[#This Row],[MARCA]],)</f>
        <v>0</v>
      </c>
      <c r="F195" s="15">
        <f>IF(TabelaPrincipal[[#This Row],[POSIÇÃO]]=1,TabelaPrincipal[[#This Row],[LANCE ATUAL]],)</f>
        <v>0</v>
      </c>
      <c r="G195" s="16">
        <f>IF(TabelaPrincipal[[#This Row],[POSIÇÃO]]=1,TabelaPrincipal[[#This Row],[VALOR TOTAL DO LANCE]],)</f>
        <v>0</v>
      </c>
      <c r="H195" s="14"/>
    </row>
    <row r="196" spans="1:8" ht="25.5" hidden="1" x14ac:dyDescent="0.25">
      <c r="A196" s="12">
        <f>IF(TabelaPrincipal[[#This Row],[POSIÇÃO]]=1, TabelaPrincipal[[#This Row],[ITEM]],)</f>
        <v>0</v>
      </c>
      <c r="B196" s="13">
        <f>IF(TabelaPrincipal[[#This Row],[POSIÇÃO]]=1, TabelaPrincipal[[#This Row],[DESCRIÇÃO]],)</f>
        <v>0</v>
      </c>
      <c r="C196" s="14">
        <f>IF(TabelaPrincipal[[#This Row],[POSIÇÃO]]=1,TabelaPrincipal[[#This Row],[UND]],)</f>
        <v>0</v>
      </c>
      <c r="D196" s="13">
        <f>IF(TabelaPrincipal[[#This Row],[POSIÇÃO]]=1,TabelaPrincipal[[#This Row],[QTD]],)</f>
        <v>0</v>
      </c>
      <c r="E196" s="13">
        <f>IF(TabelaPrincipal[[#This Row],[POSIÇÃO]]=1,TabelaPrincipal[[#This Row],[MARCA]],)</f>
        <v>0</v>
      </c>
      <c r="F196" s="15">
        <f>IF(TabelaPrincipal[[#This Row],[POSIÇÃO]]=1,TabelaPrincipal[[#This Row],[LANCE ATUAL]],)</f>
        <v>0</v>
      </c>
      <c r="G196" s="16">
        <f>IF(TabelaPrincipal[[#This Row],[POSIÇÃO]]=1,TabelaPrincipal[[#This Row],[VALOR TOTAL DO LANCE]],)</f>
        <v>0</v>
      </c>
      <c r="H196" s="14"/>
    </row>
    <row r="197" spans="1:8" ht="38.25" x14ac:dyDescent="0.25">
      <c r="A197" s="12">
        <f>IF(TabelaPrincipal[[#This Row],[POSIÇÃO]]=1, TabelaPrincipal[[#This Row],[ITEM]],)</f>
        <v>443</v>
      </c>
      <c r="B197" s="13" t="str">
        <f>IF(TabelaPrincipal[[#This Row],[POSIÇÃO]]=1, TabelaPrincipal[[#This Row],[DESCRIÇÃO]],)</f>
        <v>Torneirinha, vias: 3 vias, material: polímero, tipo conector: luerlock ,slip , valvulado, pressão máxima: até cerca de 100 psi, tipo uso: estéril, uso único</v>
      </c>
      <c r="C197" s="14" t="str">
        <f>IF(TabelaPrincipal[[#This Row],[POSIÇÃO]]=1,TabelaPrincipal[[#This Row],[UND]],)</f>
        <v>Unidade</v>
      </c>
      <c r="D197" s="13">
        <f>IF(TabelaPrincipal[[#This Row],[POSIÇÃO]]=1,TabelaPrincipal[[#This Row],[QTD]],)</f>
        <v>200</v>
      </c>
      <c r="E197" s="13" t="str">
        <f>IF(TabelaPrincipal[[#This Row],[POSIÇÃO]]=1,TabelaPrincipal[[#This Row],[MARCA]],)</f>
        <v>Labor</v>
      </c>
      <c r="F197" s="15">
        <f>IF(TabelaPrincipal[[#This Row],[POSIÇÃO]]=1,TabelaPrincipal[[#This Row],[LANCE ATUAL]],)</f>
        <v>1.1499999999999999</v>
      </c>
      <c r="G197" s="16">
        <f>IF(TabelaPrincipal[[#This Row],[POSIÇÃO]]=1,TabelaPrincipal[[#This Row],[VALOR TOTAL DO LANCE]],)</f>
        <v>229.99999999999997</v>
      </c>
      <c r="H197" s="14"/>
    </row>
    <row r="198" spans="1:8" ht="38.25" hidden="1" x14ac:dyDescent="0.25">
      <c r="A198" s="12">
        <f>IF(TabelaPrincipal[[#This Row],[POSIÇÃO]]=1, TabelaPrincipal[[#This Row],[ITEM]],)</f>
        <v>0</v>
      </c>
      <c r="B198" s="13">
        <f>IF(TabelaPrincipal[[#This Row],[POSIÇÃO]]=1, TabelaPrincipal[[#This Row],[DESCRIÇÃO]],)</f>
        <v>0</v>
      </c>
      <c r="C198" s="14">
        <f>IF(TabelaPrincipal[[#This Row],[POSIÇÃO]]=1,TabelaPrincipal[[#This Row],[UND]],)</f>
        <v>0</v>
      </c>
      <c r="D198" s="13">
        <f>IF(TabelaPrincipal[[#This Row],[POSIÇÃO]]=1,TabelaPrincipal[[#This Row],[QTD]],)</f>
        <v>0</v>
      </c>
      <c r="E198" s="13">
        <f>IF(TabelaPrincipal[[#This Row],[POSIÇÃO]]=1,TabelaPrincipal[[#This Row],[MARCA]],)</f>
        <v>0</v>
      </c>
      <c r="F198" s="15">
        <f>IF(TabelaPrincipal[[#This Row],[POSIÇÃO]]=1,TabelaPrincipal[[#This Row],[LANCE ATUAL]],)</f>
        <v>0</v>
      </c>
      <c r="G198" s="16">
        <f>IF(TabelaPrincipal[[#This Row],[POSIÇÃO]]=1,TabelaPrincipal[[#This Row],[VALOR TOTAL DO LANCE]],)</f>
        <v>0</v>
      </c>
      <c r="H198" s="14"/>
    </row>
    <row r="199" spans="1:8" x14ac:dyDescent="0.25">
      <c r="A199" s="12">
        <f>IF(TabelaPrincipal[[#This Row],[POSIÇÃO]]=1, TabelaPrincipal[[#This Row],[ITEM]],)</f>
        <v>447</v>
      </c>
      <c r="B199" s="13" t="str">
        <f>IF(TabelaPrincipal[[#This Row],[POSIÇÃO]]=1, TabelaPrincipal[[#This Row],[DESCRIÇÃO]],)</f>
        <v>Haste flexível, haste flexível</v>
      </c>
      <c r="C199" s="14" t="str">
        <f>IF(TabelaPrincipal[[#This Row],[POSIÇÃO]]=1,TabelaPrincipal[[#This Row],[UND]],)</f>
        <v>Caixa com 75 Unidades</v>
      </c>
      <c r="D199" s="13">
        <f>IF(TabelaPrincipal[[#This Row],[POSIÇÃO]]=1,TabelaPrincipal[[#This Row],[QTD]],)</f>
        <v>100</v>
      </c>
      <c r="E199" s="13" t="str">
        <f>IF(TabelaPrincipal[[#This Row],[POSIÇÃO]]=1,TabelaPrincipal[[#This Row],[MARCA]],)</f>
        <v>Polyfarma</v>
      </c>
      <c r="F199" s="15">
        <f>IF(TabelaPrincipal[[#This Row],[POSIÇÃO]]=1,TabelaPrincipal[[#This Row],[LANCE ATUAL]],)</f>
        <v>1.85</v>
      </c>
      <c r="G199" s="16">
        <f>IF(TabelaPrincipal[[#This Row],[POSIÇÃO]]=1,TabelaPrincipal[[#This Row],[VALOR TOTAL DO LANCE]],)</f>
        <v>185</v>
      </c>
      <c r="H199" s="14"/>
    </row>
    <row r="200" spans="1:8" hidden="1" x14ac:dyDescent="0.25">
      <c r="A200" s="12">
        <f>IF(TabelaPrincipal[[#This Row],[POSIÇÃO]]=1, TabelaPrincipal[[#This Row],[ITEM]],)</f>
        <v>0</v>
      </c>
      <c r="B200" s="13">
        <f>IF(TabelaPrincipal[[#This Row],[POSIÇÃO]]=1, TabelaPrincipal[[#This Row],[DESCRIÇÃO]],)</f>
        <v>0</v>
      </c>
      <c r="C200" s="14">
        <f>IF(TabelaPrincipal[[#This Row],[POSIÇÃO]]=1,TabelaPrincipal[[#This Row],[UND]],)</f>
        <v>0</v>
      </c>
      <c r="D200" s="13">
        <f>IF(TabelaPrincipal[[#This Row],[POSIÇÃO]]=1,TabelaPrincipal[[#This Row],[QTD]],)</f>
        <v>0</v>
      </c>
      <c r="E200" s="13">
        <f>IF(TabelaPrincipal[[#This Row],[POSIÇÃO]]=1,TabelaPrincipal[[#This Row],[MARCA]],)</f>
        <v>0</v>
      </c>
      <c r="F200" s="15">
        <f>IF(TabelaPrincipal[[#This Row],[POSIÇÃO]]=1,TabelaPrincipal[[#This Row],[LANCE ATUAL]],)</f>
        <v>0</v>
      </c>
      <c r="G200" s="16">
        <f>IF(TabelaPrincipal[[#This Row],[POSIÇÃO]]=1,TabelaPrincipal[[#This Row],[VALOR TOTAL DO LANCE]],)</f>
        <v>0</v>
      </c>
      <c r="H200" s="14"/>
    </row>
    <row r="201" spans="1:8" ht="38.25" hidden="1" x14ac:dyDescent="0.25">
      <c r="A201" s="12">
        <f>IF(TabelaPrincipal[[#This Row],[POSIÇÃO]]=1, TabelaPrincipal[[#This Row],[ITEM]],)</f>
        <v>0</v>
      </c>
      <c r="B201" s="13">
        <f>IF(TabelaPrincipal[[#This Row],[POSIÇÃO]]=1, TabelaPrincipal[[#This Row],[DESCRIÇÃO]],)</f>
        <v>0</v>
      </c>
      <c r="C201" s="14">
        <f>IF(TabelaPrincipal[[#This Row],[POSIÇÃO]]=1,TabelaPrincipal[[#This Row],[UND]],)</f>
        <v>0</v>
      </c>
      <c r="D201" s="13">
        <f>IF(TabelaPrincipal[[#This Row],[POSIÇÃO]]=1,TabelaPrincipal[[#This Row],[QTD]],)</f>
        <v>0</v>
      </c>
      <c r="E201" s="13">
        <f>IF(TabelaPrincipal[[#This Row],[POSIÇÃO]]=1,TabelaPrincipal[[#This Row],[MARCA]],)</f>
        <v>0</v>
      </c>
      <c r="F201" s="15">
        <f>IF(TabelaPrincipal[[#This Row],[POSIÇÃO]]=1,TabelaPrincipal[[#This Row],[LANCE ATUAL]],)</f>
        <v>0</v>
      </c>
      <c r="G201" s="16">
        <f>IF(TabelaPrincipal[[#This Row],[POSIÇÃO]]=1,TabelaPrincipal[[#This Row],[VALOR TOTAL DO LANCE]],)</f>
        <v>0</v>
      </c>
      <c r="H201" s="14"/>
    </row>
    <row r="202" spans="1:8" ht="25.5" hidden="1" x14ac:dyDescent="0.25">
      <c r="A202" s="12">
        <f>IF(TabelaPrincipal[[#This Row],[POSIÇÃO]]=1, TabelaPrincipal[[#This Row],[ITEM]],)</f>
        <v>0</v>
      </c>
      <c r="B202" s="13">
        <f>IF(TabelaPrincipal[[#This Row],[POSIÇÃO]]=1, TabelaPrincipal[[#This Row],[DESCRIÇÃO]],)</f>
        <v>0</v>
      </c>
      <c r="C202" s="14">
        <f>IF(TabelaPrincipal[[#This Row],[POSIÇÃO]]=1,TabelaPrincipal[[#This Row],[UND]],)</f>
        <v>0</v>
      </c>
      <c r="D202" s="13">
        <f>IF(TabelaPrincipal[[#This Row],[POSIÇÃO]]=1,TabelaPrincipal[[#This Row],[QTD]],)</f>
        <v>0</v>
      </c>
      <c r="E202" s="13">
        <f>IF(TabelaPrincipal[[#This Row],[POSIÇÃO]]=1,TabelaPrincipal[[#This Row],[MARCA]],)</f>
        <v>0</v>
      </c>
      <c r="F202" s="15">
        <f>IF(TabelaPrincipal[[#This Row],[POSIÇÃO]]=1,TabelaPrincipal[[#This Row],[LANCE ATUAL]],)</f>
        <v>0</v>
      </c>
      <c r="G202" s="16">
        <f>IF(TabelaPrincipal[[#This Row],[POSIÇÃO]]=1,TabelaPrincipal[[#This Row],[VALOR TOTAL DO LANCE]],)</f>
        <v>0</v>
      </c>
      <c r="H202" s="14"/>
    </row>
    <row r="203" spans="1:8" ht="114.75" hidden="1" x14ac:dyDescent="0.25">
      <c r="A203" s="12">
        <f>IF(TabelaPrincipal[[#This Row],[POSIÇÃO]]=1, TabelaPrincipal[[#This Row],[ITEM]],)</f>
        <v>0</v>
      </c>
      <c r="B203" s="13">
        <f>IF(TabelaPrincipal[[#This Row],[POSIÇÃO]]=1, TabelaPrincipal[[#This Row],[DESCRIÇÃO]],)</f>
        <v>0</v>
      </c>
      <c r="C203" s="14">
        <f>IF(TabelaPrincipal[[#This Row],[POSIÇÃO]]=1,TabelaPrincipal[[#This Row],[UND]],)</f>
        <v>0</v>
      </c>
      <c r="D203" s="13">
        <f>IF(TabelaPrincipal[[#This Row],[POSIÇÃO]]=1,TabelaPrincipal[[#This Row],[QTD]],)</f>
        <v>0</v>
      </c>
      <c r="E203" s="13">
        <f>IF(TabelaPrincipal[[#This Row],[POSIÇÃO]]=1,TabelaPrincipal[[#This Row],[MARCA]],)</f>
        <v>0</v>
      </c>
      <c r="F203" s="15">
        <f>IF(TabelaPrincipal[[#This Row],[POSIÇÃO]]=1,TabelaPrincipal[[#This Row],[LANCE ATUAL]],)</f>
        <v>0</v>
      </c>
      <c r="G203" s="16">
        <f>IF(TabelaPrincipal[[#This Row],[POSIÇÃO]]=1,TabelaPrincipal[[#This Row],[VALOR TOTAL DO LANCE]],)</f>
        <v>0</v>
      </c>
      <c r="H203" s="14"/>
    </row>
    <row r="204" spans="1:8" hidden="1" x14ac:dyDescent="0.25">
      <c r="A204" s="12">
        <f>IF(TabelaPrincipal[[#This Row],[POSIÇÃO]]=1, TabelaPrincipal[[#This Row],[ITEM]],)</f>
        <v>0</v>
      </c>
      <c r="B204" s="13">
        <f>IF(TabelaPrincipal[[#This Row],[POSIÇÃO]]=1, TabelaPrincipal[[#This Row],[DESCRIÇÃO]],)</f>
        <v>0</v>
      </c>
      <c r="C204" s="14">
        <f>IF(TabelaPrincipal[[#This Row],[POSIÇÃO]]=1,TabelaPrincipal[[#This Row],[UND]],)</f>
        <v>0</v>
      </c>
      <c r="D204" s="13">
        <f>IF(TabelaPrincipal[[#This Row],[POSIÇÃO]]=1,TabelaPrincipal[[#This Row],[QTD]],)</f>
        <v>0</v>
      </c>
      <c r="E204" s="13">
        <f>IF(TabelaPrincipal[[#This Row],[POSIÇÃO]]=1,TabelaPrincipal[[#This Row],[MARCA]],)</f>
        <v>0</v>
      </c>
      <c r="F204" s="15">
        <f>IF(TabelaPrincipal[[#This Row],[POSIÇÃO]]=1,TabelaPrincipal[[#This Row],[LANCE ATUAL]],)</f>
        <v>0</v>
      </c>
      <c r="G204" s="16">
        <f>IF(TabelaPrincipal[[#This Row],[POSIÇÃO]]=1,TabelaPrincipal[[#This Row],[VALOR TOTAL DO LANCE]],)</f>
        <v>0</v>
      </c>
      <c r="H204" s="14"/>
    </row>
    <row r="205" spans="1:8" ht="25.5" hidden="1" x14ac:dyDescent="0.25">
      <c r="A205" s="12">
        <f>IF(TabelaPrincipal[[#This Row],[POSIÇÃO]]=1, TabelaPrincipal[[#This Row],[ITEM]],)</f>
        <v>0</v>
      </c>
      <c r="B205" s="13">
        <f>IF(TabelaPrincipal[[#This Row],[POSIÇÃO]]=1, TabelaPrincipal[[#This Row],[DESCRIÇÃO]],)</f>
        <v>0</v>
      </c>
      <c r="C205" s="14">
        <f>IF(TabelaPrincipal[[#This Row],[POSIÇÃO]]=1,TabelaPrincipal[[#This Row],[UND]],)</f>
        <v>0</v>
      </c>
      <c r="D205" s="13">
        <f>IF(TabelaPrincipal[[#This Row],[POSIÇÃO]]=1,TabelaPrincipal[[#This Row],[QTD]],)</f>
        <v>0</v>
      </c>
      <c r="E205" s="13">
        <f>IF(TabelaPrincipal[[#This Row],[POSIÇÃO]]=1,TabelaPrincipal[[#This Row],[MARCA]],)</f>
        <v>0</v>
      </c>
      <c r="F205" s="15">
        <f>IF(TabelaPrincipal[[#This Row],[POSIÇÃO]]=1,TabelaPrincipal[[#This Row],[LANCE ATUAL]],)</f>
        <v>0</v>
      </c>
      <c r="G205" s="16">
        <f>IF(TabelaPrincipal[[#This Row],[POSIÇÃO]]=1,TabelaPrincipal[[#This Row],[VALOR TOTAL DO LANCE]],)</f>
        <v>0</v>
      </c>
      <c r="H205" s="14"/>
    </row>
    <row r="206" spans="1:8" ht="51" hidden="1" x14ac:dyDescent="0.25">
      <c r="A206" s="12">
        <f>IF(TabelaPrincipal[[#This Row],[POSIÇÃO]]=1, TabelaPrincipal[[#This Row],[ITEM]],)</f>
        <v>0</v>
      </c>
      <c r="B206" s="13">
        <f>IF(TabelaPrincipal[[#This Row],[POSIÇÃO]]=1, TabelaPrincipal[[#This Row],[DESCRIÇÃO]],)</f>
        <v>0</v>
      </c>
      <c r="C206" s="14">
        <f>IF(TabelaPrincipal[[#This Row],[POSIÇÃO]]=1,TabelaPrincipal[[#This Row],[UND]],)</f>
        <v>0</v>
      </c>
      <c r="D206" s="13">
        <f>IF(TabelaPrincipal[[#This Row],[POSIÇÃO]]=1,TabelaPrincipal[[#This Row],[QTD]],)</f>
        <v>0</v>
      </c>
      <c r="E206" s="13">
        <f>IF(TabelaPrincipal[[#This Row],[POSIÇÃO]]=1,TabelaPrincipal[[#This Row],[MARCA]],)</f>
        <v>0</v>
      </c>
      <c r="F206" s="15">
        <f>IF(TabelaPrincipal[[#This Row],[POSIÇÃO]]=1,TabelaPrincipal[[#This Row],[LANCE ATUAL]],)</f>
        <v>0</v>
      </c>
      <c r="G206" s="16">
        <f>IF(TabelaPrincipal[[#This Row],[POSIÇÃO]]=1,TabelaPrincipal[[#This Row],[VALOR TOTAL DO LANCE]],)</f>
        <v>0</v>
      </c>
      <c r="H206" s="14"/>
    </row>
    <row r="207" spans="1:8" ht="127.5" hidden="1" x14ac:dyDescent="0.25">
      <c r="A207" s="12">
        <f>IF(TabelaPrincipal[[#This Row],[POSIÇÃO]]=1, TabelaPrincipal[[#This Row],[ITEM]],)</f>
        <v>0</v>
      </c>
      <c r="B207" s="13">
        <f>IF(TabelaPrincipal[[#This Row],[POSIÇÃO]]=1, TabelaPrincipal[[#This Row],[DESCRIÇÃO]],)</f>
        <v>0</v>
      </c>
      <c r="C207" s="14">
        <f>IF(TabelaPrincipal[[#This Row],[POSIÇÃO]]=1,TabelaPrincipal[[#This Row],[UND]],)</f>
        <v>0</v>
      </c>
      <c r="D207" s="13">
        <f>IF(TabelaPrincipal[[#This Row],[POSIÇÃO]]=1,TabelaPrincipal[[#This Row],[QTD]],)</f>
        <v>0</v>
      </c>
      <c r="E207" s="13">
        <f>IF(TabelaPrincipal[[#This Row],[POSIÇÃO]]=1,TabelaPrincipal[[#This Row],[MARCA]],)</f>
        <v>0</v>
      </c>
      <c r="F207" s="15">
        <f>IF(TabelaPrincipal[[#This Row],[POSIÇÃO]]=1,TabelaPrincipal[[#This Row],[LANCE ATUAL]],)</f>
        <v>0</v>
      </c>
      <c r="G207" s="16">
        <f>IF(TabelaPrincipal[[#This Row],[POSIÇÃO]]=1,TabelaPrincipal[[#This Row],[VALOR TOTAL DO LANCE]],)</f>
        <v>0</v>
      </c>
      <c r="H207" s="14"/>
    </row>
    <row r="208" spans="1:8" ht="51" hidden="1" x14ac:dyDescent="0.25">
      <c r="A208" s="12">
        <f>IF(TabelaPrincipal[[#This Row],[POSIÇÃO]]=1, TabelaPrincipal[[#This Row],[ITEM]],)</f>
        <v>0</v>
      </c>
      <c r="B208" s="13">
        <f>IF(TabelaPrincipal[[#This Row],[POSIÇÃO]]=1, TabelaPrincipal[[#This Row],[DESCRIÇÃO]],)</f>
        <v>0</v>
      </c>
      <c r="C208" s="14">
        <f>IF(TabelaPrincipal[[#This Row],[POSIÇÃO]]=1,TabelaPrincipal[[#This Row],[UND]],)</f>
        <v>0</v>
      </c>
      <c r="D208" s="13">
        <f>IF(TabelaPrincipal[[#This Row],[POSIÇÃO]]=1,TabelaPrincipal[[#This Row],[QTD]],)</f>
        <v>0</v>
      </c>
      <c r="E208" s="13">
        <f>IF(TabelaPrincipal[[#This Row],[POSIÇÃO]]=1,TabelaPrincipal[[#This Row],[MARCA]],)</f>
        <v>0</v>
      </c>
      <c r="F208" s="15">
        <f>IF(TabelaPrincipal[[#This Row],[POSIÇÃO]]=1,TabelaPrincipal[[#This Row],[LANCE ATUAL]],)</f>
        <v>0</v>
      </c>
      <c r="G208" s="16">
        <f>IF(TabelaPrincipal[[#This Row],[POSIÇÃO]]=1,TabelaPrincipal[[#This Row],[VALOR TOTAL DO LANCE]],)</f>
        <v>0</v>
      </c>
      <c r="H208" s="14"/>
    </row>
    <row r="209" spans="1:8" ht="51" x14ac:dyDescent="0.25">
      <c r="A209" s="12">
        <f>IF(TabelaPrincipal[[#This Row],[POSIÇÃO]]=1, TabelaPrincipal[[#This Row],[ITEM]],)</f>
        <v>466</v>
      </c>
      <c r="B209" s="13" t="str">
        <f>IF(TabelaPrincipal[[#This Row],[POSIÇÃO]]=1, TabelaPrincipal[[#This Row],[DESCRIÇÃO]],)</f>
        <v>Avental hospitalar, tipo: capote cirúrgico, material: sms, tamanho: único, gramatura: cerca de 40 g/cm2, cor: branco, componente: tiras para fixação, característica adicional: manga longa, punho malha.</v>
      </c>
      <c r="C209" s="14" t="str">
        <f>IF(TabelaPrincipal[[#This Row],[POSIÇÃO]]=1,TabelaPrincipal[[#This Row],[UND]],)</f>
        <v>Unidade</v>
      </c>
      <c r="D209" s="13">
        <f>IF(TabelaPrincipal[[#This Row],[POSIÇÃO]]=1,TabelaPrincipal[[#This Row],[QTD]],)</f>
        <v>500</v>
      </c>
      <c r="E209" s="13" t="str">
        <f>IF(TabelaPrincipal[[#This Row],[POSIÇÃO]]=1,TabelaPrincipal[[#This Row],[MARCA]],)</f>
        <v>Maycare</v>
      </c>
      <c r="F209" s="15">
        <f>IF(TabelaPrincipal[[#This Row],[POSIÇÃO]]=1,TabelaPrincipal[[#This Row],[LANCE ATUAL]],)</f>
        <v>5.18</v>
      </c>
      <c r="G209" s="16">
        <f>IF(TabelaPrincipal[[#This Row],[POSIÇÃO]]=1,TabelaPrincipal[[#This Row],[VALOR TOTAL DO LANCE]],)</f>
        <v>2590</v>
      </c>
      <c r="H209" s="14"/>
    </row>
    <row r="210" spans="1:8" ht="25.5" hidden="1" x14ac:dyDescent="0.25">
      <c r="A210" s="12">
        <f>IF(TabelaPrincipal[[#This Row],[POSIÇÃO]]=1, TabelaPrincipal[[#This Row],[ITEM]],)</f>
        <v>0</v>
      </c>
      <c r="B210" s="13">
        <f>IF(TabelaPrincipal[[#This Row],[POSIÇÃO]]=1, TabelaPrincipal[[#This Row],[DESCRIÇÃO]],)</f>
        <v>0</v>
      </c>
      <c r="C210" s="14">
        <f>IF(TabelaPrincipal[[#This Row],[POSIÇÃO]]=1,TabelaPrincipal[[#This Row],[UND]],)</f>
        <v>0</v>
      </c>
      <c r="D210" s="13">
        <f>IF(TabelaPrincipal[[#This Row],[POSIÇÃO]]=1,TabelaPrincipal[[#This Row],[QTD]],)</f>
        <v>0</v>
      </c>
      <c r="E210" s="13">
        <f>IF(TabelaPrincipal[[#This Row],[POSIÇÃO]]=1,TabelaPrincipal[[#This Row],[MARCA]],)</f>
        <v>0</v>
      </c>
      <c r="F210" s="15">
        <f>IF(TabelaPrincipal[[#This Row],[POSIÇÃO]]=1,TabelaPrincipal[[#This Row],[LANCE ATUAL]],)</f>
        <v>0</v>
      </c>
      <c r="G210" s="16">
        <f>IF(TabelaPrincipal[[#This Row],[POSIÇÃO]]=1,TabelaPrincipal[[#This Row],[VALOR TOTAL DO LANCE]],)</f>
        <v>0</v>
      </c>
      <c r="H210" s="14"/>
    </row>
    <row r="211" spans="1:8" x14ac:dyDescent="0.25">
      <c r="A211" s="12">
        <f>IF(TabelaPrincipal[[#This Row],[POSIÇÃO]]=1, TabelaPrincipal[[#This Row],[ITEM]],)</f>
        <v>470</v>
      </c>
      <c r="B211" s="13" t="str">
        <f>IF(TabelaPrincipal[[#This Row],[POSIÇÃO]]=1, TabelaPrincipal[[#This Row],[DESCRIÇÃO]],)</f>
        <v>Valerato de betametasona 1 mg/g creme dermatológico</v>
      </c>
      <c r="C211" s="14" t="str">
        <f>IF(TabelaPrincipal[[#This Row],[POSIÇÃO]]=1,TabelaPrincipal[[#This Row],[UND]],)</f>
        <v>Tubo</v>
      </c>
      <c r="D211" s="13">
        <f>IF(TabelaPrincipal[[#This Row],[POSIÇÃO]]=1,TabelaPrincipal[[#This Row],[QTD]],)</f>
        <v>200</v>
      </c>
      <c r="E211" s="13" t="str">
        <f>IF(TabelaPrincipal[[#This Row],[POSIÇÃO]]=1,TabelaPrincipal[[#This Row],[MARCA]],)</f>
        <v>Brainfarma</v>
      </c>
      <c r="F211" s="15">
        <f>IF(TabelaPrincipal[[#This Row],[POSIÇÃO]]=1,TabelaPrincipal[[#This Row],[LANCE ATUAL]],)</f>
        <v>7.98</v>
      </c>
      <c r="G211" s="16">
        <f>IF(TabelaPrincipal[[#This Row],[POSIÇÃO]]=1,TabelaPrincipal[[#This Row],[VALOR TOTAL DO LANCE]],)</f>
        <v>1596</v>
      </c>
      <c r="H211" s="14"/>
    </row>
    <row r="212" spans="1:8" ht="127.5" hidden="1" x14ac:dyDescent="0.25">
      <c r="A212" s="12">
        <f>IF(TabelaPrincipal[[#This Row],[POSIÇÃO]]=1, TabelaPrincipal[[#This Row],[ITEM]],)</f>
        <v>0</v>
      </c>
      <c r="B212" s="13">
        <f>IF(TabelaPrincipal[[#This Row],[POSIÇÃO]]=1, TabelaPrincipal[[#This Row],[DESCRIÇÃO]],)</f>
        <v>0</v>
      </c>
      <c r="C212" s="14">
        <f>IF(TabelaPrincipal[[#This Row],[POSIÇÃO]]=1,TabelaPrincipal[[#This Row],[UND]],)</f>
        <v>0</v>
      </c>
      <c r="D212" s="13">
        <f>IF(TabelaPrincipal[[#This Row],[POSIÇÃO]]=1,TabelaPrincipal[[#This Row],[QTD]],)</f>
        <v>0</v>
      </c>
      <c r="E212" s="13">
        <f>IF(TabelaPrincipal[[#This Row],[POSIÇÃO]]=1,TabelaPrincipal[[#This Row],[MARCA]],)</f>
        <v>0</v>
      </c>
      <c r="F212" s="15">
        <f>IF(TabelaPrincipal[[#This Row],[POSIÇÃO]]=1,TabelaPrincipal[[#This Row],[LANCE ATUAL]],)</f>
        <v>0</v>
      </c>
      <c r="G212" s="16">
        <f>IF(TabelaPrincipal[[#This Row],[POSIÇÃO]]=1,TabelaPrincipal[[#This Row],[VALOR TOTAL DO LANCE]],)</f>
        <v>0</v>
      </c>
      <c r="H212" s="14"/>
    </row>
    <row r="213" spans="1:8" ht="153" hidden="1" x14ac:dyDescent="0.25">
      <c r="A213" s="12">
        <f>IF(TabelaPrincipal[[#This Row],[POSIÇÃO]]=1, TabelaPrincipal[[#This Row],[ITEM]],)</f>
        <v>0</v>
      </c>
      <c r="B213" s="13">
        <f>IF(TabelaPrincipal[[#This Row],[POSIÇÃO]]=1, TabelaPrincipal[[#This Row],[DESCRIÇÃO]],)</f>
        <v>0</v>
      </c>
      <c r="C213" s="14">
        <f>IF(TabelaPrincipal[[#This Row],[POSIÇÃO]]=1,TabelaPrincipal[[#This Row],[UND]],)</f>
        <v>0</v>
      </c>
      <c r="D213" s="13">
        <f>IF(TabelaPrincipal[[#This Row],[POSIÇÃO]]=1,TabelaPrincipal[[#This Row],[QTD]],)</f>
        <v>0</v>
      </c>
      <c r="E213" s="13">
        <f>IF(TabelaPrincipal[[#This Row],[POSIÇÃO]]=1,TabelaPrincipal[[#This Row],[MARCA]],)</f>
        <v>0</v>
      </c>
      <c r="F213" s="15">
        <f>IF(TabelaPrincipal[[#This Row],[POSIÇÃO]]=1,TabelaPrincipal[[#This Row],[LANCE ATUAL]],)</f>
        <v>0</v>
      </c>
      <c r="G213" s="16">
        <f>IF(TabelaPrincipal[[#This Row],[POSIÇÃO]]=1,TabelaPrincipal[[#This Row],[VALOR TOTAL DO LANCE]],)</f>
        <v>0</v>
      </c>
      <c r="H213" s="14"/>
    </row>
    <row r="214" spans="1:8" ht="140.25" hidden="1" x14ac:dyDescent="0.25">
      <c r="A214" s="12">
        <f>IF(TabelaPrincipal[[#This Row],[POSIÇÃO]]=1, TabelaPrincipal[[#This Row],[ITEM]],)</f>
        <v>0</v>
      </c>
      <c r="B214" s="13">
        <f>IF(TabelaPrincipal[[#This Row],[POSIÇÃO]]=1, TabelaPrincipal[[#This Row],[DESCRIÇÃO]],)</f>
        <v>0</v>
      </c>
      <c r="C214" s="14">
        <f>IF(TabelaPrincipal[[#This Row],[POSIÇÃO]]=1,TabelaPrincipal[[#This Row],[UND]],)</f>
        <v>0</v>
      </c>
      <c r="D214" s="13">
        <f>IF(TabelaPrincipal[[#This Row],[POSIÇÃO]]=1,TabelaPrincipal[[#This Row],[QTD]],)</f>
        <v>0</v>
      </c>
      <c r="E214" s="13">
        <f>IF(TabelaPrincipal[[#This Row],[POSIÇÃO]]=1,TabelaPrincipal[[#This Row],[MARCA]],)</f>
        <v>0</v>
      </c>
      <c r="F214" s="15">
        <f>IF(TabelaPrincipal[[#This Row],[POSIÇÃO]]=1,TabelaPrincipal[[#This Row],[LANCE ATUAL]],)</f>
        <v>0</v>
      </c>
      <c r="G214" s="16">
        <f>IF(TabelaPrincipal[[#This Row],[POSIÇÃO]]=1,TabelaPrincipal[[#This Row],[VALOR TOTAL DO LANCE]],)</f>
        <v>0</v>
      </c>
      <c r="H214" s="14"/>
    </row>
    <row r="215" spans="1:8" ht="25.5" hidden="1" x14ac:dyDescent="0.25">
      <c r="A215" s="12">
        <f>IF(TabelaPrincipal[[#This Row],[POSIÇÃO]]=1, TabelaPrincipal[[#This Row],[ITEM]],)</f>
        <v>0</v>
      </c>
      <c r="B215" s="13">
        <f>IF(TabelaPrincipal[[#This Row],[POSIÇÃO]]=1, TabelaPrincipal[[#This Row],[DESCRIÇÃO]],)</f>
        <v>0</v>
      </c>
      <c r="C215" s="14">
        <f>IF(TabelaPrincipal[[#This Row],[POSIÇÃO]]=1,TabelaPrincipal[[#This Row],[UND]],)</f>
        <v>0</v>
      </c>
      <c r="D215" s="13">
        <f>IF(TabelaPrincipal[[#This Row],[POSIÇÃO]]=1,TabelaPrincipal[[#This Row],[QTD]],)</f>
        <v>0</v>
      </c>
      <c r="E215" s="13">
        <f>IF(TabelaPrincipal[[#This Row],[POSIÇÃO]]=1,TabelaPrincipal[[#This Row],[MARCA]],)</f>
        <v>0</v>
      </c>
      <c r="F215" s="15">
        <f>IF(TabelaPrincipal[[#This Row],[POSIÇÃO]]=1,TabelaPrincipal[[#This Row],[LANCE ATUAL]],)</f>
        <v>0</v>
      </c>
      <c r="G215" s="16">
        <f>IF(TabelaPrincipal[[#This Row],[POSIÇÃO]]=1,TabelaPrincipal[[#This Row],[VALOR TOTAL DO LANCE]],)</f>
        <v>0</v>
      </c>
      <c r="H215" s="14"/>
    </row>
    <row r="216" spans="1:8" hidden="1" x14ac:dyDescent="0.25">
      <c r="A216" s="12">
        <f>IF(TabelaPrincipal[[#This Row],[POSIÇÃO]]=1, TabelaPrincipal[[#This Row],[ITEM]],)</f>
        <v>0</v>
      </c>
      <c r="B216" s="13">
        <f>IF(TabelaPrincipal[[#This Row],[POSIÇÃO]]=1, TabelaPrincipal[[#This Row],[DESCRIÇÃO]],)</f>
        <v>0</v>
      </c>
      <c r="C216" s="14">
        <f>IF(TabelaPrincipal[[#This Row],[POSIÇÃO]]=1,TabelaPrincipal[[#This Row],[UND]],)</f>
        <v>0</v>
      </c>
      <c r="D216" s="13">
        <f>IF(TabelaPrincipal[[#This Row],[POSIÇÃO]]=1,TabelaPrincipal[[#This Row],[QTD]],)</f>
        <v>0</v>
      </c>
      <c r="E216" s="13">
        <f>IF(TabelaPrincipal[[#This Row],[POSIÇÃO]]=1,TabelaPrincipal[[#This Row],[MARCA]],)</f>
        <v>0</v>
      </c>
      <c r="F216" s="15">
        <f>IF(TabelaPrincipal[[#This Row],[POSIÇÃO]]=1,TabelaPrincipal[[#This Row],[LANCE ATUAL]],)</f>
        <v>0</v>
      </c>
      <c r="G216" s="16">
        <f>IF(TabelaPrincipal[[#This Row],[POSIÇÃO]]=1,TabelaPrincipal[[#This Row],[VALOR TOTAL DO LANCE]],)</f>
        <v>0</v>
      </c>
      <c r="H216" s="14"/>
    </row>
    <row r="217" spans="1:8" hidden="1" x14ac:dyDescent="0.25">
      <c r="A217" s="12">
        <f>IF(TabelaPrincipal[[#This Row],[POSIÇÃO]]=1, TabelaPrincipal[[#This Row],[ITEM]],)</f>
        <v>0</v>
      </c>
      <c r="B217" s="13">
        <f>IF(TabelaPrincipal[[#This Row],[POSIÇÃO]]=1, TabelaPrincipal[[#This Row],[DESCRIÇÃO]],)</f>
        <v>0</v>
      </c>
      <c r="C217" s="14">
        <f>IF(TabelaPrincipal[[#This Row],[POSIÇÃO]]=1,TabelaPrincipal[[#This Row],[UND]],)</f>
        <v>0</v>
      </c>
      <c r="D217" s="13">
        <f>IF(TabelaPrincipal[[#This Row],[POSIÇÃO]]=1,TabelaPrincipal[[#This Row],[QTD]],)</f>
        <v>0</v>
      </c>
      <c r="E217" s="13">
        <f>IF(TabelaPrincipal[[#This Row],[POSIÇÃO]]=1,TabelaPrincipal[[#This Row],[MARCA]],)</f>
        <v>0</v>
      </c>
      <c r="F217" s="15">
        <f>IF(TabelaPrincipal[[#This Row],[POSIÇÃO]]=1,TabelaPrincipal[[#This Row],[LANCE ATUAL]],)</f>
        <v>0</v>
      </c>
      <c r="G217" s="16">
        <f>IF(TabelaPrincipal[[#This Row],[POSIÇÃO]]=1,TabelaPrincipal[[#This Row],[VALOR TOTAL DO LANCE]],)</f>
        <v>0</v>
      </c>
      <c r="H217" s="14"/>
    </row>
    <row r="218" spans="1:8" hidden="1" x14ac:dyDescent="0.25">
      <c r="A218" s="12">
        <f>IF(TabelaPrincipal[[#This Row],[POSIÇÃO]]=1, TabelaPrincipal[[#This Row],[ITEM]],)</f>
        <v>0</v>
      </c>
      <c r="B218" s="13">
        <f>IF(TabelaPrincipal[[#This Row],[POSIÇÃO]]=1, TabelaPrincipal[[#This Row],[DESCRIÇÃO]],)</f>
        <v>0</v>
      </c>
      <c r="C218" s="14">
        <f>IF(TabelaPrincipal[[#This Row],[POSIÇÃO]]=1,TabelaPrincipal[[#This Row],[UND]],)</f>
        <v>0</v>
      </c>
      <c r="D218" s="13">
        <f>IF(TabelaPrincipal[[#This Row],[POSIÇÃO]]=1,TabelaPrincipal[[#This Row],[QTD]],)</f>
        <v>0</v>
      </c>
      <c r="E218" s="13">
        <f>IF(TabelaPrincipal[[#This Row],[POSIÇÃO]]=1,TabelaPrincipal[[#This Row],[MARCA]],)</f>
        <v>0</v>
      </c>
      <c r="F218" s="15">
        <f>IF(TabelaPrincipal[[#This Row],[POSIÇÃO]]=1,TabelaPrincipal[[#This Row],[LANCE ATUAL]],)</f>
        <v>0</v>
      </c>
      <c r="G218" s="16">
        <f>IF(TabelaPrincipal[[#This Row],[POSIÇÃO]]=1,TabelaPrincipal[[#This Row],[VALOR TOTAL DO LANCE]],)</f>
        <v>0</v>
      </c>
      <c r="H218" s="14"/>
    </row>
    <row r="219" spans="1:8" ht="25.5" hidden="1" x14ac:dyDescent="0.25">
      <c r="A219" s="12">
        <f>IF(TabelaPrincipal[[#This Row],[POSIÇÃO]]=1, TabelaPrincipal[[#This Row],[ITEM]],)</f>
        <v>0</v>
      </c>
      <c r="B219" s="13">
        <f>IF(TabelaPrincipal[[#This Row],[POSIÇÃO]]=1, TabelaPrincipal[[#This Row],[DESCRIÇÃO]],)</f>
        <v>0</v>
      </c>
      <c r="C219" s="14">
        <f>IF(TabelaPrincipal[[#This Row],[POSIÇÃO]]=1,TabelaPrincipal[[#This Row],[UND]],)</f>
        <v>0</v>
      </c>
      <c r="D219" s="13">
        <f>IF(TabelaPrincipal[[#This Row],[POSIÇÃO]]=1,TabelaPrincipal[[#This Row],[QTD]],)</f>
        <v>0</v>
      </c>
      <c r="E219" s="13">
        <f>IF(TabelaPrincipal[[#This Row],[POSIÇÃO]]=1,TabelaPrincipal[[#This Row],[MARCA]],)</f>
        <v>0</v>
      </c>
      <c r="F219" s="15">
        <f>IF(TabelaPrincipal[[#This Row],[POSIÇÃO]]=1,TabelaPrincipal[[#This Row],[LANCE ATUAL]],)</f>
        <v>0</v>
      </c>
      <c r="G219" s="16">
        <f>IF(TabelaPrincipal[[#This Row],[POSIÇÃO]]=1,TabelaPrincipal[[#This Row],[VALOR TOTAL DO LANCE]],)</f>
        <v>0</v>
      </c>
      <c r="H219" s="14"/>
    </row>
    <row r="220" spans="1:8" hidden="1" x14ac:dyDescent="0.25">
      <c r="A220" s="12">
        <f>IF(TabelaPrincipal[[#This Row],[POSIÇÃO]]=1, TabelaPrincipal[[#This Row],[ITEM]],)</f>
        <v>0</v>
      </c>
      <c r="B220" s="13">
        <f>IF(TabelaPrincipal[[#This Row],[POSIÇÃO]]=1, TabelaPrincipal[[#This Row],[DESCRIÇÃO]],)</f>
        <v>0</v>
      </c>
      <c r="C220" s="14">
        <f>IF(TabelaPrincipal[[#This Row],[POSIÇÃO]]=1,TabelaPrincipal[[#This Row],[UND]],)</f>
        <v>0</v>
      </c>
      <c r="D220" s="13">
        <f>IF(TabelaPrincipal[[#This Row],[POSIÇÃO]]=1,TabelaPrincipal[[#This Row],[QTD]],)</f>
        <v>0</v>
      </c>
      <c r="E220" s="13">
        <f>IF(TabelaPrincipal[[#This Row],[POSIÇÃO]]=1,TabelaPrincipal[[#This Row],[MARCA]],)</f>
        <v>0</v>
      </c>
      <c r="F220" s="15">
        <f>IF(TabelaPrincipal[[#This Row],[POSIÇÃO]]=1,TabelaPrincipal[[#This Row],[LANCE ATUAL]],)</f>
        <v>0</v>
      </c>
      <c r="G220" s="16">
        <f>IF(TabelaPrincipal[[#This Row],[POSIÇÃO]]=1,TabelaPrincipal[[#This Row],[VALOR TOTAL DO LANCE]],)</f>
        <v>0</v>
      </c>
      <c r="H220" s="14"/>
    </row>
    <row r="221" spans="1:8" hidden="1" x14ac:dyDescent="0.25">
      <c r="A221" s="12">
        <f>IF(TabelaPrincipal[[#This Row],[POSIÇÃO]]=1, TabelaPrincipal[[#This Row],[ITEM]],)</f>
        <v>0</v>
      </c>
      <c r="B221" s="13">
        <f>IF(TabelaPrincipal[[#This Row],[POSIÇÃO]]=1, TabelaPrincipal[[#This Row],[DESCRIÇÃO]],)</f>
        <v>0</v>
      </c>
      <c r="C221" s="14">
        <f>IF(TabelaPrincipal[[#This Row],[POSIÇÃO]]=1,TabelaPrincipal[[#This Row],[UND]],)</f>
        <v>0</v>
      </c>
      <c r="D221" s="13">
        <f>IF(TabelaPrincipal[[#This Row],[POSIÇÃO]]=1,TabelaPrincipal[[#This Row],[QTD]],)</f>
        <v>0</v>
      </c>
      <c r="E221" s="13">
        <f>IF(TabelaPrincipal[[#This Row],[POSIÇÃO]]=1,TabelaPrincipal[[#This Row],[MARCA]],)</f>
        <v>0</v>
      </c>
      <c r="F221" s="15">
        <f>IF(TabelaPrincipal[[#This Row],[POSIÇÃO]]=1,TabelaPrincipal[[#This Row],[LANCE ATUAL]],)</f>
        <v>0</v>
      </c>
      <c r="G221" s="16">
        <f>IF(TabelaPrincipal[[#This Row],[POSIÇÃO]]=1,TabelaPrincipal[[#This Row],[VALOR TOTAL DO LANCE]],)</f>
        <v>0</v>
      </c>
      <c r="H221" s="14"/>
    </row>
    <row r="222" spans="1:8" ht="25.5" hidden="1" x14ac:dyDescent="0.25">
      <c r="A222" s="12">
        <f>IF(TabelaPrincipal[[#This Row],[POSIÇÃO]]=1, TabelaPrincipal[[#This Row],[ITEM]],)</f>
        <v>0</v>
      </c>
      <c r="B222" s="13">
        <f>IF(TabelaPrincipal[[#This Row],[POSIÇÃO]]=1, TabelaPrincipal[[#This Row],[DESCRIÇÃO]],)</f>
        <v>0</v>
      </c>
      <c r="C222" s="14">
        <f>IF(TabelaPrincipal[[#This Row],[POSIÇÃO]]=1,TabelaPrincipal[[#This Row],[UND]],)</f>
        <v>0</v>
      </c>
      <c r="D222" s="13">
        <f>IF(TabelaPrincipal[[#This Row],[POSIÇÃO]]=1,TabelaPrincipal[[#This Row],[QTD]],)</f>
        <v>0</v>
      </c>
      <c r="E222" s="13">
        <f>IF(TabelaPrincipal[[#This Row],[POSIÇÃO]]=1,TabelaPrincipal[[#This Row],[MARCA]],)</f>
        <v>0</v>
      </c>
      <c r="F222" s="15">
        <f>IF(TabelaPrincipal[[#This Row],[POSIÇÃO]]=1,TabelaPrincipal[[#This Row],[LANCE ATUAL]],)</f>
        <v>0</v>
      </c>
      <c r="G222" s="16">
        <f>IF(TabelaPrincipal[[#This Row],[POSIÇÃO]]=1,TabelaPrincipal[[#This Row],[VALOR TOTAL DO LANCE]],)</f>
        <v>0</v>
      </c>
      <c r="H222" s="14"/>
    </row>
    <row r="223" spans="1:8" hidden="1" x14ac:dyDescent="0.25">
      <c r="A223" s="12">
        <f>IF(TabelaPrincipal[[#This Row],[POSIÇÃO]]=1, TabelaPrincipal[[#This Row],[ITEM]],)</f>
        <v>0</v>
      </c>
      <c r="B223" s="13">
        <f>IF(TabelaPrincipal[[#This Row],[POSIÇÃO]]=1, TabelaPrincipal[[#This Row],[DESCRIÇÃO]],)</f>
        <v>0</v>
      </c>
      <c r="C223" s="14">
        <f>IF(TabelaPrincipal[[#This Row],[POSIÇÃO]]=1,TabelaPrincipal[[#This Row],[UND]],)</f>
        <v>0</v>
      </c>
      <c r="D223" s="13">
        <f>IF(TabelaPrincipal[[#This Row],[POSIÇÃO]]=1,TabelaPrincipal[[#This Row],[QTD]],)</f>
        <v>0</v>
      </c>
      <c r="E223" s="13">
        <f>IF(TabelaPrincipal[[#This Row],[POSIÇÃO]]=1,TabelaPrincipal[[#This Row],[MARCA]],)</f>
        <v>0</v>
      </c>
      <c r="F223" s="15">
        <f>IF(TabelaPrincipal[[#This Row],[POSIÇÃO]]=1,TabelaPrincipal[[#This Row],[LANCE ATUAL]],)</f>
        <v>0</v>
      </c>
      <c r="G223" s="16">
        <f>IF(TabelaPrincipal[[#This Row],[POSIÇÃO]]=1,TabelaPrincipal[[#This Row],[VALOR TOTAL DO LANCE]],)</f>
        <v>0</v>
      </c>
      <c r="H223" s="14"/>
    </row>
    <row r="224" spans="1:8" hidden="1" x14ac:dyDescent="0.25">
      <c r="A224" s="12">
        <f>IF(TabelaPrincipal[[#This Row],[POSIÇÃO]]=1, TabelaPrincipal[[#This Row],[ITEM]],)</f>
        <v>0</v>
      </c>
      <c r="B224" s="13">
        <f>IF(TabelaPrincipal[[#This Row],[POSIÇÃO]]=1, TabelaPrincipal[[#This Row],[DESCRIÇÃO]],)</f>
        <v>0</v>
      </c>
      <c r="C224" s="14">
        <f>IF(TabelaPrincipal[[#This Row],[POSIÇÃO]]=1,TabelaPrincipal[[#This Row],[UND]],)</f>
        <v>0</v>
      </c>
      <c r="D224" s="13">
        <f>IF(TabelaPrincipal[[#This Row],[POSIÇÃO]]=1,TabelaPrincipal[[#This Row],[QTD]],)</f>
        <v>0</v>
      </c>
      <c r="E224" s="13">
        <f>IF(TabelaPrincipal[[#This Row],[POSIÇÃO]]=1,TabelaPrincipal[[#This Row],[MARCA]],)</f>
        <v>0</v>
      </c>
      <c r="F224" s="15">
        <f>IF(TabelaPrincipal[[#This Row],[POSIÇÃO]]=1,TabelaPrincipal[[#This Row],[LANCE ATUAL]],)</f>
        <v>0</v>
      </c>
      <c r="G224" s="16">
        <f>IF(TabelaPrincipal[[#This Row],[POSIÇÃO]]=1,TabelaPrincipal[[#This Row],[VALOR TOTAL DO LANCE]],)</f>
        <v>0</v>
      </c>
      <c r="H224" s="14"/>
    </row>
    <row r="225" spans="1:8" ht="25.5" x14ac:dyDescent="0.25">
      <c r="A225" s="12">
        <f>IF(TabelaPrincipal[[#This Row],[POSIÇÃO]]=1, TabelaPrincipal[[#This Row],[ITEM]],)</f>
        <v>522</v>
      </c>
      <c r="B225" s="13" t="str">
        <f>IF(TabelaPrincipal[[#This Row],[POSIÇÃO]]=1, TabelaPrincipal[[#This Row],[DESCRIÇÃO]],)</f>
        <v>Neostigmina metilsulfato, dosagem: 0,5 mg/ml, apresentação: solução injetável</v>
      </c>
      <c r="C225" s="14" t="str">
        <f>IF(TabelaPrincipal[[#This Row],[POSIÇÃO]]=1,TabelaPrincipal[[#This Row],[UND]],)</f>
        <v>Ampola</v>
      </c>
      <c r="D225" s="13">
        <f>IF(TabelaPrincipal[[#This Row],[POSIÇÃO]]=1,TabelaPrincipal[[#This Row],[QTD]],)</f>
        <v>50</v>
      </c>
      <c r="E225" s="13" t="str">
        <f>IF(TabelaPrincipal[[#This Row],[POSIÇÃO]]=1,TabelaPrincipal[[#This Row],[MARCA]],)</f>
        <v>União Química</v>
      </c>
      <c r="F225" s="15">
        <f>IF(TabelaPrincipal[[#This Row],[POSIÇÃO]]=1,TabelaPrincipal[[#This Row],[LANCE ATUAL]],)</f>
        <v>2.27</v>
      </c>
      <c r="G225" s="16">
        <f>IF(TabelaPrincipal[[#This Row],[POSIÇÃO]]=1,TabelaPrincipal[[#This Row],[VALOR TOTAL DO LANCE]],)</f>
        <v>113.5</v>
      </c>
      <c r="H225" s="14"/>
    </row>
    <row r="226" spans="1:8" x14ac:dyDescent="0.25">
      <c r="A226" s="12">
        <f>IF(TabelaPrincipal[[#This Row],[POSIÇÃO]]=1, TabelaPrincipal[[#This Row],[ITEM]],)</f>
        <v>523</v>
      </c>
      <c r="B226" s="13" t="str">
        <f>IF(TabelaPrincipal[[#This Row],[POSIÇÃO]]=1, TabelaPrincipal[[#This Row],[DESCRIÇÃO]],)</f>
        <v>Nitroglicerina, dosagem: 5 mg/ml, aplicação: injetável</v>
      </c>
      <c r="C226" s="14" t="str">
        <f>IF(TabelaPrincipal[[#This Row],[POSIÇÃO]]=1,TabelaPrincipal[[#This Row],[UND]],)</f>
        <v>Ampola 5 ml</v>
      </c>
      <c r="D226" s="13">
        <f>IF(TabelaPrincipal[[#This Row],[POSIÇÃO]]=1,TabelaPrincipal[[#This Row],[QTD]],)</f>
        <v>50</v>
      </c>
      <c r="E226" s="13" t="str">
        <f>IF(TabelaPrincipal[[#This Row],[POSIÇÃO]]=1,TabelaPrincipal[[#This Row],[MARCA]],)</f>
        <v>Cristália</v>
      </c>
      <c r="F226" s="15">
        <f>IF(TabelaPrincipal[[#This Row],[POSIÇÃO]]=1,TabelaPrincipal[[#This Row],[LANCE ATUAL]],)</f>
        <v>41.91</v>
      </c>
      <c r="G226" s="16">
        <f>IF(TabelaPrincipal[[#This Row],[POSIÇÃO]]=1,TabelaPrincipal[[#This Row],[VALOR TOTAL DO LANCE]],)</f>
        <v>2095.5</v>
      </c>
      <c r="H226" s="14"/>
    </row>
    <row r="227" spans="1:8" ht="25.5" x14ac:dyDescent="0.25">
      <c r="A227" s="12">
        <f>IF(TabelaPrincipal[[#This Row],[POSIÇÃO]]=1, TabelaPrincipal[[#This Row],[ITEM]],)</f>
        <v>524</v>
      </c>
      <c r="B227" s="13" t="str">
        <f>IF(TabelaPrincipal[[#This Row],[POSIÇÃO]]=1, TabelaPrincipal[[#This Row],[DESCRIÇÃO]],)</f>
        <v>Nitroprusseto de sódio, concentração: 25 mg/ml, forma farmacêutica: solução injetável</v>
      </c>
      <c r="C227" s="14" t="str">
        <f>IF(TabelaPrincipal[[#This Row],[POSIÇÃO]]=1,TabelaPrincipal[[#This Row],[UND]],)</f>
        <v>Ampola 2 ml</v>
      </c>
      <c r="D227" s="13">
        <f>IF(TabelaPrincipal[[#This Row],[POSIÇÃO]]=1,TabelaPrincipal[[#This Row],[QTD]],)</f>
        <v>50</v>
      </c>
      <c r="E227" s="13" t="str">
        <f>IF(TabelaPrincipal[[#This Row],[POSIÇÃO]]=1,TabelaPrincipal[[#This Row],[MARCA]],)</f>
        <v>Hypofarma</v>
      </c>
      <c r="F227" s="15">
        <f>IF(TabelaPrincipal[[#This Row],[POSIÇÃO]]=1,TabelaPrincipal[[#This Row],[LANCE ATUAL]],)</f>
        <v>15.56</v>
      </c>
      <c r="G227" s="16">
        <f>IF(TabelaPrincipal[[#This Row],[POSIÇÃO]]=1,TabelaPrincipal[[#This Row],[VALOR TOTAL DO LANCE]],)</f>
        <v>778</v>
      </c>
      <c r="H227" s="14"/>
    </row>
    <row r="228" spans="1:8" hidden="1" x14ac:dyDescent="0.25">
      <c r="A228" s="12">
        <f>IF(TabelaPrincipal[[#This Row],[POSIÇÃO]]=1, TabelaPrincipal[[#This Row],[ITEM]],)</f>
        <v>0</v>
      </c>
      <c r="B228" s="13">
        <f>IF(TabelaPrincipal[[#This Row],[POSIÇÃO]]=1, TabelaPrincipal[[#This Row],[DESCRIÇÃO]],)</f>
        <v>0</v>
      </c>
      <c r="C228" s="14">
        <f>IF(TabelaPrincipal[[#This Row],[POSIÇÃO]]=1,TabelaPrincipal[[#This Row],[UND]],)</f>
        <v>0</v>
      </c>
      <c r="D228" s="13">
        <f>IF(TabelaPrincipal[[#This Row],[POSIÇÃO]]=1,TabelaPrincipal[[#This Row],[QTD]],)</f>
        <v>0</v>
      </c>
      <c r="E228" s="13">
        <f>IF(TabelaPrincipal[[#This Row],[POSIÇÃO]]=1,TabelaPrincipal[[#This Row],[MARCA]],)</f>
        <v>0</v>
      </c>
      <c r="F228" s="15">
        <f>IF(TabelaPrincipal[[#This Row],[POSIÇÃO]]=1,TabelaPrincipal[[#This Row],[LANCE ATUAL]],)</f>
        <v>0</v>
      </c>
      <c r="G228" s="16">
        <f>IF(TabelaPrincipal[[#This Row],[POSIÇÃO]]=1,TabelaPrincipal[[#This Row],[VALOR TOTAL DO LANCE]],)</f>
        <v>0</v>
      </c>
      <c r="H228" s="14"/>
    </row>
    <row r="229" spans="1:8" x14ac:dyDescent="0.25">
      <c r="A229" s="12">
        <f>IF(TabelaPrincipal[[#This Row],[POSIÇÃO]]=1, TabelaPrincipal[[#This Row],[ITEM]],)</f>
        <v>526</v>
      </c>
      <c r="B229" s="13" t="str">
        <f>IF(TabelaPrincipal[[#This Row],[POSIÇÃO]]=1, TabelaPrincipal[[#This Row],[DESCRIÇÃO]],)</f>
        <v>Bromoprida 5 mg/mL solução injetável</v>
      </c>
      <c r="C229" s="14" t="str">
        <f>IF(TabelaPrincipal[[#This Row],[POSIÇÃO]]=1,TabelaPrincipal[[#This Row],[UND]],)</f>
        <v>Ampola 2 ml</v>
      </c>
      <c r="D229" s="13">
        <f>IF(TabelaPrincipal[[#This Row],[POSIÇÃO]]=1,TabelaPrincipal[[#This Row],[QTD]],)</f>
        <v>100</v>
      </c>
      <c r="E229" s="13" t="str">
        <f>IF(TabelaPrincipal[[#This Row],[POSIÇÃO]]=1,TabelaPrincipal[[#This Row],[MARCA]],)</f>
        <v>Hipolabor</v>
      </c>
      <c r="F229" s="15">
        <f>IF(TabelaPrincipal[[#This Row],[POSIÇÃO]]=1,TabelaPrincipal[[#This Row],[LANCE ATUAL]],)</f>
        <v>1.9</v>
      </c>
      <c r="G229" s="16">
        <f>IF(TabelaPrincipal[[#This Row],[POSIÇÃO]]=1,TabelaPrincipal[[#This Row],[VALOR TOTAL DO LANCE]],)</f>
        <v>190</v>
      </c>
      <c r="H229" s="14"/>
    </row>
    <row r="230" spans="1:8" ht="51" hidden="1" x14ac:dyDescent="0.25">
      <c r="A230" s="12">
        <f>IF(TabelaPrincipal[[#This Row],[POSIÇÃO]]=1, TabelaPrincipal[[#This Row],[ITEM]],)</f>
        <v>0</v>
      </c>
      <c r="B230" s="13">
        <f>IF(TabelaPrincipal[[#This Row],[POSIÇÃO]]=1, TabelaPrincipal[[#This Row],[DESCRIÇÃO]],)</f>
        <v>0</v>
      </c>
      <c r="C230" s="14">
        <f>IF(TabelaPrincipal[[#This Row],[POSIÇÃO]]=1,TabelaPrincipal[[#This Row],[UND]],)</f>
        <v>0</v>
      </c>
      <c r="D230" s="13">
        <f>IF(TabelaPrincipal[[#This Row],[POSIÇÃO]]=1,TabelaPrincipal[[#This Row],[QTD]],)</f>
        <v>0</v>
      </c>
      <c r="E230" s="13">
        <f>IF(TabelaPrincipal[[#This Row],[POSIÇÃO]]=1,TabelaPrincipal[[#This Row],[MARCA]],)</f>
        <v>0</v>
      </c>
      <c r="F230" s="15">
        <f>IF(TabelaPrincipal[[#This Row],[POSIÇÃO]]=1,TabelaPrincipal[[#This Row],[LANCE ATUAL]],)</f>
        <v>0</v>
      </c>
      <c r="G230" s="16">
        <f>IF(TabelaPrincipal[[#This Row],[POSIÇÃO]]=1,TabelaPrincipal[[#This Row],[VALOR TOTAL DO LANCE]],)</f>
        <v>0</v>
      </c>
      <c r="H230" s="14"/>
    </row>
    <row r="231" spans="1:8" ht="38.25" x14ac:dyDescent="0.25">
      <c r="A231" s="12">
        <f>IF(TabelaPrincipal[[#This Row],[POSIÇÃO]]=1, TabelaPrincipal[[#This Row],[ITEM]],)</f>
        <v>528</v>
      </c>
      <c r="B231" s="13" t="str">
        <f>IF(TabelaPrincipal[[#This Row],[POSIÇÃO]]=1, TabelaPrincipal[[#This Row],[DESCRIÇÃO]],)</f>
        <v>Salicilato de metila, composição: associado à ess. terebentina, cânfora e mentol, concentração: 0,02 ml + 0,05 ml + 30 mg + 5 mg,g, forma farmacêutica: pomada</v>
      </c>
      <c r="C231" s="14" t="str">
        <f>IF(TabelaPrincipal[[#This Row],[POSIÇÃO]]=1,TabelaPrincipal[[#This Row],[UND]],)</f>
        <v>Bisnaga 30 g</v>
      </c>
      <c r="D231" s="13">
        <f>IF(TabelaPrincipal[[#This Row],[POSIÇÃO]]=1,TabelaPrincipal[[#This Row],[QTD]],)</f>
        <v>300</v>
      </c>
      <c r="E231" s="13" t="str">
        <f>IF(TabelaPrincipal[[#This Row],[POSIÇÃO]]=1,TabelaPrincipal[[#This Row],[MARCA]],)</f>
        <v>Neo Química</v>
      </c>
      <c r="F231" s="15">
        <f>IF(TabelaPrincipal[[#This Row],[POSIÇÃO]]=1,TabelaPrincipal[[#This Row],[LANCE ATUAL]],)</f>
        <v>6.65</v>
      </c>
      <c r="G231" s="16">
        <f>IF(TabelaPrincipal[[#This Row],[POSIÇÃO]]=1,TabelaPrincipal[[#This Row],[VALOR TOTAL DO LANCE]],)</f>
        <v>1995</v>
      </c>
      <c r="H231" s="14"/>
    </row>
    <row r="232" spans="1:8" hidden="1" x14ac:dyDescent="0.25">
      <c r="A232" s="12">
        <f>IF(TabelaPrincipal[[#This Row],[POSIÇÃO]]=1, TabelaPrincipal[[#This Row],[ITEM]],)</f>
        <v>0</v>
      </c>
      <c r="B232" s="13">
        <f>IF(TabelaPrincipal[[#This Row],[POSIÇÃO]]=1, TabelaPrincipal[[#This Row],[DESCRIÇÃO]],)</f>
        <v>0</v>
      </c>
      <c r="C232" s="14">
        <f>IF(TabelaPrincipal[[#This Row],[POSIÇÃO]]=1,TabelaPrincipal[[#This Row],[UND]],)</f>
        <v>0</v>
      </c>
      <c r="D232" s="13">
        <f>IF(TabelaPrincipal[[#This Row],[POSIÇÃO]]=1,TabelaPrincipal[[#This Row],[QTD]],)</f>
        <v>0</v>
      </c>
      <c r="E232" s="13">
        <f>IF(TabelaPrincipal[[#This Row],[POSIÇÃO]]=1,TabelaPrincipal[[#This Row],[MARCA]],)</f>
        <v>0</v>
      </c>
      <c r="F232" s="15">
        <f>IF(TabelaPrincipal[[#This Row],[POSIÇÃO]]=1,TabelaPrincipal[[#This Row],[LANCE ATUAL]],)</f>
        <v>0</v>
      </c>
      <c r="G232" s="16">
        <f>IF(TabelaPrincipal[[#This Row],[POSIÇÃO]]=1,TabelaPrincipal[[#This Row],[VALOR TOTAL DO LANCE]],)</f>
        <v>0</v>
      </c>
      <c r="H232" s="14"/>
    </row>
    <row r="233" spans="1:8" ht="25.5" x14ac:dyDescent="0.25">
      <c r="A233" s="12">
        <f>IF(TabelaPrincipal[[#This Row],[POSIÇÃO]]=1, TabelaPrincipal[[#This Row],[ITEM]],)</f>
        <v>530</v>
      </c>
      <c r="B233" s="13" t="str">
        <f>IF(TabelaPrincipal[[#This Row],[POSIÇÃO]]=1, TabelaPrincipal[[#This Row],[DESCRIÇÃO]],)</f>
        <v>Triancinolona, composição: acetonida, concentração: 1 mg/g, forma farmacêutica: pasta oral</v>
      </c>
      <c r="C233" s="14" t="str">
        <f>IF(TabelaPrincipal[[#This Row],[POSIÇÃO]]=1,TabelaPrincipal[[#This Row],[UND]],)</f>
        <v>Bisnaga 10 g</v>
      </c>
      <c r="D233" s="13">
        <f>IF(TabelaPrincipal[[#This Row],[POSIÇÃO]]=1,TabelaPrincipal[[#This Row],[QTD]],)</f>
        <v>500</v>
      </c>
      <c r="E233" s="13" t="str">
        <f>IF(TabelaPrincipal[[#This Row],[POSIÇÃO]]=1,TabelaPrincipal[[#This Row],[MARCA]],)</f>
        <v>Germed</v>
      </c>
      <c r="F233" s="15">
        <f>IF(TabelaPrincipal[[#This Row],[POSIÇÃO]]=1,TabelaPrincipal[[#This Row],[LANCE ATUAL]],)</f>
        <v>5.41</v>
      </c>
      <c r="G233" s="16">
        <f>IF(TabelaPrincipal[[#This Row],[POSIÇÃO]]=1,TabelaPrincipal[[#This Row],[VALOR TOTAL DO LANCE]],)</f>
        <v>2705</v>
      </c>
      <c r="H233" s="14"/>
    </row>
    <row r="234" spans="1:8" ht="38.25" hidden="1" x14ac:dyDescent="0.25">
      <c r="A234" s="12">
        <f>IF(TabelaPrincipal[[#This Row],[POSIÇÃO]]=1, TabelaPrincipal[[#This Row],[ITEM]],)</f>
        <v>0</v>
      </c>
      <c r="B234" s="13">
        <f>IF(TabelaPrincipal[[#This Row],[POSIÇÃO]]=1, TabelaPrincipal[[#This Row],[DESCRIÇÃO]],)</f>
        <v>0</v>
      </c>
      <c r="C234" s="14">
        <f>IF(TabelaPrincipal[[#This Row],[POSIÇÃO]]=1,TabelaPrincipal[[#This Row],[UND]],)</f>
        <v>0</v>
      </c>
      <c r="D234" s="13">
        <f>IF(TabelaPrincipal[[#This Row],[POSIÇÃO]]=1,TabelaPrincipal[[#This Row],[QTD]],)</f>
        <v>0</v>
      </c>
      <c r="E234" s="13">
        <f>IF(TabelaPrincipal[[#This Row],[POSIÇÃO]]=1,TabelaPrincipal[[#This Row],[MARCA]],)</f>
        <v>0</v>
      </c>
      <c r="F234" s="15">
        <f>IF(TabelaPrincipal[[#This Row],[POSIÇÃO]]=1,TabelaPrincipal[[#This Row],[LANCE ATUAL]],)</f>
        <v>0</v>
      </c>
      <c r="G234" s="16">
        <f>IF(TabelaPrincipal[[#This Row],[POSIÇÃO]]=1,TabelaPrincipal[[#This Row],[VALOR TOTAL DO LANCE]],)</f>
        <v>0</v>
      </c>
      <c r="H234" s="14"/>
    </row>
    <row r="235" spans="1:8" hidden="1" x14ac:dyDescent="0.25">
      <c r="A235" s="12">
        <f>IF(TabelaPrincipal[[#This Row],[POSIÇÃO]]=1, TabelaPrincipal[[#This Row],[ITEM]],)</f>
        <v>0</v>
      </c>
      <c r="B235" s="13">
        <f>IF(TabelaPrincipal[[#This Row],[POSIÇÃO]]=1, TabelaPrincipal[[#This Row],[DESCRIÇÃO]],)</f>
        <v>0</v>
      </c>
      <c r="C235" s="14">
        <f>IF(TabelaPrincipal[[#This Row],[POSIÇÃO]]=1,TabelaPrincipal[[#This Row],[UND]],)</f>
        <v>0</v>
      </c>
      <c r="D235" s="13">
        <f>IF(TabelaPrincipal[[#This Row],[POSIÇÃO]]=1,TabelaPrincipal[[#This Row],[QTD]],)</f>
        <v>0</v>
      </c>
      <c r="E235" s="13">
        <f>IF(TabelaPrincipal[[#This Row],[POSIÇÃO]]=1,TabelaPrincipal[[#This Row],[MARCA]],)</f>
        <v>0</v>
      </c>
      <c r="F235" s="15">
        <f>IF(TabelaPrincipal[[#This Row],[POSIÇÃO]]=1,TabelaPrincipal[[#This Row],[LANCE ATUAL]],)</f>
        <v>0</v>
      </c>
      <c r="G235" s="16">
        <f>IF(TabelaPrincipal[[#This Row],[POSIÇÃO]]=1,TabelaPrincipal[[#This Row],[VALOR TOTAL DO LANCE]],)</f>
        <v>0</v>
      </c>
      <c r="H235" s="14"/>
    </row>
    <row r="236" spans="1:8" hidden="1" x14ac:dyDescent="0.25">
      <c r="A236" s="12">
        <f>IF(TabelaPrincipal[[#This Row],[POSIÇÃO]]=1, TabelaPrincipal[[#This Row],[ITEM]],)</f>
        <v>0</v>
      </c>
      <c r="B236" s="13">
        <f>IF(TabelaPrincipal[[#This Row],[POSIÇÃO]]=1, TabelaPrincipal[[#This Row],[DESCRIÇÃO]],)</f>
        <v>0</v>
      </c>
      <c r="C236" s="14">
        <f>IF(TabelaPrincipal[[#This Row],[POSIÇÃO]]=1,TabelaPrincipal[[#This Row],[UND]],)</f>
        <v>0</v>
      </c>
      <c r="D236" s="13">
        <f>IF(TabelaPrincipal[[#This Row],[POSIÇÃO]]=1,TabelaPrincipal[[#This Row],[QTD]],)</f>
        <v>0</v>
      </c>
      <c r="E236" s="13">
        <f>IF(TabelaPrincipal[[#This Row],[POSIÇÃO]]=1,TabelaPrincipal[[#This Row],[MARCA]],)</f>
        <v>0</v>
      </c>
      <c r="F236" s="15">
        <f>IF(TabelaPrincipal[[#This Row],[POSIÇÃO]]=1,TabelaPrincipal[[#This Row],[LANCE ATUAL]],)</f>
        <v>0</v>
      </c>
      <c r="G236" s="16">
        <f>IF(TabelaPrincipal[[#This Row],[POSIÇÃO]]=1,TabelaPrincipal[[#This Row],[VALOR TOTAL DO LANCE]],)</f>
        <v>0</v>
      </c>
      <c r="H236" s="14"/>
    </row>
    <row r="237" spans="1:8" hidden="1" x14ac:dyDescent="0.25">
      <c r="A237" s="12">
        <f>IF(TabelaPrincipal[[#This Row],[POSIÇÃO]]=1, TabelaPrincipal[[#This Row],[ITEM]],)</f>
        <v>0</v>
      </c>
      <c r="B237" s="13">
        <f>IF(TabelaPrincipal[[#This Row],[POSIÇÃO]]=1, TabelaPrincipal[[#This Row],[DESCRIÇÃO]],)</f>
        <v>0</v>
      </c>
      <c r="C237" s="14">
        <f>IF(TabelaPrincipal[[#This Row],[POSIÇÃO]]=1,TabelaPrincipal[[#This Row],[UND]],)</f>
        <v>0</v>
      </c>
      <c r="D237" s="13">
        <f>IF(TabelaPrincipal[[#This Row],[POSIÇÃO]]=1,TabelaPrincipal[[#This Row],[QTD]],)</f>
        <v>0</v>
      </c>
      <c r="E237" s="13">
        <f>IF(TabelaPrincipal[[#This Row],[POSIÇÃO]]=1,TabelaPrincipal[[#This Row],[MARCA]],)</f>
        <v>0</v>
      </c>
      <c r="F237" s="15">
        <f>IF(TabelaPrincipal[[#This Row],[POSIÇÃO]]=1,TabelaPrincipal[[#This Row],[LANCE ATUAL]],)</f>
        <v>0</v>
      </c>
      <c r="G237" s="16">
        <f>IF(TabelaPrincipal[[#This Row],[POSIÇÃO]]=1,TabelaPrincipal[[#This Row],[VALOR TOTAL DO LANCE]],)</f>
        <v>0</v>
      </c>
      <c r="H237" s="14"/>
    </row>
    <row r="238" spans="1:8" hidden="1" x14ac:dyDescent="0.25">
      <c r="A238" s="12">
        <f>IF(TabelaPrincipal[[#This Row],[POSIÇÃO]]=1, TabelaPrincipal[[#This Row],[ITEM]],)</f>
        <v>0</v>
      </c>
      <c r="B238" s="13">
        <f>IF(TabelaPrincipal[[#This Row],[POSIÇÃO]]=1, TabelaPrincipal[[#This Row],[DESCRIÇÃO]],)</f>
        <v>0</v>
      </c>
      <c r="C238" s="14">
        <f>IF(TabelaPrincipal[[#This Row],[POSIÇÃO]]=1,TabelaPrincipal[[#This Row],[UND]],)</f>
        <v>0</v>
      </c>
      <c r="D238" s="13">
        <f>IF(TabelaPrincipal[[#This Row],[POSIÇÃO]]=1,TabelaPrincipal[[#This Row],[QTD]],)</f>
        <v>0</v>
      </c>
      <c r="E238" s="13">
        <f>IF(TabelaPrincipal[[#This Row],[POSIÇÃO]]=1,TabelaPrincipal[[#This Row],[MARCA]],)</f>
        <v>0</v>
      </c>
      <c r="F238" s="15">
        <f>IF(TabelaPrincipal[[#This Row],[POSIÇÃO]]=1,TabelaPrincipal[[#This Row],[LANCE ATUAL]],)</f>
        <v>0</v>
      </c>
      <c r="G238" s="16">
        <f>IF(TabelaPrincipal[[#This Row],[POSIÇÃO]]=1,TabelaPrincipal[[#This Row],[VALOR TOTAL DO LANCE]],)</f>
        <v>0</v>
      </c>
      <c r="H238" s="14"/>
    </row>
    <row r="239" spans="1:8" hidden="1" x14ac:dyDescent="0.25">
      <c r="A239" s="12">
        <f>IF(TabelaPrincipal[[#This Row],[POSIÇÃO]]=1, TabelaPrincipal[[#This Row],[ITEM]],)</f>
        <v>0</v>
      </c>
      <c r="B239" s="13">
        <f>IF(TabelaPrincipal[[#This Row],[POSIÇÃO]]=1, TabelaPrincipal[[#This Row],[DESCRIÇÃO]],)</f>
        <v>0</v>
      </c>
      <c r="C239" s="14">
        <f>IF(TabelaPrincipal[[#This Row],[POSIÇÃO]]=1,TabelaPrincipal[[#This Row],[UND]],)</f>
        <v>0</v>
      </c>
      <c r="D239" s="13">
        <f>IF(TabelaPrincipal[[#This Row],[POSIÇÃO]]=1,TabelaPrincipal[[#This Row],[QTD]],)</f>
        <v>0</v>
      </c>
      <c r="E239" s="13">
        <f>IF(TabelaPrincipal[[#This Row],[POSIÇÃO]]=1,TabelaPrincipal[[#This Row],[MARCA]],)</f>
        <v>0</v>
      </c>
      <c r="F239" s="15">
        <f>IF(TabelaPrincipal[[#This Row],[POSIÇÃO]]=1,TabelaPrincipal[[#This Row],[LANCE ATUAL]],)</f>
        <v>0</v>
      </c>
      <c r="G239" s="16">
        <f>IF(TabelaPrincipal[[#This Row],[POSIÇÃO]]=1,TabelaPrincipal[[#This Row],[VALOR TOTAL DO LANCE]],)</f>
        <v>0</v>
      </c>
      <c r="H239" s="14"/>
    </row>
    <row r="240" spans="1:8" ht="25.5" x14ac:dyDescent="0.25">
      <c r="A240" s="12">
        <f>IF(TabelaPrincipal[[#This Row],[POSIÇÃO]]=1, TabelaPrincipal[[#This Row],[ITEM]],)</f>
        <v>537</v>
      </c>
      <c r="B240" s="13" t="str">
        <f>IF(TabelaPrincipal[[#This Row],[POSIÇÃO]]=1, TabelaPrincipal[[#This Row],[DESCRIÇÃO]],)</f>
        <v>Paracetamol, apresentação: associado com tramadol cloridrato, dosagem:325mg + 37,5mg</v>
      </c>
      <c r="C240" s="14" t="str">
        <f>IF(TabelaPrincipal[[#This Row],[POSIÇÃO]]=1,TabelaPrincipal[[#This Row],[UND]],)</f>
        <v>Comprimido</v>
      </c>
      <c r="D240" s="13">
        <f>IF(TabelaPrincipal[[#This Row],[POSIÇÃO]]=1,TabelaPrincipal[[#This Row],[QTD]],)</f>
        <v>480</v>
      </c>
      <c r="E240" s="13" t="str">
        <f>IF(TabelaPrincipal[[#This Row],[POSIÇÃO]]=1,TabelaPrincipal[[#This Row],[MARCA]],)</f>
        <v>Brainfarma</v>
      </c>
      <c r="F240" s="15">
        <f>IF(TabelaPrincipal[[#This Row],[POSIÇÃO]]=1,TabelaPrincipal[[#This Row],[LANCE ATUAL]],)</f>
        <v>1.76</v>
      </c>
      <c r="G240" s="16">
        <f>IF(TabelaPrincipal[[#This Row],[POSIÇÃO]]=1,TabelaPrincipal[[#This Row],[VALOR TOTAL DO LANCE]],)</f>
        <v>844.8</v>
      </c>
      <c r="H240" s="14"/>
    </row>
    <row r="241" spans="1:8" x14ac:dyDescent="0.25">
      <c r="A241" s="12">
        <f>IF(TabelaPrincipal[[#This Row],[POSIÇÃO]]=1, TabelaPrincipal[[#This Row],[ITEM]],)</f>
        <v>538</v>
      </c>
      <c r="B241" s="13" t="str">
        <f>IF(TabelaPrincipal[[#This Row],[POSIÇÃO]]=1, TabelaPrincipal[[#This Row],[DESCRIÇÃO]],)</f>
        <v>Zolpidem, dosagem:10 mg</v>
      </c>
      <c r="C241" s="14" t="str">
        <f>IF(TabelaPrincipal[[#This Row],[POSIÇÃO]]=1,TabelaPrincipal[[#This Row],[UND]],)</f>
        <v>Comprimido</v>
      </c>
      <c r="D241" s="13">
        <f>IF(TabelaPrincipal[[#This Row],[POSIÇÃO]]=1,TabelaPrincipal[[#This Row],[QTD]],)</f>
        <v>360</v>
      </c>
      <c r="E241" s="13" t="str">
        <f>IF(TabelaPrincipal[[#This Row],[POSIÇÃO]]=1,TabelaPrincipal[[#This Row],[MARCA]],)</f>
        <v>Geolab</v>
      </c>
      <c r="F241" s="15">
        <f>IF(TabelaPrincipal[[#This Row],[POSIÇÃO]]=1,TabelaPrincipal[[#This Row],[LANCE ATUAL]],)</f>
        <v>0.2</v>
      </c>
      <c r="G241" s="16">
        <f>IF(TabelaPrincipal[[#This Row],[POSIÇÃO]]=1,TabelaPrincipal[[#This Row],[VALOR TOTAL DO LANCE]],)</f>
        <v>72</v>
      </c>
      <c r="H241" s="14"/>
    </row>
    <row r="242" spans="1:8" ht="51" hidden="1" x14ac:dyDescent="0.25">
      <c r="A242" s="12">
        <f>IF(TabelaPrincipal[[#This Row],[POSIÇÃO]]=1, TabelaPrincipal[[#This Row],[ITEM]],)</f>
        <v>0</v>
      </c>
      <c r="B242" s="13">
        <f>IF(TabelaPrincipal[[#This Row],[POSIÇÃO]]=1, TabelaPrincipal[[#This Row],[DESCRIÇÃO]],)</f>
        <v>0</v>
      </c>
      <c r="C242" s="14">
        <f>IF(TabelaPrincipal[[#This Row],[POSIÇÃO]]=1,TabelaPrincipal[[#This Row],[UND]],)</f>
        <v>0</v>
      </c>
      <c r="D242" s="13">
        <f>IF(TabelaPrincipal[[#This Row],[POSIÇÃO]]=1,TabelaPrincipal[[#This Row],[QTD]],)</f>
        <v>0</v>
      </c>
      <c r="E242" s="13">
        <f>IF(TabelaPrincipal[[#This Row],[POSIÇÃO]]=1,TabelaPrincipal[[#This Row],[MARCA]],)</f>
        <v>0</v>
      </c>
      <c r="F242" s="15">
        <f>IF(TabelaPrincipal[[#This Row],[POSIÇÃO]]=1,TabelaPrincipal[[#This Row],[LANCE ATUAL]],)</f>
        <v>0</v>
      </c>
      <c r="G242" s="16">
        <f>IF(TabelaPrincipal[[#This Row],[POSIÇÃO]]=1,TabelaPrincipal[[#This Row],[VALOR TOTAL DO LANCE]],)</f>
        <v>0</v>
      </c>
      <c r="H242" s="14"/>
    </row>
    <row r="243" spans="1:8" ht="76.5" x14ac:dyDescent="0.25">
      <c r="A243" s="12">
        <f>IF(TabelaPrincipal[[#This Row],[POSIÇÃO]]=1, TabelaPrincipal[[#This Row],[ITEM]],)</f>
        <v>548</v>
      </c>
      <c r="B243" s="13" t="str">
        <f>IF(TabelaPrincipal[[#This Row],[POSIÇÃO]]=1, TabelaPrincipal[[#This Row],[DESCRIÇÃO]],)</f>
        <v>Sonda trato digestivo, aplicação: oro ou nasogástrica, modelo: levine, material: pvc, calibre: nº 22, tamanho: longa, comprimento: cerca 120 cm, conector: conector padrão c, tampa, componentes: ponta distal fechada, c, orifícios laterais, esterilidade: estéril, descartável, embalagem: embalagem individual</v>
      </c>
      <c r="C243" s="14" t="str">
        <f>IF(TabelaPrincipal[[#This Row],[POSIÇÃO]]=1,TabelaPrincipal[[#This Row],[UND]],)</f>
        <v>Unidade</v>
      </c>
      <c r="D243" s="13">
        <f>IF(TabelaPrincipal[[#This Row],[POSIÇÃO]]=1,TabelaPrincipal[[#This Row],[QTD]],)</f>
        <v>10</v>
      </c>
      <c r="E243" s="13" t="str">
        <f>IF(TabelaPrincipal[[#This Row],[POSIÇÃO]]=1,TabelaPrincipal[[#This Row],[MARCA]],)</f>
        <v>Medsonda</v>
      </c>
      <c r="F243" s="15">
        <f>IF(TabelaPrincipal[[#This Row],[POSIÇÃO]]=1,TabelaPrincipal[[#This Row],[LANCE ATUAL]],)</f>
        <v>2.5299999999999998</v>
      </c>
      <c r="G243" s="16">
        <f>IF(TabelaPrincipal[[#This Row],[POSIÇÃO]]=1,TabelaPrincipal[[#This Row],[VALOR TOTAL DO LANCE]],)</f>
        <v>25.299999999999997</v>
      </c>
      <c r="H243" s="14"/>
    </row>
    <row r="244" spans="1:8" ht="76.5" x14ac:dyDescent="0.25">
      <c r="A244" s="12">
        <f>IF(TabelaPrincipal[[#This Row],[POSIÇÃO]]=1, TabelaPrincipal[[#This Row],[ITEM]],)</f>
        <v>549</v>
      </c>
      <c r="B244" s="13" t="str">
        <f>IF(TabelaPrincipal[[#This Row],[POSIÇÃO]]=1, TabelaPrincipal[[#This Row],[DESCRIÇÃO]],)</f>
        <v>Sonda trato digestivo, aplicação: oro ou nasogástrica, modelo: levine, material: pvc, calibre: nº 20, tamanho: longa, comprimento: cerca 120 cm, conector: conector padrão c, tampa, componentes: ponta distal fechada, c, orifícios laterais, esterilidade: estéril, descartável, embalagem: embalagem individual</v>
      </c>
      <c r="C244" s="14" t="str">
        <f>IF(TabelaPrincipal[[#This Row],[POSIÇÃO]]=1,TabelaPrincipal[[#This Row],[UND]],)</f>
        <v>Unidade</v>
      </c>
      <c r="D244" s="13">
        <f>IF(TabelaPrincipal[[#This Row],[POSIÇÃO]]=1,TabelaPrincipal[[#This Row],[QTD]],)</f>
        <v>10</v>
      </c>
      <c r="E244" s="13" t="str">
        <f>IF(TabelaPrincipal[[#This Row],[POSIÇÃO]]=1,TabelaPrincipal[[#This Row],[MARCA]],)</f>
        <v>Medsonda</v>
      </c>
      <c r="F244" s="15">
        <f>IF(TabelaPrincipal[[#This Row],[POSIÇÃO]]=1,TabelaPrincipal[[#This Row],[LANCE ATUAL]],)</f>
        <v>1.86</v>
      </c>
      <c r="G244" s="16">
        <f>IF(TabelaPrincipal[[#This Row],[POSIÇÃO]]=1,TabelaPrincipal[[#This Row],[VALOR TOTAL DO LANCE]],)</f>
        <v>18.600000000000001</v>
      </c>
      <c r="H244" s="14"/>
    </row>
    <row r="245" spans="1:8" ht="51" x14ac:dyDescent="0.25">
      <c r="A245" s="12">
        <f>IF(TabelaPrincipal[[#This Row],[POSIÇÃO]]=1, TabelaPrincipal[[#This Row],[ITEM]],)</f>
        <v>550</v>
      </c>
      <c r="B245" s="13" t="str">
        <f>IF(TabelaPrincipal[[#This Row],[POSIÇÃO]]=1, TabelaPrincipal[[#This Row],[DESCRIÇÃO]],)</f>
        <v>calibre: nº 18, tamanho: longa, comprimento: cerca 120 cm, conector: conector padrão c, tampa, componentes: ponta distal fechada, c, orifícios laterais, esterilidade: estéril, descartável, embalagem: embalagem individual</v>
      </c>
      <c r="C245" s="14" t="str">
        <f>IF(TabelaPrincipal[[#This Row],[POSIÇÃO]]=1,TabelaPrincipal[[#This Row],[UND]],)</f>
        <v>Unidade</v>
      </c>
      <c r="D245" s="13">
        <f>IF(TabelaPrincipal[[#This Row],[POSIÇÃO]]=1,TabelaPrincipal[[#This Row],[QTD]],)</f>
        <v>10</v>
      </c>
      <c r="E245" s="13" t="str">
        <f>IF(TabelaPrincipal[[#This Row],[POSIÇÃO]]=1,TabelaPrincipal[[#This Row],[MARCA]],)</f>
        <v>Medsonda</v>
      </c>
      <c r="F245" s="15">
        <f>IF(TabelaPrincipal[[#This Row],[POSIÇÃO]]=1,TabelaPrincipal[[#This Row],[LANCE ATUAL]],)</f>
        <v>2.0299999999999998</v>
      </c>
      <c r="G245" s="16">
        <f>IF(TabelaPrincipal[[#This Row],[POSIÇÃO]]=1,TabelaPrincipal[[#This Row],[VALOR TOTAL DO LANCE]],)</f>
        <v>20.299999999999997</v>
      </c>
      <c r="H245" s="14"/>
    </row>
    <row r="246" spans="1:8" ht="76.5" x14ac:dyDescent="0.25">
      <c r="A246" s="12">
        <f>IF(TabelaPrincipal[[#This Row],[POSIÇÃO]]=1, TabelaPrincipal[[#This Row],[ITEM]],)</f>
        <v>551</v>
      </c>
      <c r="B246" s="13" t="str">
        <f>IF(TabelaPrincipal[[#This Row],[POSIÇÃO]]=1, TabelaPrincipal[[#This Row],[DESCRIÇÃO]],)</f>
        <v>Sonda trato digestivo, aplicação: oro ou nasogástrica, modelo: levine, material: pvc, calibre: nº 16, tamanho: longa, comprimento: cerca 120 cm, conector: conector padrão c, tampa, componentes: ponta distal fechada, c, orifícios laterais, esterilidade: estéril, descartável, embalagem: embalagem individual</v>
      </c>
      <c r="C246" s="14" t="str">
        <f>IF(TabelaPrincipal[[#This Row],[POSIÇÃO]]=1,TabelaPrincipal[[#This Row],[UND]],)</f>
        <v>Unidade</v>
      </c>
      <c r="D246" s="13">
        <f>IF(TabelaPrincipal[[#This Row],[POSIÇÃO]]=1,TabelaPrincipal[[#This Row],[QTD]],)</f>
        <v>10</v>
      </c>
      <c r="E246" s="13" t="str">
        <f>IF(TabelaPrincipal[[#This Row],[POSIÇÃO]]=1,TabelaPrincipal[[#This Row],[MARCA]],)</f>
        <v>Medsonda</v>
      </c>
      <c r="F246" s="15">
        <f>IF(TabelaPrincipal[[#This Row],[POSIÇÃO]]=1,TabelaPrincipal[[#This Row],[LANCE ATUAL]],)</f>
        <v>2.7</v>
      </c>
      <c r="G246" s="16">
        <f>IF(TabelaPrincipal[[#This Row],[POSIÇÃO]]=1,TabelaPrincipal[[#This Row],[VALOR TOTAL DO LANCE]],)</f>
        <v>27</v>
      </c>
      <c r="H246" s="14"/>
    </row>
    <row r="247" spans="1:8" ht="76.5" x14ac:dyDescent="0.25">
      <c r="A247" s="12">
        <f>IF(TabelaPrincipal[[#This Row],[POSIÇÃO]]=1, TabelaPrincipal[[#This Row],[ITEM]],)</f>
        <v>552</v>
      </c>
      <c r="B247" s="13" t="str">
        <f>IF(TabelaPrincipal[[#This Row],[POSIÇÃO]]=1, TabelaPrincipal[[#This Row],[DESCRIÇÃO]],)</f>
        <v>Sonda trato digestivo, aplicação: oro ou nasogástrica, modelo: levine, material: pvc, calibre: nº 14, tamanho: longa, comprimento: cerca 120 cm, conector: conector padrão c, tampa, componentes: ponta distal fechada, c, orifícios laterais, esterilidade: estéril, descartável, embalagem: embalagem individual</v>
      </c>
      <c r="C247" s="14" t="str">
        <f>IF(TabelaPrincipal[[#This Row],[POSIÇÃO]]=1,TabelaPrincipal[[#This Row],[UND]],)</f>
        <v>Unidade</v>
      </c>
      <c r="D247" s="13">
        <f>IF(TabelaPrincipal[[#This Row],[POSIÇÃO]]=1,TabelaPrincipal[[#This Row],[QTD]],)</f>
        <v>10</v>
      </c>
      <c r="E247" s="13" t="str">
        <f>IF(TabelaPrincipal[[#This Row],[POSIÇÃO]]=1,TabelaPrincipal[[#This Row],[MARCA]],)</f>
        <v>Medsonda</v>
      </c>
      <c r="F247" s="15">
        <f>IF(TabelaPrincipal[[#This Row],[POSIÇÃO]]=1,TabelaPrincipal[[#This Row],[LANCE ATUAL]],)</f>
        <v>2.99</v>
      </c>
      <c r="G247" s="16">
        <f>IF(TabelaPrincipal[[#This Row],[POSIÇÃO]]=1,TabelaPrincipal[[#This Row],[VALOR TOTAL DO LANCE]],)</f>
        <v>29.900000000000002</v>
      </c>
      <c r="H247" s="14"/>
    </row>
    <row r="248" spans="1:8" ht="76.5" x14ac:dyDescent="0.25">
      <c r="A248" s="12">
        <f>IF(TabelaPrincipal[[#This Row],[POSIÇÃO]]=1, TabelaPrincipal[[#This Row],[ITEM]],)</f>
        <v>553</v>
      </c>
      <c r="B248" s="13" t="str">
        <f>IF(TabelaPrincipal[[#This Row],[POSIÇÃO]]=1, TabelaPrincipal[[#This Row],[DESCRIÇÃO]],)</f>
        <v>Sonda trato digestivo, aplicação: oro ou nasogástrica, modelo: levine, material: silicone, calibre: nº 12, tamanho: longa, comprimento: cerca 120 cm, conector: conector padrão c, tampa, componentes: ponta distal fechada, c, orifícios laterais, esterilidade: estéril, descartável, embalagem: embalagem individual</v>
      </c>
      <c r="C248" s="14" t="str">
        <f>IF(TabelaPrincipal[[#This Row],[POSIÇÃO]]=1,TabelaPrincipal[[#This Row],[UND]],)</f>
        <v>Unidade</v>
      </c>
      <c r="D248" s="13">
        <f>IF(TabelaPrincipal[[#This Row],[POSIÇÃO]]=1,TabelaPrincipal[[#This Row],[QTD]],)</f>
        <v>10</v>
      </c>
      <c r="E248" s="13" t="str">
        <f>IF(TabelaPrincipal[[#This Row],[POSIÇÃO]]=1,TabelaPrincipal[[#This Row],[MARCA]],)</f>
        <v>Medsonda</v>
      </c>
      <c r="F248" s="15">
        <f>IF(TabelaPrincipal[[#This Row],[POSIÇÃO]]=1,TabelaPrincipal[[#This Row],[LANCE ATUAL]],)</f>
        <v>1.92</v>
      </c>
      <c r="G248" s="16">
        <f>IF(TabelaPrincipal[[#This Row],[POSIÇÃO]]=1,TabelaPrincipal[[#This Row],[VALOR TOTAL DO LANCE]],)</f>
        <v>19.2</v>
      </c>
      <c r="H248" s="14"/>
    </row>
    <row r="249" spans="1:8" ht="76.5" x14ac:dyDescent="0.25">
      <c r="A249" s="12">
        <f>IF(TabelaPrincipal[[#This Row],[POSIÇÃO]]=1, TabelaPrincipal[[#This Row],[ITEM]],)</f>
        <v>554</v>
      </c>
      <c r="B249" s="13" t="str">
        <f>IF(TabelaPrincipal[[#This Row],[POSIÇÃO]]=1, TabelaPrincipal[[#This Row],[DESCRIÇÃO]],)</f>
        <v>Sonda trato digestivo, aplicação: oro ou nasogástrica, modelo: levine, material: silicone, calibre: nº 10, tamanho: longa, comprimento: cerca 120 cm, conector: conector padrão c, tampa, componentes: ponta distal fechada, c, orifícios laterais, esterilidade: estéril, descartável, embalagem: embalagem individual</v>
      </c>
      <c r="C249" s="14" t="str">
        <f>IF(TabelaPrincipal[[#This Row],[POSIÇÃO]]=1,TabelaPrincipal[[#This Row],[UND]],)</f>
        <v>Unidade</v>
      </c>
      <c r="D249" s="13">
        <f>IF(TabelaPrincipal[[#This Row],[POSIÇÃO]]=1,TabelaPrincipal[[#This Row],[QTD]],)</f>
        <v>10</v>
      </c>
      <c r="E249" s="13" t="str">
        <f>IF(TabelaPrincipal[[#This Row],[POSIÇÃO]]=1,TabelaPrincipal[[#This Row],[MARCA]],)</f>
        <v>Medsonda</v>
      </c>
      <c r="F249" s="15">
        <f>IF(TabelaPrincipal[[#This Row],[POSIÇÃO]]=1,TabelaPrincipal[[#This Row],[LANCE ATUAL]],)</f>
        <v>1.87</v>
      </c>
      <c r="G249" s="16">
        <f>IF(TabelaPrincipal[[#This Row],[POSIÇÃO]]=1,TabelaPrincipal[[#This Row],[VALOR TOTAL DO LANCE]],)</f>
        <v>18.700000000000003</v>
      </c>
      <c r="H249" s="14"/>
    </row>
    <row r="250" spans="1:8" ht="76.5" x14ac:dyDescent="0.25">
      <c r="A250" s="12">
        <f>IF(TabelaPrincipal[[#This Row],[POSIÇÃO]]=1, TabelaPrincipal[[#This Row],[ITEM]],)</f>
        <v>555</v>
      </c>
      <c r="B250" s="13" t="str">
        <f>IF(TabelaPrincipal[[#This Row],[POSIÇÃO]]=1, TabelaPrincipal[[#This Row],[DESCRIÇÃO]],)</f>
        <v>Sonda trato digestivo, aplicação: oro ou nasogástrica, modelo: levine, material: silicone, calibre: nº 8, tamanho: longa, comprimento: cerca 100 cm, conector: conector padrão c, tampa, componentes: ponta distal fechada, c, orifícios laterais, esterilidade: estéril, descartável, embalagem: embalagem individual</v>
      </c>
      <c r="C250" s="14" t="str">
        <f>IF(TabelaPrincipal[[#This Row],[POSIÇÃO]]=1,TabelaPrincipal[[#This Row],[UND]],)</f>
        <v>Unidade</v>
      </c>
      <c r="D250" s="13">
        <f>IF(TabelaPrincipal[[#This Row],[POSIÇÃO]]=1,TabelaPrincipal[[#This Row],[QTD]],)</f>
        <v>10</v>
      </c>
      <c r="E250" s="13" t="str">
        <f>IF(TabelaPrincipal[[#This Row],[POSIÇÃO]]=1,TabelaPrincipal[[#This Row],[MARCA]],)</f>
        <v>Medsonda</v>
      </c>
      <c r="F250" s="15">
        <f>IF(TabelaPrincipal[[#This Row],[POSIÇÃO]]=1,TabelaPrincipal[[#This Row],[LANCE ATUAL]],)</f>
        <v>2.17</v>
      </c>
      <c r="G250" s="16">
        <f>IF(TabelaPrincipal[[#This Row],[POSIÇÃO]]=1,TabelaPrincipal[[#This Row],[VALOR TOTAL DO LANCE]],)</f>
        <v>21.7</v>
      </c>
      <c r="H250" s="14"/>
    </row>
    <row r="251" spans="1:8" ht="38.25" x14ac:dyDescent="0.25">
      <c r="A251" s="12">
        <f>IF(TabelaPrincipal[[#This Row],[POSIÇÃO]]=1, TabelaPrincipal[[#This Row],[ITEM]],)</f>
        <v>556</v>
      </c>
      <c r="B251" s="13" t="str">
        <f>IF(TabelaPrincipal[[#This Row],[POSIÇÃO]]=1, TabelaPrincipal[[#This Row],[DESCRIÇÃO]],)</f>
        <v>adicionais: ponta atraumática, orifícios distais lateralizados, tipo embalagem: estéril, embalagem individual. Espessura: nº 16</v>
      </c>
      <c r="C251" s="14" t="str">
        <f>IF(TabelaPrincipal[[#This Row],[POSIÇÃO]]=1,TabelaPrincipal[[#This Row],[UND]],)</f>
        <v>Unidade</v>
      </c>
      <c r="D251" s="13">
        <f>IF(TabelaPrincipal[[#This Row],[POSIÇÃO]]=1,TabelaPrincipal[[#This Row],[QTD]],)</f>
        <v>10</v>
      </c>
      <c r="E251" s="13" t="str">
        <f>IF(TabelaPrincipal[[#This Row],[POSIÇÃO]]=1,TabelaPrincipal[[#This Row],[MARCA]],)</f>
        <v>Biosani</v>
      </c>
      <c r="F251" s="15">
        <f>IF(TabelaPrincipal[[#This Row],[POSIÇÃO]]=1,TabelaPrincipal[[#This Row],[LANCE ATUAL]],)</f>
        <v>4.41</v>
      </c>
      <c r="G251" s="16">
        <f>IF(TabelaPrincipal[[#This Row],[POSIÇÃO]]=1,TabelaPrincipal[[#This Row],[VALOR TOTAL DO LANCE]],)</f>
        <v>44.1</v>
      </c>
      <c r="H251" s="14"/>
    </row>
    <row r="252" spans="1:8" ht="51" x14ac:dyDescent="0.25">
      <c r="A252" s="12">
        <f>IF(TabelaPrincipal[[#This Row],[POSIÇÃO]]=1, TabelaPrincipal[[#This Row],[ITEM]],)</f>
        <v>557</v>
      </c>
      <c r="B252" s="13" t="str">
        <f>IF(TabelaPrincipal[[#This Row],[POSIÇÃO]]=1, TabelaPrincipal[[#This Row],[DESCRIÇÃO]],)</f>
        <v>Cateter aspiração traqueal, material: pvc, atóxico, flexível, tipo uso: descartável, características adicionais: ponta atraumática, orifícios distais lateralizados, tipo embalagem: estéril, embalagem individual. Espessura: nº 14</v>
      </c>
      <c r="C252" s="14" t="str">
        <f>IF(TabelaPrincipal[[#This Row],[POSIÇÃO]]=1,TabelaPrincipal[[#This Row],[UND]],)</f>
        <v>Unidade</v>
      </c>
      <c r="D252" s="13">
        <f>IF(TabelaPrincipal[[#This Row],[POSIÇÃO]]=1,TabelaPrincipal[[#This Row],[QTD]],)</f>
        <v>10</v>
      </c>
      <c r="E252" s="13" t="str">
        <f>IF(TabelaPrincipal[[#This Row],[POSIÇÃO]]=1,TabelaPrincipal[[#This Row],[MARCA]],)</f>
        <v>Biosani</v>
      </c>
      <c r="F252" s="15">
        <f>IF(TabelaPrincipal[[#This Row],[POSIÇÃO]]=1,TabelaPrincipal[[#This Row],[LANCE ATUAL]],)</f>
        <v>1.72</v>
      </c>
      <c r="G252" s="16">
        <f>IF(TabelaPrincipal[[#This Row],[POSIÇÃO]]=1,TabelaPrincipal[[#This Row],[VALOR TOTAL DO LANCE]],)</f>
        <v>17.2</v>
      </c>
      <c r="H252" s="14"/>
    </row>
    <row r="253" spans="1:8" ht="51" x14ac:dyDescent="0.25">
      <c r="A253" s="12">
        <f>IF(TabelaPrincipal[[#This Row],[POSIÇÃO]]=1, TabelaPrincipal[[#This Row],[ITEM]],)</f>
        <v>558</v>
      </c>
      <c r="B253" s="13" t="str">
        <f>IF(TabelaPrincipal[[#This Row],[POSIÇÃO]]=1, TabelaPrincipal[[#This Row],[DESCRIÇÃO]],)</f>
        <v>Cateter aspiração traqueal, material: pvc, atóxico, flexível, tipo uso: descartável, características adicionais: ponta atraumática, orifícios distais lateralizados, tipo embalagem: estéril, embalagem individual. Espessura: nº 12</v>
      </c>
      <c r="C253" s="14" t="str">
        <f>IF(TabelaPrincipal[[#This Row],[POSIÇÃO]]=1,TabelaPrincipal[[#This Row],[UND]],)</f>
        <v>Unidade</v>
      </c>
      <c r="D253" s="13">
        <f>IF(TabelaPrincipal[[#This Row],[POSIÇÃO]]=1,TabelaPrincipal[[#This Row],[QTD]],)</f>
        <v>10</v>
      </c>
      <c r="E253" s="13" t="str">
        <f>IF(TabelaPrincipal[[#This Row],[POSIÇÃO]]=1,TabelaPrincipal[[#This Row],[MARCA]],)</f>
        <v>Biosani</v>
      </c>
      <c r="F253" s="15">
        <f>IF(TabelaPrincipal[[#This Row],[POSIÇÃO]]=1,TabelaPrincipal[[#This Row],[LANCE ATUAL]],)</f>
        <v>1.61</v>
      </c>
      <c r="G253" s="16">
        <f>IF(TabelaPrincipal[[#This Row],[POSIÇÃO]]=1,TabelaPrincipal[[#This Row],[VALOR TOTAL DO LANCE]],)</f>
        <v>16.100000000000001</v>
      </c>
      <c r="H253" s="14"/>
    </row>
    <row r="254" spans="1:8" ht="51" x14ac:dyDescent="0.25">
      <c r="A254" s="12">
        <f>IF(TabelaPrincipal[[#This Row],[POSIÇÃO]]=1, TabelaPrincipal[[#This Row],[ITEM]],)</f>
        <v>559</v>
      </c>
      <c r="B254" s="13" t="str">
        <f>IF(TabelaPrincipal[[#This Row],[POSIÇÃO]]=1, TabelaPrincipal[[#This Row],[DESCRIÇÃO]],)</f>
        <v>Cateter aspiração traqueal, material: pvc, atóxico, flexível, tipo uso: descartável, características adicionais: ponta atraumática, orifícios distais lateralizados, tipo embalagem: estéril, embalagem individual. Espessura: nº 8</v>
      </c>
      <c r="C254" s="14" t="str">
        <f>IF(TabelaPrincipal[[#This Row],[POSIÇÃO]]=1,TabelaPrincipal[[#This Row],[UND]],)</f>
        <v>Unidade</v>
      </c>
      <c r="D254" s="13">
        <f>IF(TabelaPrincipal[[#This Row],[POSIÇÃO]]=1,TabelaPrincipal[[#This Row],[QTD]],)</f>
        <v>10</v>
      </c>
      <c r="E254" s="13" t="str">
        <f>IF(TabelaPrincipal[[#This Row],[POSIÇÃO]]=1,TabelaPrincipal[[#This Row],[MARCA]],)</f>
        <v>Biosani</v>
      </c>
      <c r="F254" s="15">
        <f>IF(TabelaPrincipal[[#This Row],[POSIÇÃO]]=1,TabelaPrincipal[[#This Row],[LANCE ATUAL]],)</f>
        <v>1.69</v>
      </c>
      <c r="G254" s="16">
        <f>IF(TabelaPrincipal[[#This Row],[POSIÇÃO]]=1,TabelaPrincipal[[#This Row],[VALOR TOTAL DO LANCE]],)</f>
        <v>16.899999999999999</v>
      </c>
      <c r="H254" s="14"/>
    </row>
    <row r="255" spans="1:8" ht="51" x14ac:dyDescent="0.25">
      <c r="A255" s="12">
        <f>IF(TabelaPrincipal[[#This Row],[POSIÇÃO]]=1, TabelaPrincipal[[#This Row],[ITEM]],)</f>
        <v>562</v>
      </c>
      <c r="B255" s="13" t="str">
        <f>IF(TabelaPrincipal[[#This Row],[POSIÇÃO]]=1, TabelaPrincipal[[#This Row],[DESCRIÇÃO]],)</f>
        <v>Máscara cirúrgica, material: SMS, camadas: 3 camadas c, dobras, fixação: tiras elásticas, adicional: c, clipe nasal, componentes: filtração de partículas mínima de 95%, esterilidade: uso único</v>
      </c>
      <c r="C255" s="14" t="str">
        <f>IF(TabelaPrincipal[[#This Row],[POSIÇÃO]]=1,TabelaPrincipal[[#This Row],[UND]],)</f>
        <v>Unidade</v>
      </c>
      <c r="D255" s="13">
        <f>IF(TabelaPrincipal[[#This Row],[POSIÇÃO]]=1,TabelaPrincipal[[#This Row],[QTD]],)</f>
        <v>1000</v>
      </c>
      <c r="E255" s="13" t="str">
        <f>IF(TabelaPrincipal[[#This Row],[POSIÇÃO]]=1,TabelaPrincipal[[#This Row],[MARCA]],)</f>
        <v>Byd</v>
      </c>
      <c r="F255" s="15">
        <f>IF(TabelaPrincipal[[#This Row],[POSIÇÃO]]=1,TabelaPrincipal[[#This Row],[LANCE ATUAL]],)</f>
        <v>0.12</v>
      </c>
      <c r="G255" s="16">
        <f>IF(TabelaPrincipal[[#This Row],[POSIÇÃO]]=1,TabelaPrincipal[[#This Row],[VALOR TOTAL DO LANCE]],)</f>
        <v>120</v>
      </c>
      <c r="H255" s="14"/>
    </row>
    <row r="256" spans="1:8" ht="51" x14ac:dyDescent="0.25">
      <c r="A256" s="12">
        <f>IF(TabelaPrincipal[[#This Row],[POSIÇÃO]]=1, TabelaPrincipal[[#This Row],[ITEM]],)</f>
        <v>563</v>
      </c>
      <c r="B256" s="13" t="str">
        <f>IF(TabelaPrincipal[[#This Row],[POSIÇÃO]]=1, TabelaPrincipal[[#This Row],[DESCRIÇÃO]],)</f>
        <v>Máscara cirúrgica, tipo: não tecido,3 camadas, pregas horizontais, atóxica, tipo fixação: com elástico, características adicionais: clip nasal embutido, hipoalergênica, tipo uso: descartável</v>
      </c>
      <c r="C256" s="14" t="str">
        <f>IF(TabelaPrincipal[[#This Row],[POSIÇÃO]]=1,TabelaPrincipal[[#This Row],[UND]],)</f>
        <v>Unidade</v>
      </c>
      <c r="D256" s="13">
        <f>IF(TabelaPrincipal[[#This Row],[POSIÇÃO]]=1,TabelaPrincipal[[#This Row],[QTD]],)</f>
        <v>1000</v>
      </c>
      <c r="E256" s="13" t="str">
        <f>IF(TabelaPrincipal[[#This Row],[POSIÇÃO]]=1,TabelaPrincipal[[#This Row],[MARCA]],)</f>
        <v>Protec</v>
      </c>
      <c r="F256" s="15">
        <f>IF(TabelaPrincipal[[#This Row],[POSIÇÃO]]=1,TabelaPrincipal[[#This Row],[LANCE ATUAL]],)</f>
        <v>1.45</v>
      </c>
      <c r="G256" s="16">
        <f>IF(TabelaPrincipal[[#This Row],[POSIÇÃO]]=1,TabelaPrincipal[[#This Row],[VALOR TOTAL DO LANCE]],)</f>
        <v>1450</v>
      </c>
      <c r="H256" s="14"/>
    </row>
    <row r="257" spans="1:8" ht="51" x14ac:dyDescent="0.25">
      <c r="A257" s="12">
        <f>IF(TabelaPrincipal[[#This Row],[POSIÇÃO]]=1, TabelaPrincipal[[#This Row],[ITEM]],)</f>
        <v>566</v>
      </c>
      <c r="B257" s="13" t="str">
        <f>IF(TabelaPrincipal[[#This Row],[POSIÇÃO]]=1, TabelaPrincipal[[#This Row],[DESCRIÇÃO]],)</f>
        <v>Avental hospitalar, tipo: capote cirúrgico, material: polipropileno, tamanho: g, gramatura cerca de 50 g/cm2, cor: branco, característica adicional: manga longa, esterilidade: estéril, uso único.</v>
      </c>
      <c r="C257" s="14" t="str">
        <f>IF(TabelaPrincipal[[#This Row],[POSIÇÃO]]=1,TabelaPrincipal[[#This Row],[UND]],)</f>
        <v>Unidade</v>
      </c>
      <c r="D257" s="13">
        <f>IF(TabelaPrincipal[[#This Row],[POSIÇÃO]]=1,TabelaPrincipal[[#This Row],[QTD]],)</f>
        <v>100</v>
      </c>
      <c r="E257" s="13" t="str">
        <f>IF(TabelaPrincipal[[#This Row],[POSIÇÃO]]=1,TabelaPrincipal[[#This Row],[MARCA]],)</f>
        <v>Medix</v>
      </c>
      <c r="F257" s="15">
        <f>IF(TabelaPrincipal[[#This Row],[POSIÇÃO]]=1,TabelaPrincipal[[#This Row],[LANCE ATUAL]],)</f>
        <v>5.64</v>
      </c>
      <c r="G257" s="16">
        <f>IF(TabelaPrincipal[[#This Row],[POSIÇÃO]]=1,TabelaPrincipal[[#This Row],[VALOR TOTAL DO LANCE]],)</f>
        <v>564</v>
      </c>
      <c r="H257" s="14"/>
    </row>
    <row r="258" spans="1:8" ht="102" hidden="1" x14ac:dyDescent="0.25">
      <c r="A258" s="12">
        <f>IF(TabelaPrincipal[[#This Row],[POSIÇÃO]]=1, TabelaPrincipal[[#This Row],[ITEM]],)</f>
        <v>0</v>
      </c>
      <c r="B258" s="13">
        <f>IF(TabelaPrincipal[[#This Row],[POSIÇÃO]]=1, TabelaPrincipal[[#This Row],[DESCRIÇÃO]],)</f>
        <v>0</v>
      </c>
      <c r="C258" s="14">
        <f>IF(TabelaPrincipal[[#This Row],[POSIÇÃO]]=1,TabelaPrincipal[[#This Row],[UND]],)</f>
        <v>0</v>
      </c>
      <c r="D258" s="13">
        <f>IF(TabelaPrincipal[[#This Row],[POSIÇÃO]]=1,TabelaPrincipal[[#This Row],[QTD]],)</f>
        <v>0</v>
      </c>
      <c r="E258" s="13">
        <f>IF(TabelaPrincipal[[#This Row],[POSIÇÃO]]=1,TabelaPrincipal[[#This Row],[MARCA]],)</f>
        <v>0</v>
      </c>
      <c r="F258" s="15">
        <f>IF(TabelaPrincipal[[#This Row],[POSIÇÃO]]=1,TabelaPrincipal[[#This Row],[LANCE ATUAL]],)</f>
        <v>0</v>
      </c>
      <c r="G258" s="16">
        <f>IF(TabelaPrincipal[[#This Row],[POSIÇÃO]]=1,TabelaPrincipal[[#This Row],[VALOR TOTAL DO LANCE]],)</f>
        <v>0</v>
      </c>
      <c r="H258" s="14"/>
    </row>
    <row r="259" spans="1:8" x14ac:dyDescent="0.25">
      <c r="A259" s="18" t="s">
        <v>7</v>
      </c>
      <c r="B259" s="17"/>
      <c r="C259" s="17"/>
      <c r="D259" s="17"/>
      <c r="E259" s="17"/>
      <c r="F259" s="17"/>
      <c r="G259" s="19">
        <f>SUBTOTAL(109,TabelaProposta4[VALOR TOTAL])</f>
        <v>183304.80000000002</v>
      </c>
      <c r="H259" s="17" t="str">
        <f>Extenso_Valor(TabelaProposta4[[#Totals],[VALOR TOTAL]])</f>
        <v>cento e oitenta e três mil, trezentos e quatro reais e oitenta centavos</v>
      </c>
    </row>
  </sheetData>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19727-5DA9-40D4-8223-AE69951C4CB4}">
  <dimension ref="A1:H259"/>
  <sheetViews>
    <sheetView topLeftCell="A239" workbookViewId="0">
      <selection activeCell="H259" sqref="H259"/>
    </sheetView>
  </sheetViews>
  <sheetFormatPr defaultRowHeight="15" x14ac:dyDescent="0.25"/>
  <cols>
    <col min="1" max="1" width="4.85546875" bestFit="1" customWidth="1"/>
    <col min="2" max="2" width="50.7109375" customWidth="1"/>
    <col min="3" max="3" width="22.140625" bestFit="1" customWidth="1"/>
    <col min="4" max="4" width="6" bestFit="1" customWidth="1"/>
    <col min="5" max="5" width="15.28515625" bestFit="1" customWidth="1"/>
    <col min="6" max="6" width="10" bestFit="1" customWidth="1"/>
    <col min="7" max="7" width="15" bestFit="1" customWidth="1"/>
    <col min="8" max="8" width="60.7109375" customWidth="1"/>
  </cols>
  <sheetData>
    <row r="1" spans="1:8" ht="25.5" x14ac:dyDescent="0.25">
      <c r="A1" s="9" t="s">
        <v>0</v>
      </c>
      <c r="B1" s="10" t="s">
        <v>5</v>
      </c>
      <c r="C1" s="10" t="s">
        <v>2</v>
      </c>
      <c r="D1" s="10" t="s">
        <v>1</v>
      </c>
      <c r="E1" s="10" t="s">
        <v>6</v>
      </c>
      <c r="F1" s="20" t="s">
        <v>8</v>
      </c>
      <c r="G1" s="11" t="s">
        <v>3</v>
      </c>
      <c r="H1" s="10" t="s">
        <v>9</v>
      </c>
    </row>
    <row r="2" spans="1:8" x14ac:dyDescent="0.25">
      <c r="A2" s="12">
        <f>TabelaPrincipal[[#This Row],[ITEM]]</f>
        <v>1</v>
      </c>
      <c r="B2" s="13" t="str">
        <f>TabelaPrincipal[[#This Row],[DESCRIÇÃO]]</f>
        <v>Suxametônio cloreto, dosagem: 100 mg, indicação: injetável</v>
      </c>
      <c r="C2" s="14" t="str">
        <f>TabelaPrincipal[[#This Row],[UND]]</f>
        <v>Frasco- ampola</v>
      </c>
      <c r="D2" s="13">
        <f>TabelaPrincipal[[#This Row],[QTD]]</f>
        <v>100</v>
      </c>
      <c r="E2" s="13" t="str">
        <f>TabelaPrincipal[[#This Row],[MARCA]]</f>
        <v>Blau</v>
      </c>
      <c r="F2" s="15">
        <f>TabelaPrincipal[[#This Row],[CUSTO + PERCENTUAL DE ENTRADA]]</f>
        <v>26.85</v>
      </c>
      <c r="G2" s="16">
        <f>TabelaPrincipal[[#This Row],[VALOR TOTAL]]</f>
        <v>2685</v>
      </c>
      <c r="H2" s="14"/>
    </row>
    <row r="3" spans="1:8" ht="25.5" x14ac:dyDescent="0.25">
      <c r="A3" s="12">
        <f>TabelaPrincipal[[#This Row],[ITEM]]</f>
        <v>2</v>
      </c>
      <c r="B3" s="13" t="str">
        <f>TabelaPrincipal[[#This Row],[DESCRIÇÃO]]</f>
        <v>Salbutamol, dosagem: 100 mcg/dose, forma farmacêutica: aerossol oral</v>
      </c>
      <c r="C3" s="14" t="str">
        <f>TabelaPrincipal[[#This Row],[UND]]</f>
        <v>Frasco 200 doses</v>
      </c>
      <c r="D3" s="13">
        <f>TabelaPrincipal[[#This Row],[QTD]]</f>
        <v>300</v>
      </c>
      <c r="E3" s="13" t="str">
        <f>TabelaPrincipal[[#This Row],[MARCA]]</f>
        <v>Teuto</v>
      </c>
      <c r="F3" s="15">
        <f>TabelaPrincipal[[#This Row],[CUSTO + PERCENTUAL DE ENTRADA]]</f>
        <v>44.02</v>
      </c>
      <c r="G3" s="16">
        <f>TabelaPrincipal[[#This Row],[VALOR TOTAL]]</f>
        <v>13206.000000000002</v>
      </c>
      <c r="H3" s="14"/>
    </row>
    <row r="4" spans="1:8" ht="25.5" x14ac:dyDescent="0.25">
      <c r="A4" s="12">
        <f>TabelaPrincipal[[#This Row],[ITEM]]</f>
        <v>3</v>
      </c>
      <c r="B4" s="13" t="str">
        <f>TabelaPrincipal[[#This Row],[DESCRIÇÃO]]</f>
        <v>Propofol, dosagem: 10 mg/ml, forma farmacêutica: emulsão injetável. Frasco 20 mL</v>
      </c>
      <c r="C4" s="14" t="str">
        <f>TabelaPrincipal[[#This Row],[UND]]</f>
        <v>Frasco 20 ml</v>
      </c>
      <c r="D4" s="13">
        <f>TabelaPrincipal[[#This Row],[QTD]]</f>
        <v>100</v>
      </c>
      <c r="E4" s="13" t="str">
        <f>TabelaPrincipal[[#This Row],[MARCA]]</f>
        <v>Cristália</v>
      </c>
      <c r="F4" s="15">
        <f>TabelaPrincipal[[#This Row],[CUSTO + PERCENTUAL DE ENTRADA]]</f>
        <v>23.83</v>
      </c>
      <c r="G4" s="16">
        <f>TabelaPrincipal[[#This Row],[VALOR TOTAL]]</f>
        <v>2383</v>
      </c>
      <c r="H4" s="14"/>
    </row>
    <row r="5" spans="1:8" ht="38.25" x14ac:dyDescent="0.25">
      <c r="A5" s="12">
        <f>TabelaPrincipal[[#This Row],[ITEM]]</f>
        <v>4</v>
      </c>
      <c r="B5" s="13" t="str">
        <f>TabelaPrincipal[[#This Row],[DESCRIÇÃO]]</f>
        <v>Enoxaparina, concentração: 100 mg/ml, forma farmacêutica: solução injetável, características adicionais 1: seringa preenchida 0,40 mL</v>
      </c>
      <c r="C5" s="14" t="str">
        <f>TabelaPrincipal[[#This Row],[UND]]</f>
        <v>Seringa 0,40 ml</v>
      </c>
      <c r="D5" s="13">
        <f>TabelaPrincipal[[#This Row],[QTD]]</f>
        <v>1000</v>
      </c>
      <c r="E5" s="13" t="str">
        <f>TabelaPrincipal[[#This Row],[MARCA]]</f>
        <v>Biomm</v>
      </c>
      <c r="F5" s="15">
        <f>TabelaPrincipal[[#This Row],[CUSTO + PERCENTUAL DE ENTRADA]]</f>
        <v>60.82</v>
      </c>
      <c r="G5" s="16">
        <f>TabelaPrincipal[[#This Row],[VALOR TOTAL]]</f>
        <v>60820</v>
      </c>
      <c r="H5" s="14"/>
    </row>
    <row r="6" spans="1:8" ht="38.25" x14ac:dyDescent="0.25">
      <c r="A6" s="12">
        <f>TabelaPrincipal[[#This Row],[ITEM]]</f>
        <v>5</v>
      </c>
      <c r="B6" s="13" t="str">
        <f>TabelaPrincipal[[#This Row],[DESCRIÇÃO]]</f>
        <v>Enoxaparina, concentração: 100 mg/ml, forma farmacêutica: solução injetável, características adicionais 1: seringa preenchida 0,20 mL</v>
      </c>
      <c r="C6" s="14" t="str">
        <f>TabelaPrincipal[[#This Row],[UND]]</f>
        <v>Seringa 0,20 ml</v>
      </c>
      <c r="D6" s="13">
        <f>TabelaPrincipal[[#This Row],[QTD]]</f>
        <v>1000</v>
      </c>
      <c r="E6" s="13" t="str">
        <f>TabelaPrincipal[[#This Row],[MARCA]]</f>
        <v>Cristália</v>
      </c>
      <c r="F6" s="15">
        <f>TabelaPrincipal[[#This Row],[CUSTO + PERCENTUAL DE ENTRADA]]</f>
        <v>42.53</v>
      </c>
      <c r="G6" s="16">
        <f>TabelaPrincipal[[#This Row],[VALOR TOTAL]]</f>
        <v>42530</v>
      </c>
      <c r="H6" s="14"/>
    </row>
    <row r="7" spans="1:8" x14ac:dyDescent="0.25">
      <c r="A7" s="12">
        <f>TabelaPrincipal[[#This Row],[ITEM]]</f>
        <v>6</v>
      </c>
      <c r="B7" s="13" t="str">
        <f>TabelaPrincipal[[#This Row],[DESCRIÇÃO]]</f>
        <v>Espironolactona, dosagem: 100 mg</v>
      </c>
      <c r="C7" s="14" t="str">
        <f>TabelaPrincipal[[#This Row],[UND]]</f>
        <v>Comprimido</v>
      </c>
      <c r="D7" s="13">
        <f>TabelaPrincipal[[#This Row],[QTD]]</f>
        <v>1000</v>
      </c>
      <c r="E7" s="13" t="str">
        <f>TabelaPrincipal[[#This Row],[MARCA]]</f>
        <v>Germed</v>
      </c>
      <c r="F7" s="15">
        <f>TabelaPrincipal[[#This Row],[CUSTO + PERCENTUAL DE ENTRADA]]</f>
        <v>1.64</v>
      </c>
      <c r="G7" s="16">
        <f>TabelaPrincipal[[#This Row],[VALOR TOTAL]]</f>
        <v>1640</v>
      </c>
      <c r="H7" s="14"/>
    </row>
    <row r="8" spans="1:8" x14ac:dyDescent="0.25">
      <c r="A8" s="12">
        <f>TabelaPrincipal[[#This Row],[ITEM]]</f>
        <v>7</v>
      </c>
      <c r="B8" s="13" t="str">
        <f>TabelaPrincipal[[#This Row],[DESCRIÇÃO]]</f>
        <v>Colecalciferol, concentração: 50.000 UI</v>
      </c>
      <c r="C8" s="14" t="str">
        <f>TabelaPrincipal[[#This Row],[UND]]</f>
        <v>Cápsula</v>
      </c>
      <c r="D8" s="13">
        <f>TabelaPrincipal[[#This Row],[QTD]]</f>
        <v>1600</v>
      </c>
      <c r="E8" s="13" t="str">
        <f>TabelaPrincipal[[#This Row],[MARCA]]</f>
        <v>Biolab</v>
      </c>
      <c r="F8" s="15">
        <f>TabelaPrincipal[[#This Row],[CUSTO + PERCENTUAL DE ENTRADA]]</f>
        <v>18.53</v>
      </c>
      <c r="G8" s="16">
        <f>TabelaPrincipal[[#This Row],[VALOR TOTAL]]</f>
        <v>29648</v>
      </c>
      <c r="H8" s="14"/>
    </row>
    <row r="9" spans="1:8" ht="25.5" x14ac:dyDescent="0.25">
      <c r="A9" s="12">
        <f>TabelaPrincipal[[#This Row],[ITEM]]</f>
        <v>8</v>
      </c>
      <c r="B9" s="13" t="str">
        <f>TabelaPrincipal[[#This Row],[DESCRIÇÃO]]</f>
        <v>Acetilcisteína, dosagem: 600 mg, indicação: pó para solução oral</v>
      </c>
      <c r="C9" s="14" t="str">
        <f>TabelaPrincipal[[#This Row],[UND]]</f>
        <v>Envelope</v>
      </c>
      <c r="D9" s="13">
        <f>TabelaPrincipal[[#This Row],[QTD]]</f>
        <v>1280</v>
      </c>
      <c r="E9" s="13" t="str">
        <f>TabelaPrincipal[[#This Row],[MARCA]]</f>
        <v>Geolab</v>
      </c>
      <c r="F9" s="15">
        <f>TabelaPrincipal[[#This Row],[CUSTO + PERCENTUAL DE ENTRADA]]</f>
        <v>1.61</v>
      </c>
      <c r="G9" s="16">
        <f>TabelaPrincipal[[#This Row],[VALOR TOTAL]]</f>
        <v>2060.8000000000002</v>
      </c>
      <c r="H9" s="14"/>
    </row>
    <row r="10" spans="1:8" x14ac:dyDescent="0.25">
      <c r="A10" s="12">
        <f>TabelaPrincipal[[#This Row],[ITEM]]</f>
        <v>9</v>
      </c>
      <c r="B10" s="13" t="str">
        <f>TabelaPrincipal[[#This Row],[DESCRIÇÃO]]</f>
        <v>Ácido acetilsalicílico (AAS) 100 mg comprimido</v>
      </c>
      <c r="C10" s="14" t="str">
        <f>TabelaPrincipal[[#This Row],[UND]]</f>
        <v>Comprimido</v>
      </c>
      <c r="D10" s="13">
        <f>TabelaPrincipal[[#This Row],[QTD]]</f>
        <v>500</v>
      </c>
      <c r="E10" s="13" t="str">
        <f>TabelaPrincipal[[#This Row],[MARCA]]</f>
        <v>Brasterápica</v>
      </c>
      <c r="F10" s="15">
        <f>TabelaPrincipal[[#This Row],[CUSTO + PERCENTUAL DE ENTRADA]]</f>
        <v>0.93</v>
      </c>
      <c r="G10" s="16">
        <f>TabelaPrincipal[[#This Row],[VALOR TOTAL]]</f>
        <v>465</v>
      </c>
      <c r="H10" s="14"/>
    </row>
    <row r="11" spans="1:8" x14ac:dyDescent="0.25">
      <c r="A11" s="12">
        <f>TabelaPrincipal[[#This Row],[ITEM]]</f>
        <v>10</v>
      </c>
      <c r="B11" s="13" t="str">
        <f>TabelaPrincipal[[#This Row],[DESCRIÇÃO]]</f>
        <v>Ácido ascórbico (vitamina C) 100 mg/mL solução injetável</v>
      </c>
      <c r="C11" s="14" t="str">
        <f>TabelaPrincipal[[#This Row],[UND]]</f>
        <v>Ampola 5 ml</v>
      </c>
      <c r="D11" s="13">
        <f>TabelaPrincipal[[#This Row],[QTD]]</f>
        <v>300</v>
      </c>
      <c r="E11" s="13" t="str">
        <f>TabelaPrincipal[[#This Row],[MARCA]]</f>
        <v>Farmace</v>
      </c>
      <c r="F11" s="15">
        <f>TabelaPrincipal[[#This Row],[CUSTO + PERCENTUAL DE ENTRADA]]</f>
        <v>3.76</v>
      </c>
      <c r="G11" s="16">
        <f>TabelaPrincipal[[#This Row],[VALOR TOTAL]]</f>
        <v>1128</v>
      </c>
      <c r="H11" s="14"/>
    </row>
    <row r="12" spans="1:8" ht="25.5" x14ac:dyDescent="0.25">
      <c r="A12" s="12">
        <f>TabelaPrincipal[[#This Row],[ITEM]]</f>
        <v>11</v>
      </c>
      <c r="B12" s="13" t="str">
        <f>TabelaPrincipal[[#This Row],[DESCRIÇÃO]]</f>
        <v>Ácido ascórbico, concentração: 500 mg, forma farmacêutica: comprimido efervescente</v>
      </c>
      <c r="C12" s="14" t="str">
        <f>TabelaPrincipal[[#This Row],[UND]]</f>
        <v>Comprimido</v>
      </c>
      <c r="D12" s="13">
        <f>TabelaPrincipal[[#This Row],[QTD]]</f>
        <v>2000</v>
      </c>
      <c r="E12" s="13" t="str">
        <f>TabelaPrincipal[[#This Row],[MARCA]]</f>
        <v>Airela</v>
      </c>
      <c r="F12" s="15">
        <f>TabelaPrincipal[[#This Row],[CUSTO + PERCENTUAL DE ENTRADA]]</f>
        <v>1.1100000000000001</v>
      </c>
      <c r="G12" s="16">
        <f>TabelaPrincipal[[#This Row],[VALOR TOTAL]]</f>
        <v>2220</v>
      </c>
      <c r="H12" s="14"/>
    </row>
    <row r="13" spans="1:8" x14ac:dyDescent="0.25">
      <c r="A13" s="12">
        <f>TabelaPrincipal[[#This Row],[ITEM]]</f>
        <v>12</v>
      </c>
      <c r="B13" s="13" t="str">
        <f>TabelaPrincipal[[#This Row],[DESCRIÇÃO]]</f>
        <v>Ácido tranexâmico 50 mg/mL solução injetável</v>
      </c>
      <c r="C13" s="14" t="str">
        <f>TabelaPrincipal[[#This Row],[UND]]</f>
        <v>Ampola</v>
      </c>
      <c r="D13" s="13">
        <f>TabelaPrincipal[[#This Row],[QTD]]</f>
        <v>150</v>
      </c>
      <c r="E13" s="13" t="str">
        <f>TabelaPrincipal[[#This Row],[MARCA]]</f>
        <v>Hipolabor</v>
      </c>
      <c r="F13" s="15">
        <f>TabelaPrincipal[[#This Row],[CUSTO + PERCENTUAL DE ENTRADA]]</f>
        <v>8.26</v>
      </c>
      <c r="G13" s="16">
        <f>TabelaPrincipal[[#This Row],[VALOR TOTAL]]</f>
        <v>1239</v>
      </c>
      <c r="H13" s="14"/>
    </row>
    <row r="14" spans="1:8" x14ac:dyDescent="0.25">
      <c r="A14" s="12">
        <f>TabelaPrincipal[[#This Row],[ITEM]]</f>
        <v>13</v>
      </c>
      <c r="B14" s="13" t="str">
        <f>TabelaPrincipal[[#This Row],[DESCRIÇÃO]]</f>
        <v>Adenosina 3 mg/mL solução injetável</v>
      </c>
      <c r="C14" s="14" t="str">
        <f>TabelaPrincipal[[#This Row],[UND]]</f>
        <v>Ampola</v>
      </c>
      <c r="D14" s="13">
        <f>TabelaPrincipal[[#This Row],[QTD]]</f>
        <v>200</v>
      </c>
      <c r="E14" s="13" t="str">
        <f>TabelaPrincipal[[#This Row],[MARCA]]</f>
        <v>Hipolabor</v>
      </c>
      <c r="F14" s="15">
        <f>TabelaPrincipal[[#This Row],[CUSTO + PERCENTUAL DE ENTRADA]]</f>
        <v>19.46</v>
      </c>
      <c r="G14" s="16">
        <f>TabelaPrincipal[[#This Row],[VALOR TOTAL]]</f>
        <v>3892</v>
      </c>
      <c r="H14" s="14"/>
    </row>
    <row r="15" spans="1:8" x14ac:dyDescent="0.25">
      <c r="A15" s="12">
        <f>TabelaPrincipal[[#This Row],[ITEM]]</f>
        <v>14</v>
      </c>
      <c r="B15" s="13" t="str">
        <f>TabelaPrincipal[[#This Row],[DESCRIÇÃO]]</f>
        <v>Amiodarona 50 mg/mL solução injetável</v>
      </c>
      <c r="C15" s="14" t="str">
        <f>TabelaPrincipal[[#This Row],[UND]]</f>
        <v>Ampola</v>
      </c>
      <c r="D15" s="13">
        <f>TabelaPrincipal[[#This Row],[QTD]]</f>
        <v>250</v>
      </c>
      <c r="E15" s="13" t="str">
        <f>TabelaPrincipal[[#This Row],[MARCA]]</f>
        <v>Hipolabor</v>
      </c>
      <c r="F15" s="15">
        <f>TabelaPrincipal[[#This Row],[CUSTO + PERCENTUAL DE ENTRADA]]</f>
        <v>4.34</v>
      </c>
      <c r="G15" s="16">
        <f>TabelaPrincipal[[#This Row],[VALOR TOTAL]]</f>
        <v>1085</v>
      </c>
      <c r="H15" s="14"/>
    </row>
    <row r="16" spans="1:8" x14ac:dyDescent="0.25">
      <c r="A16" s="12">
        <f>TabelaPrincipal[[#This Row],[ITEM]]</f>
        <v>15</v>
      </c>
      <c r="B16" s="13" t="str">
        <f>TabelaPrincipal[[#This Row],[DESCRIÇÃO]]</f>
        <v>Azitromicina 500 mg comprimido</v>
      </c>
      <c r="C16" s="14" t="str">
        <f>TabelaPrincipal[[#This Row],[UND]]</f>
        <v>Comprimido</v>
      </c>
      <c r="D16" s="13">
        <f>TabelaPrincipal[[#This Row],[QTD]]</f>
        <v>1500</v>
      </c>
      <c r="E16" s="13" t="str">
        <f>TabelaPrincipal[[#This Row],[MARCA]]</f>
        <v>Pharlab</v>
      </c>
      <c r="F16" s="15">
        <f>TabelaPrincipal[[#This Row],[CUSTO + PERCENTUAL DE ENTRADA]]</f>
        <v>3.15</v>
      </c>
      <c r="G16" s="16">
        <f>TabelaPrincipal[[#This Row],[VALOR TOTAL]]</f>
        <v>4725</v>
      </c>
      <c r="H16" s="14"/>
    </row>
    <row r="17" spans="1:8" x14ac:dyDescent="0.25">
      <c r="A17" s="12">
        <f>TabelaPrincipal[[#This Row],[ITEM]]</f>
        <v>16</v>
      </c>
      <c r="B17" s="13" t="str">
        <f>TabelaPrincipal[[#This Row],[DESCRIÇÃO]]</f>
        <v>Bicarbonato de sódio 1mEq/mL (8,4%) solução injetável</v>
      </c>
      <c r="C17" s="14" t="str">
        <f>TabelaPrincipal[[#This Row],[UND]]</f>
        <v>Ampola 10 ml</v>
      </c>
      <c r="D17" s="13">
        <f>TabelaPrincipal[[#This Row],[QTD]]</f>
        <v>600</v>
      </c>
      <c r="E17" s="13" t="str">
        <f>TabelaPrincipal[[#This Row],[MARCA]]</f>
        <v>Isofarma</v>
      </c>
      <c r="F17" s="15">
        <f>TabelaPrincipal[[#This Row],[CUSTO + PERCENTUAL DE ENTRADA]]</f>
        <v>1.4</v>
      </c>
      <c r="G17" s="16">
        <f>TabelaPrincipal[[#This Row],[VALOR TOTAL]]</f>
        <v>840</v>
      </c>
      <c r="H17" s="14"/>
    </row>
    <row r="18" spans="1:8" ht="25.5" x14ac:dyDescent="0.25">
      <c r="A18" s="12">
        <f>TabelaPrincipal[[#This Row],[ITEM]]</f>
        <v>17</v>
      </c>
      <c r="B18" s="13" t="str">
        <f>TabelaPrincipal[[#This Row],[DESCRIÇÃO]]</f>
        <v>Cefalotina sódica, concentração: 1 g, forma farmacêutica: pó liófilo p, injetável</v>
      </c>
      <c r="C18" s="14" t="str">
        <f>TabelaPrincipal[[#This Row],[UND]]</f>
        <v>Frasco- ampola</v>
      </c>
      <c r="D18" s="13">
        <f>TabelaPrincipal[[#This Row],[QTD]]</f>
        <v>200</v>
      </c>
      <c r="E18" s="13" t="str">
        <f>TabelaPrincipal[[#This Row],[MARCA]]</f>
        <v>Blau</v>
      </c>
      <c r="F18" s="15">
        <f>TabelaPrincipal[[#This Row],[CUSTO + PERCENTUAL DE ENTRADA]]</f>
        <v>8.39</v>
      </c>
      <c r="G18" s="16">
        <f>TabelaPrincipal[[#This Row],[VALOR TOTAL]]</f>
        <v>1678</v>
      </c>
      <c r="H18" s="14"/>
    </row>
    <row r="19" spans="1:8" ht="25.5" x14ac:dyDescent="0.25">
      <c r="A19" s="12">
        <f>TabelaPrincipal[[#This Row],[ITEM]]</f>
        <v>18</v>
      </c>
      <c r="B19" s="13" t="str">
        <f>TabelaPrincipal[[#This Row],[DESCRIÇÃO]]</f>
        <v>Ceftriaxona sódica, concentração: 500 mg, forma farmacêutica: pó p, solução injetável + diluente</v>
      </c>
      <c r="C19" s="14" t="str">
        <f>TabelaPrincipal[[#This Row],[UND]]</f>
        <v>Frasco- ampola</v>
      </c>
      <c r="D19" s="13">
        <f>TabelaPrincipal[[#This Row],[QTD]]</f>
        <v>250</v>
      </c>
      <c r="E19" s="13" t="str">
        <f>TabelaPrincipal[[#This Row],[MARCA]]</f>
        <v>Eurofarma</v>
      </c>
      <c r="F19" s="15">
        <f>TabelaPrincipal[[#This Row],[CUSTO + PERCENTUAL DE ENTRADA]]</f>
        <v>19.46</v>
      </c>
      <c r="G19" s="16">
        <f>TabelaPrincipal[[#This Row],[VALOR TOTAL]]</f>
        <v>4865</v>
      </c>
      <c r="H19" s="14"/>
    </row>
    <row r="20" spans="1:8" x14ac:dyDescent="0.25">
      <c r="A20" s="12">
        <f>TabelaPrincipal[[#This Row],[ITEM]]</f>
        <v>19</v>
      </c>
      <c r="B20" s="13" t="str">
        <f>TabelaPrincipal[[#This Row],[DESCRIÇÃO]]</f>
        <v>Clopidogrel 75 mg comprimido</v>
      </c>
      <c r="C20" s="14" t="str">
        <f>TabelaPrincipal[[#This Row],[UND]]</f>
        <v>Comprimido</v>
      </c>
      <c r="D20" s="13">
        <f>TabelaPrincipal[[#This Row],[QTD]]</f>
        <v>1120</v>
      </c>
      <c r="E20" s="13" t="str">
        <f>TabelaPrincipal[[#This Row],[MARCA]]</f>
        <v>Biolab</v>
      </c>
      <c r="F20" s="15">
        <f>TabelaPrincipal[[#This Row],[CUSTO + PERCENTUAL DE ENTRADA]]</f>
        <v>0.93</v>
      </c>
      <c r="G20" s="16">
        <f>TabelaPrincipal[[#This Row],[VALOR TOTAL]]</f>
        <v>1041.6000000000001</v>
      </c>
      <c r="H20" s="14"/>
    </row>
    <row r="21" spans="1:8" x14ac:dyDescent="0.25">
      <c r="A21" s="12">
        <f>TabelaPrincipal[[#This Row],[ITEM]]</f>
        <v>20</v>
      </c>
      <c r="B21" s="13" t="str">
        <f>TabelaPrincipal[[#This Row],[DESCRIÇÃO]]</f>
        <v>Cloreto de potássio 2,56 mEq/mL (19,1%) solução injetável</v>
      </c>
      <c r="C21" s="14" t="str">
        <f>TabelaPrincipal[[#This Row],[UND]]</f>
        <v>Ampola 10 ml</v>
      </c>
      <c r="D21" s="13">
        <f>TabelaPrincipal[[#This Row],[QTD]]</f>
        <v>400</v>
      </c>
      <c r="E21" s="13" t="str">
        <f>TabelaPrincipal[[#This Row],[MARCA]]</f>
        <v>Isofarma</v>
      </c>
      <c r="F21" s="15">
        <f>TabelaPrincipal[[#This Row],[CUSTO + PERCENTUAL DE ENTRADA]]</f>
        <v>1.26</v>
      </c>
      <c r="G21" s="16">
        <f>TabelaPrincipal[[#This Row],[VALOR TOTAL]]</f>
        <v>504</v>
      </c>
      <c r="H21" s="14"/>
    </row>
    <row r="22" spans="1:8" x14ac:dyDescent="0.25">
      <c r="A22" s="12">
        <f>TabelaPrincipal[[#This Row],[ITEM]]</f>
        <v>21</v>
      </c>
      <c r="B22" s="13" t="str">
        <f>TabelaPrincipal[[#This Row],[DESCRIÇÃO]]</f>
        <v>Cloreto de sódio 3,4 mEq/mL (20%) solução injetável</v>
      </c>
      <c r="C22" s="14" t="str">
        <f>TabelaPrincipal[[#This Row],[UND]]</f>
        <v>Ampola 10 ml</v>
      </c>
      <c r="D22" s="13">
        <f>TabelaPrincipal[[#This Row],[QTD]]</f>
        <v>400</v>
      </c>
      <c r="E22" s="13" t="str">
        <f>TabelaPrincipal[[#This Row],[MARCA]]</f>
        <v>Isofarma</v>
      </c>
      <c r="F22" s="15">
        <f>TabelaPrincipal[[#This Row],[CUSTO + PERCENTUAL DE ENTRADA]]</f>
        <v>1.4</v>
      </c>
      <c r="G22" s="16">
        <f>TabelaPrincipal[[#This Row],[VALOR TOTAL]]</f>
        <v>560</v>
      </c>
      <c r="H22" s="14"/>
    </row>
    <row r="23" spans="1:8" x14ac:dyDescent="0.25">
      <c r="A23" s="12">
        <f>TabelaPrincipal[[#This Row],[ITEM]]</f>
        <v>22</v>
      </c>
      <c r="B23" s="13" t="str">
        <f>TabelaPrincipal[[#This Row],[DESCRIÇÃO]]</f>
        <v>Dexametasona 4 mg/mL solução injetável</v>
      </c>
      <c r="C23" s="14" t="str">
        <f>TabelaPrincipal[[#This Row],[UND]]</f>
        <v>Ampola 2,5 ml</v>
      </c>
      <c r="D23" s="13">
        <f>TabelaPrincipal[[#This Row],[QTD]]</f>
        <v>500</v>
      </c>
      <c r="E23" s="13" t="str">
        <f>TabelaPrincipal[[#This Row],[MARCA]]</f>
        <v>Hipolabor</v>
      </c>
      <c r="F23" s="15">
        <f>TabelaPrincipal[[#This Row],[CUSTO + PERCENTUAL DE ENTRADA]]</f>
        <v>2.38</v>
      </c>
      <c r="G23" s="16">
        <f>TabelaPrincipal[[#This Row],[VALOR TOTAL]]</f>
        <v>1190</v>
      </c>
      <c r="H23" s="14"/>
    </row>
    <row r="24" spans="1:8" x14ac:dyDescent="0.25">
      <c r="A24" s="12">
        <f>TabelaPrincipal[[#This Row],[ITEM]]</f>
        <v>23</v>
      </c>
      <c r="B24" s="13" t="str">
        <f>TabelaPrincipal[[#This Row],[DESCRIÇÃO]]</f>
        <v>Dipirona 500 mg comprimido</v>
      </c>
      <c r="C24" s="14" t="str">
        <f>TabelaPrincipal[[#This Row],[UND]]</f>
        <v>Comprimido</v>
      </c>
      <c r="D24" s="13">
        <f>TabelaPrincipal[[#This Row],[QTD]]</f>
        <v>15000</v>
      </c>
      <c r="E24" s="13" t="str">
        <f>TabelaPrincipal[[#This Row],[MARCA]]</f>
        <v>Vitamedic</v>
      </c>
      <c r="F24" s="15">
        <f>TabelaPrincipal[[#This Row],[CUSTO + PERCENTUAL DE ENTRADA]]</f>
        <v>0.34</v>
      </c>
      <c r="G24" s="16">
        <f>TabelaPrincipal[[#This Row],[VALOR TOTAL]]</f>
        <v>5100</v>
      </c>
      <c r="H24" s="14"/>
    </row>
    <row r="25" spans="1:8" x14ac:dyDescent="0.25">
      <c r="A25" s="12">
        <f>TabelaPrincipal[[#This Row],[ITEM]]</f>
        <v>24</v>
      </c>
      <c r="B25" s="13" t="str">
        <f>TabelaPrincipal[[#This Row],[DESCRIÇÃO]]</f>
        <v>Dipirona 500 mg/mL solução injetável</v>
      </c>
      <c r="C25" s="14" t="str">
        <f>TabelaPrincipal[[#This Row],[UND]]</f>
        <v>Ampola 2 ml</v>
      </c>
      <c r="D25" s="13">
        <f>TabelaPrincipal[[#This Row],[QTD]]</f>
        <v>400</v>
      </c>
      <c r="E25" s="13" t="str">
        <f>TabelaPrincipal[[#This Row],[MARCA]]</f>
        <v>Farmace</v>
      </c>
      <c r="F25" s="15">
        <f>TabelaPrincipal[[#This Row],[CUSTO + PERCENTUAL DE ENTRADA]]</f>
        <v>0.92</v>
      </c>
      <c r="G25" s="16">
        <f>TabelaPrincipal[[#This Row],[VALOR TOTAL]]</f>
        <v>368</v>
      </c>
      <c r="H25" s="14"/>
    </row>
    <row r="26" spans="1:8" ht="25.5" x14ac:dyDescent="0.25">
      <c r="A26" s="12">
        <f>TabelaPrincipal[[#This Row],[ITEM]]</f>
        <v>25</v>
      </c>
      <c r="B26" s="13" t="str">
        <f>TabelaPrincipal[[#This Row],[DESCRIÇÃO]]</f>
        <v>Orfenadrinacitrato, composição: associada com dipirona e cafeína, dosagem: 35mg + 300mg + 50mg</v>
      </c>
      <c r="C26" s="14" t="str">
        <f>TabelaPrincipal[[#This Row],[UND]]</f>
        <v>Comprimido</v>
      </c>
      <c r="D26" s="13">
        <f>TabelaPrincipal[[#This Row],[QTD]]</f>
        <v>10000</v>
      </c>
      <c r="E26" s="13" t="str">
        <f>TabelaPrincipal[[#This Row],[MARCA]]</f>
        <v>Brainfarma</v>
      </c>
      <c r="F26" s="15">
        <f>TabelaPrincipal[[#This Row],[CUSTO + PERCENTUAL DE ENTRADA]]</f>
        <v>0.91</v>
      </c>
      <c r="G26" s="16">
        <f>TabelaPrincipal[[#This Row],[VALOR TOTAL]]</f>
        <v>9100</v>
      </c>
      <c r="H26" s="14"/>
    </row>
    <row r="27" spans="1:8" ht="38.25" x14ac:dyDescent="0.25">
      <c r="A27" s="12">
        <f>TabelaPrincipal[[#This Row],[ITEM]]</f>
        <v>26</v>
      </c>
      <c r="B27" s="13" t="str">
        <f>TabelaPrincipal[[#This Row],[DESCRIÇÃO]]</f>
        <v>Dimenidrinato, apresentação: associado com piridoxina + glicose + frutose, dosagem: 3mg + 5mg + 100mg + 100mg/ml, tipo medicamento: solução injetável</v>
      </c>
      <c r="C27" s="14" t="str">
        <f>TabelaPrincipal[[#This Row],[UND]]</f>
        <v>Ampola 10 ml</v>
      </c>
      <c r="D27" s="13">
        <f>TabelaPrincipal[[#This Row],[QTD]]</f>
        <v>500</v>
      </c>
      <c r="E27" s="13" t="str">
        <f>TabelaPrincipal[[#This Row],[MARCA]]</f>
        <v>Takeda</v>
      </c>
      <c r="F27" s="15">
        <f>TabelaPrincipal[[#This Row],[CUSTO + PERCENTUAL DE ENTRADA]]</f>
        <v>16.8</v>
      </c>
      <c r="G27" s="16">
        <f>TabelaPrincipal[[#This Row],[VALOR TOTAL]]</f>
        <v>8400</v>
      </c>
      <c r="H27" s="14"/>
    </row>
    <row r="28" spans="1:8" ht="25.5" x14ac:dyDescent="0.25">
      <c r="A28" s="12">
        <f>TabelaPrincipal[[#This Row],[ITEM]]</f>
        <v>28</v>
      </c>
      <c r="B28" s="13" t="str">
        <f>TabelaPrincipal[[#This Row],[DESCRIÇÃO]]</f>
        <v>Dobutamina cloridrato, dosagem: 12,5 mg/ml, indicação: injetável</v>
      </c>
      <c r="C28" s="14" t="str">
        <f>TabelaPrincipal[[#This Row],[UND]]</f>
        <v>Ampola 10ml</v>
      </c>
      <c r="D28" s="13">
        <f>TabelaPrincipal[[#This Row],[QTD]]</f>
        <v>40</v>
      </c>
      <c r="E28" s="13" t="str">
        <f>TabelaPrincipal[[#This Row],[MARCA]]</f>
        <v>Teuto</v>
      </c>
      <c r="F28" s="15">
        <f>TabelaPrincipal[[#This Row],[CUSTO + PERCENTUAL DE ENTRADA]]</f>
        <v>17.75</v>
      </c>
      <c r="G28" s="16">
        <f>TabelaPrincipal[[#This Row],[VALOR TOTAL]]</f>
        <v>710</v>
      </c>
      <c r="H28" s="14"/>
    </row>
    <row r="29" spans="1:8" x14ac:dyDescent="0.25">
      <c r="A29" s="12">
        <f>TabelaPrincipal[[#This Row],[ITEM]]</f>
        <v>29</v>
      </c>
      <c r="B29" s="13" t="str">
        <f>TabelaPrincipal[[#This Row],[DESCRIÇÃO]]</f>
        <v>Epinefrina, dosagem: 1 mg/ml, uso: solução injetável</v>
      </c>
      <c r="C29" s="14" t="str">
        <f>TabelaPrincipal[[#This Row],[UND]]</f>
        <v>Ampola 1ml</v>
      </c>
      <c r="D29" s="13">
        <f>TabelaPrincipal[[#This Row],[QTD]]</f>
        <v>200</v>
      </c>
      <c r="E29" s="13" t="str">
        <f>TabelaPrincipal[[#This Row],[MARCA]]</f>
        <v>Hipolabor</v>
      </c>
      <c r="F29" s="15">
        <f>TabelaPrincipal[[#This Row],[CUSTO + PERCENTUAL DE ENTRADA]]</f>
        <v>2.52</v>
      </c>
      <c r="G29" s="16">
        <f>TabelaPrincipal[[#This Row],[VALOR TOTAL]]</f>
        <v>504</v>
      </c>
      <c r="H29" s="14"/>
    </row>
    <row r="30" spans="1:8" x14ac:dyDescent="0.25">
      <c r="A30" s="12">
        <f>TabelaPrincipal[[#This Row],[ITEM]]</f>
        <v>30</v>
      </c>
      <c r="B30" s="13" t="str">
        <f>TabelaPrincipal[[#This Row],[DESCRIÇÃO]]</f>
        <v>Etilefrina 10 mg/mL solução injetável</v>
      </c>
      <c r="C30" s="14" t="str">
        <f>TabelaPrincipal[[#This Row],[UND]]</f>
        <v>Ampola 1ml</v>
      </c>
      <c r="D30" s="13">
        <f>TabelaPrincipal[[#This Row],[QTD]]</f>
        <v>200</v>
      </c>
      <c r="E30" s="13" t="str">
        <f>TabelaPrincipal[[#This Row],[MARCA]]</f>
        <v>União Química</v>
      </c>
      <c r="F30" s="15">
        <f>TabelaPrincipal[[#This Row],[CUSTO + PERCENTUAL DE ENTRADA]]</f>
        <v>2.79</v>
      </c>
      <c r="G30" s="16">
        <f>TabelaPrincipal[[#This Row],[VALOR TOTAL]]</f>
        <v>558</v>
      </c>
      <c r="H30" s="14"/>
    </row>
    <row r="31" spans="1:8" x14ac:dyDescent="0.25">
      <c r="A31" s="12">
        <f>TabelaPrincipal[[#This Row],[ITEM]]</f>
        <v>31</v>
      </c>
      <c r="B31" s="13" t="str">
        <f>TabelaPrincipal[[#This Row],[DESCRIÇÃO]]</f>
        <v>Heparina sódica, dosagem: 5.000 ui,ml, indicação: injetável</v>
      </c>
      <c r="C31" s="14" t="str">
        <f>TabelaPrincipal[[#This Row],[UND]]</f>
        <v>Ampola 0,25 ml</v>
      </c>
      <c r="D31" s="13">
        <f>TabelaPrincipal[[#This Row],[QTD]]</f>
        <v>1500</v>
      </c>
      <c r="E31" s="13" t="str">
        <f>TabelaPrincipal[[#This Row],[MARCA]]</f>
        <v>Cristália</v>
      </c>
      <c r="F31" s="15">
        <f>TabelaPrincipal[[#This Row],[CUSTO + PERCENTUAL DE ENTRADA]]</f>
        <v>19.16</v>
      </c>
      <c r="G31" s="16">
        <f>TabelaPrincipal[[#This Row],[VALOR TOTAL]]</f>
        <v>28740</v>
      </c>
      <c r="H31" s="14"/>
    </row>
    <row r="32" spans="1:8" x14ac:dyDescent="0.25">
      <c r="A32" s="12">
        <f>TabelaPrincipal[[#This Row],[ITEM]]</f>
        <v>32</v>
      </c>
      <c r="B32" s="13" t="str">
        <f>TabelaPrincipal[[#This Row],[DESCRIÇÃO]]</f>
        <v>Heparina sódica, dosagem: 5.000 ui,ml, indicação: injetável</v>
      </c>
      <c r="C32" s="14" t="str">
        <f>TabelaPrincipal[[#This Row],[UND]]</f>
        <v>Frasco 5 ml</v>
      </c>
      <c r="D32" s="13">
        <f>TabelaPrincipal[[#This Row],[QTD]]</f>
        <v>50</v>
      </c>
      <c r="E32" s="13" t="str">
        <f>TabelaPrincipal[[#This Row],[MARCA]]</f>
        <v>Cristália</v>
      </c>
      <c r="F32" s="15">
        <f>TabelaPrincipal[[#This Row],[CUSTO + PERCENTUAL DE ENTRADA]]</f>
        <v>30.75</v>
      </c>
      <c r="G32" s="16">
        <f>TabelaPrincipal[[#This Row],[VALOR TOTAL]]</f>
        <v>1537.5</v>
      </c>
      <c r="H32" s="14"/>
    </row>
    <row r="33" spans="1:8" x14ac:dyDescent="0.25">
      <c r="A33" s="12">
        <f>TabelaPrincipal[[#This Row],[ITEM]]</f>
        <v>33</v>
      </c>
      <c r="B33" s="13" t="str">
        <f>TabelaPrincipal[[#This Row],[DESCRIÇÃO]]</f>
        <v>Hidralazina 25 mg comprimido</v>
      </c>
      <c r="C33" s="14" t="str">
        <f>TabelaPrincipal[[#This Row],[UND]]</f>
        <v>Comprimido</v>
      </c>
      <c r="D33" s="13">
        <f>TabelaPrincipal[[#This Row],[QTD]]</f>
        <v>1000</v>
      </c>
      <c r="E33" s="13" t="str">
        <f>TabelaPrincipal[[#This Row],[MARCA]]</f>
        <v>Novartis</v>
      </c>
      <c r="F33" s="15">
        <f>TabelaPrincipal[[#This Row],[CUSTO + PERCENTUAL DE ENTRADA]]</f>
        <v>0.56000000000000005</v>
      </c>
      <c r="G33" s="16">
        <f>TabelaPrincipal[[#This Row],[VALOR TOTAL]]</f>
        <v>560</v>
      </c>
      <c r="H33" s="14"/>
    </row>
    <row r="34" spans="1:8" x14ac:dyDescent="0.25">
      <c r="A34" s="12">
        <f>TabelaPrincipal[[#This Row],[ITEM]]</f>
        <v>34</v>
      </c>
      <c r="B34" s="13" t="str">
        <f>TabelaPrincipal[[#This Row],[DESCRIÇÃO]]</f>
        <v>Ivermectina 6 mg comprimido</v>
      </c>
      <c r="C34" s="14" t="str">
        <f>TabelaPrincipal[[#This Row],[UND]]</f>
        <v>Comprimido</v>
      </c>
      <c r="D34" s="13">
        <f>TabelaPrincipal[[#This Row],[QTD]]</f>
        <v>1000</v>
      </c>
      <c r="E34" s="13" t="str">
        <f>TabelaPrincipal[[#This Row],[MARCA]]</f>
        <v>Germed</v>
      </c>
      <c r="F34" s="15">
        <f>TabelaPrincipal[[#This Row],[CUSTO + PERCENTUAL DE ENTRADA]]</f>
        <v>2.42</v>
      </c>
      <c r="G34" s="16">
        <f>TabelaPrincipal[[#This Row],[VALOR TOTAL]]</f>
        <v>2420</v>
      </c>
      <c r="H34" s="14"/>
    </row>
    <row r="35" spans="1:8" x14ac:dyDescent="0.25">
      <c r="A35" s="12">
        <f>TabelaPrincipal[[#This Row],[ITEM]]</f>
        <v>35</v>
      </c>
      <c r="B35" s="13" t="str">
        <f>TabelaPrincipal[[#This Row],[DESCRIÇÃO]]</f>
        <v>Lactulose 667 mg/mL xarope</v>
      </c>
      <c r="C35" s="14" t="str">
        <f>TabelaPrincipal[[#This Row],[UND]]</f>
        <v>Frasco 120 ml</v>
      </c>
      <c r="D35" s="13">
        <f>TabelaPrincipal[[#This Row],[QTD]]</f>
        <v>80</v>
      </c>
      <c r="E35" s="13" t="str">
        <f>TabelaPrincipal[[#This Row],[MARCA]]</f>
        <v>Nutriex</v>
      </c>
      <c r="F35" s="15">
        <f>TabelaPrincipal[[#This Row],[CUSTO + PERCENTUAL DE ENTRADA]]</f>
        <v>15.26</v>
      </c>
      <c r="G35" s="16">
        <f>TabelaPrincipal[[#This Row],[VALOR TOTAL]]</f>
        <v>1220.8</v>
      </c>
      <c r="H35" s="14"/>
    </row>
    <row r="36" spans="1:8" x14ac:dyDescent="0.25">
      <c r="A36" s="12">
        <f>TabelaPrincipal[[#This Row],[ITEM]]</f>
        <v>36</v>
      </c>
      <c r="B36" s="13" t="str">
        <f>TabelaPrincipal[[#This Row],[DESCRIÇÃO]]</f>
        <v>Levofloxacino 500 mg comprimido</v>
      </c>
      <c r="C36" s="14" t="str">
        <f>TabelaPrincipal[[#This Row],[UND]]</f>
        <v>Comprimido</v>
      </c>
      <c r="D36" s="13">
        <f>TabelaPrincipal[[#This Row],[QTD]]</f>
        <v>1750</v>
      </c>
      <c r="E36" s="13" t="str">
        <f>TabelaPrincipal[[#This Row],[MARCA]]</f>
        <v>Cellera</v>
      </c>
      <c r="F36" s="15">
        <f>TabelaPrincipal[[#This Row],[CUSTO + PERCENTUAL DE ENTRADA]]</f>
        <v>2.19</v>
      </c>
      <c r="G36" s="16">
        <f>TabelaPrincipal[[#This Row],[VALOR TOTAL]]</f>
        <v>3832.5</v>
      </c>
      <c r="H36" s="14"/>
    </row>
    <row r="37" spans="1:8" ht="25.5" x14ac:dyDescent="0.25">
      <c r="A37" s="12">
        <f>TabelaPrincipal[[#This Row],[ITEM]]</f>
        <v>37</v>
      </c>
      <c r="B37" s="13" t="str">
        <f>TabelaPrincipal[[#This Row],[DESCRIÇÃO]]</f>
        <v>Levofloxacino, dosagem: 5 mg,ml, forma farmacêutica: solução injetável</v>
      </c>
      <c r="C37" s="14" t="str">
        <f>TabelaPrincipal[[#This Row],[UND]]</f>
        <v>Bolsa 100 ml</v>
      </c>
      <c r="D37" s="13">
        <f>TabelaPrincipal[[#This Row],[QTD]]</f>
        <v>120</v>
      </c>
      <c r="E37" s="13" t="str">
        <f>TabelaPrincipal[[#This Row],[MARCA]]</f>
        <v>Cristália</v>
      </c>
      <c r="F37" s="15">
        <f>TabelaPrincipal[[#This Row],[CUSTO + PERCENTUAL DE ENTRADA]]</f>
        <v>29.01</v>
      </c>
      <c r="G37" s="16">
        <f>TabelaPrincipal[[#This Row],[VALOR TOTAL]]</f>
        <v>3481.2000000000003</v>
      </c>
      <c r="H37" s="14"/>
    </row>
    <row r="38" spans="1:8" x14ac:dyDescent="0.25">
      <c r="A38" s="12">
        <f>TabelaPrincipal[[#This Row],[ITEM]]</f>
        <v>38</v>
      </c>
      <c r="B38" s="13" t="str">
        <f>TabelaPrincipal[[#This Row],[DESCRIÇÃO]]</f>
        <v>Lidocaína 20 mg/g (2%) gel</v>
      </c>
      <c r="C38" s="14" t="str">
        <f>TabelaPrincipal[[#This Row],[UND]]</f>
        <v>Bisnaga 20 g</v>
      </c>
      <c r="D38" s="13">
        <f>TabelaPrincipal[[#This Row],[QTD]]</f>
        <v>100</v>
      </c>
      <c r="E38" s="13" t="str">
        <f>TabelaPrincipal[[#This Row],[MARCA]]</f>
        <v>Pharlab</v>
      </c>
      <c r="F38" s="15">
        <f>TabelaPrincipal[[#This Row],[CUSTO + PERCENTUAL DE ENTRADA]]</f>
        <v>10.6</v>
      </c>
      <c r="G38" s="16">
        <f>TabelaPrincipal[[#This Row],[VALOR TOTAL]]</f>
        <v>1060</v>
      </c>
      <c r="H38" s="14"/>
    </row>
    <row r="39" spans="1:8" x14ac:dyDescent="0.25">
      <c r="A39" s="12">
        <f>TabelaPrincipal[[#This Row],[ITEM]]</f>
        <v>39</v>
      </c>
      <c r="B39" s="13" t="str">
        <f>TabelaPrincipal[[#This Row],[DESCRIÇÃO]]</f>
        <v>Metronidazol 400 mg comprimido</v>
      </c>
      <c r="C39" s="14" t="str">
        <f>TabelaPrincipal[[#This Row],[UND]]</f>
        <v>Comprimido</v>
      </c>
      <c r="D39" s="13">
        <f>TabelaPrincipal[[#This Row],[QTD]]</f>
        <v>1568</v>
      </c>
      <c r="E39" s="13" t="str">
        <f>TabelaPrincipal[[#This Row],[MARCA]]</f>
        <v>Multilab</v>
      </c>
      <c r="F39" s="15">
        <f>TabelaPrincipal[[#This Row],[CUSTO + PERCENTUAL DE ENTRADA]]</f>
        <v>0.89</v>
      </c>
      <c r="G39" s="16">
        <f>TabelaPrincipal[[#This Row],[VALOR TOTAL]]</f>
        <v>1395.52</v>
      </c>
      <c r="H39" s="14"/>
    </row>
    <row r="40" spans="1:8" x14ac:dyDescent="0.25">
      <c r="A40" s="12">
        <f>TabelaPrincipal[[#This Row],[ITEM]]</f>
        <v>40</v>
      </c>
      <c r="B40" s="13" t="str">
        <f>TabelaPrincipal[[#This Row],[DESCRIÇÃO]]</f>
        <v>Omeprazol 20 mg cápsula</v>
      </c>
      <c r="C40" s="14" t="str">
        <f>TabelaPrincipal[[#This Row],[UND]]</f>
        <v>Cápsula</v>
      </c>
      <c r="D40" s="13">
        <f>TabelaPrincipal[[#This Row],[QTD]]</f>
        <v>14000</v>
      </c>
      <c r="E40" s="13" t="str">
        <f>TabelaPrincipal[[#This Row],[MARCA]]</f>
        <v>Geolab</v>
      </c>
      <c r="F40" s="15">
        <f>TabelaPrincipal[[#This Row],[CUSTO + PERCENTUAL DE ENTRADA]]</f>
        <v>0.53</v>
      </c>
      <c r="G40" s="16">
        <f>TabelaPrincipal[[#This Row],[VALOR TOTAL]]</f>
        <v>7420</v>
      </c>
      <c r="H40" s="14"/>
    </row>
    <row r="41" spans="1:8" x14ac:dyDescent="0.25">
      <c r="A41" s="12">
        <f>TabelaPrincipal[[#This Row],[ITEM]]</f>
        <v>41</v>
      </c>
      <c r="B41" s="13" t="str">
        <f>TabelaPrincipal[[#This Row],[DESCRIÇÃO]]</f>
        <v>Paracetamol, dosagem comprimido: 500 mg</v>
      </c>
      <c r="C41" s="14" t="str">
        <f>TabelaPrincipal[[#This Row],[UND]]</f>
        <v>Comprimido</v>
      </c>
      <c r="D41" s="13">
        <f>TabelaPrincipal[[#This Row],[QTD]]</f>
        <v>10000</v>
      </c>
      <c r="E41" s="13" t="str">
        <f>TabelaPrincipal[[#This Row],[MARCA]]</f>
        <v>Belfar</v>
      </c>
      <c r="F41" s="15">
        <f>TabelaPrincipal[[#This Row],[CUSTO + PERCENTUAL DE ENTRADA]]</f>
        <v>0.78</v>
      </c>
      <c r="G41" s="16">
        <f>TabelaPrincipal[[#This Row],[VALOR TOTAL]]</f>
        <v>7800</v>
      </c>
      <c r="H41" s="14"/>
    </row>
    <row r="42" spans="1:8" x14ac:dyDescent="0.25">
      <c r="A42" s="12">
        <f>TabelaPrincipal[[#This Row],[ITEM]]</f>
        <v>42</v>
      </c>
      <c r="B42" s="13" t="str">
        <f>TabelaPrincipal[[#This Row],[DESCRIÇÃO]]</f>
        <v>Prednisona 20 mg comprimido</v>
      </c>
      <c r="C42" s="14" t="str">
        <f>TabelaPrincipal[[#This Row],[UND]]</f>
        <v>Comprimido</v>
      </c>
      <c r="D42" s="13">
        <f>TabelaPrincipal[[#This Row],[QTD]]</f>
        <v>6000</v>
      </c>
      <c r="E42" s="13" t="str">
        <f>TabelaPrincipal[[#This Row],[MARCA]]</f>
        <v>Globo</v>
      </c>
      <c r="F42" s="15">
        <f>TabelaPrincipal[[#This Row],[CUSTO + PERCENTUAL DE ENTRADA]]</f>
        <v>0.78</v>
      </c>
      <c r="G42" s="16">
        <f>TabelaPrincipal[[#This Row],[VALOR TOTAL]]</f>
        <v>4680</v>
      </c>
      <c r="H42" s="14"/>
    </row>
    <row r="43" spans="1:8" x14ac:dyDescent="0.25">
      <c r="A43" s="12">
        <f>TabelaPrincipal[[#This Row],[ITEM]]</f>
        <v>43</v>
      </c>
      <c r="B43" s="13" t="str">
        <f>TabelaPrincipal[[#This Row],[DESCRIÇÃO]]</f>
        <v>Propranolol 40 mg comprimido</v>
      </c>
      <c r="C43" s="14" t="str">
        <f>TabelaPrincipal[[#This Row],[UND]]</f>
        <v>Comprimido</v>
      </c>
      <c r="D43" s="13">
        <f>TabelaPrincipal[[#This Row],[QTD]]</f>
        <v>500</v>
      </c>
      <c r="E43" s="13" t="str">
        <f>TabelaPrincipal[[#This Row],[MARCA]]</f>
        <v>Osório de Moraes</v>
      </c>
      <c r="F43" s="15">
        <f>TabelaPrincipal[[#This Row],[CUSTO + PERCENTUAL DE ENTRADA]]</f>
        <v>0.38</v>
      </c>
      <c r="G43" s="16">
        <f>TabelaPrincipal[[#This Row],[VALOR TOTAL]]</f>
        <v>190</v>
      </c>
      <c r="H43" s="14"/>
    </row>
    <row r="44" spans="1:8" ht="38.25" x14ac:dyDescent="0.25">
      <c r="A44" s="12">
        <f>TabelaPrincipal[[#This Row],[ITEM]]</f>
        <v>44</v>
      </c>
      <c r="B44" s="13" t="str">
        <f>TabelaPrincipal[[#This Row],[DESCRIÇÃO]]</f>
        <v>Sais para reidratação oral, composição: sódio, potássio, cloreto, citrato e glicose, forma farmacêutica: pó p, solução oral</v>
      </c>
      <c r="C44" s="14" t="str">
        <f>TabelaPrincipal[[#This Row],[UND]]</f>
        <v>Envelope</v>
      </c>
      <c r="D44" s="13">
        <f>TabelaPrincipal[[#This Row],[QTD]]</f>
        <v>2000</v>
      </c>
      <c r="E44" s="13" t="str">
        <f>TabelaPrincipal[[#This Row],[MARCA]]</f>
        <v>Pharmascience</v>
      </c>
      <c r="F44" s="15">
        <f>TabelaPrincipal[[#This Row],[CUSTO + PERCENTUAL DE ENTRADA]]</f>
        <v>4.0599999999999996</v>
      </c>
      <c r="G44" s="16">
        <f>TabelaPrincipal[[#This Row],[VALOR TOTAL]]</f>
        <v>8119.9999999999991</v>
      </c>
      <c r="H44" s="14"/>
    </row>
    <row r="45" spans="1:8" x14ac:dyDescent="0.25">
      <c r="A45" s="12">
        <f>TabelaPrincipal[[#This Row],[ITEM]]</f>
        <v>45</v>
      </c>
      <c r="B45" s="13" t="str">
        <f>TabelaPrincipal[[#This Row],[DESCRIÇÃO]]</f>
        <v>Tenoxicam 40 mg pó para solução injetável</v>
      </c>
      <c r="C45" s="14" t="str">
        <f>TabelaPrincipal[[#This Row],[UND]]</f>
        <v>Frasco- ampola</v>
      </c>
      <c r="D45" s="13">
        <f>TabelaPrincipal[[#This Row],[QTD]]</f>
        <v>500</v>
      </c>
      <c r="E45" s="13" t="str">
        <f>TabelaPrincipal[[#This Row],[MARCA]]</f>
        <v>Cristália</v>
      </c>
      <c r="F45" s="15">
        <f>TabelaPrincipal[[#This Row],[CUSTO + PERCENTUAL DE ENTRADA]]</f>
        <v>16.8</v>
      </c>
      <c r="G45" s="16">
        <f>TabelaPrincipal[[#This Row],[VALOR TOTAL]]</f>
        <v>8400</v>
      </c>
      <c r="H45" s="14"/>
    </row>
    <row r="46" spans="1:8" x14ac:dyDescent="0.25">
      <c r="A46" s="12">
        <f>TabelaPrincipal[[#This Row],[ITEM]]</f>
        <v>46</v>
      </c>
      <c r="B46" s="13" t="str">
        <f>TabelaPrincipal[[#This Row],[DESCRIÇÃO]]</f>
        <v>Varfarina sódica 5 mg comprimido</v>
      </c>
      <c r="C46" s="14" t="str">
        <f>TabelaPrincipal[[#This Row],[UND]]</f>
        <v>Comprimido</v>
      </c>
      <c r="D46" s="13">
        <f>TabelaPrincipal[[#This Row],[QTD]]</f>
        <v>1000</v>
      </c>
      <c r="E46" s="13" t="str">
        <f>TabelaPrincipal[[#This Row],[MARCA]]</f>
        <v>Teuto</v>
      </c>
      <c r="F46" s="15">
        <f>TabelaPrincipal[[#This Row],[CUSTO + PERCENTUAL DE ENTRADA]]</f>
        <v>0.31</v>
      </c>
      <c r="G46" s="16">
        <f>TabelaPrincipal[[#This Row],[VALOR TOTAL]]</f>
        <v>310</v>
      </c>
      <c r="H46" s="14"/>
    </row>
    <row r="47" spans="1:8" ht="25.5" x14ac:dyDescent="0.25">
      <c r="A47" s="12">
        <f>TabelaPrincipal[[#This Row],[ITEM]]</f>
        <v>47</v>
      </c>
      <c r="B47" s="13" t="str">
        <f>TabelaPrincipal[[#This Row],[DESCRIÇÃO]]</f>
        <v>Multivitaminas, composição vitaminas: vits: a, d3, e, k1, b1, b2, b3, b5, b6, c, forma farmacêutica: solução injetável</v>
      </c>
      <c r="C47" s="14" t="str">
        <f>TabelaPrincipal[[#This Row],[UND]]</f>
        <v>Ampola 10 ml</v>
      </c>
      <c r="D47" s="13">
        <f>TabelaPrincipal[[#This Row],[QTD]]</f>
        <v>2000</v>
      </c>
      <c r="E47" s="13" t="str">
        <f>TabelaPrincipal[[#This Row],[MARCA]]</f>
        <v>Cristália</v>
      </c>
      <c r="F47" s="15">
        <f>TabelaPrincipal[[#This Row],[CUSTO + PERCENTUAL DE ENTRADA]]</f>
        <v>8.06</v>
      </c>
      <c r="G47" s="16">
        <f>TabelaPrincipal[[#This Row],[VALOR TOTAL]]</f>
        <v>16120.000000000002</v>
      </c>
      <c r="H47" s="14"/>
    </row>
    <row r="48" spans="1:8" x14ac:dyDescent="0.25">
      <c r="A48" s="12">
        <f>TabelaPrincipal[[#This Row],[ITEM]]</f>
        <v>48</v>
      </c>
      <c r="B48" s="13" t="str">
        <f>TabelaPrincipal[[#This Row],[DESCRIÇÃO]]</f>
        <v>Acetilcisteína, dosagem: 20 mg,ml, indicação: xarope</v>
      </c>
      <c r="C48" s="14" t="str">
        <f>TabelaPrincipal[[#This Row],[UND]]</f>
        <v>Frasco 120 ml</v>
      </c>
      <c r="D48" s="13">
        <f>TabelaPrincipal[[#This Row],[QTD]]</f>
        <v>200</v>
      </c>
      <c r="E48" s="13" t="str">
        <f>TabelaPrincipal[[#This Row],[MARCA]]</f>
        <v>Legrand</v>
      </c>
      <c r="F48" s="15">
        <f>TabelaPrincipal[[#This Row],[CUSTO + PERCENTUAL DE ENTRADA]]</f>
        <v>13.09</v>
      </c>
      <c r="G48" s="16">
        <f>TabelaPrincipal[[#This Row],[VALOR TOTAL]]</f>
        <v>2618</v>
      </c>
      <c r="H48" s="14"/>
    </row>
    <row r="49" spans="1:8" x14ac:dyDescent="0.25">
      <c r="A49" s="12">
        <f>TabelaPrincipal[[#This Row],[ITEM]]</f>
        <v>49</v>
      </c>
      <c r="B49" s="13" t="str">
        <f>TabelaPrincipal[[#This Row],[DESCRIÇÃO]]</f>
        <v>Saccharomyces boulardii100 mg cápsula</v>
      </c>
      <c r="C49" s="14" t="str">
        <f>TabelaPrincipal[[#This Row],[UND]]</f>
        <v>Cápsula</v>
      </c>
      <c r="D49" s="13">
        <f>TabelaPrincipal[[#This Row],[QTD]]</f>
        <v>12000</v>
      </c>
      <c r="E49" s="13" t="str">
        <f>TabelaPrincipal[[#This Row],[MARCA]]</f>
        <v>Brainfarma</v>
      </c>
      <c r="F49" s="15">
        <f>TabelaPrincipal[[#This Row],[CUSTO + PERCENTUAL DE ENTRADA]]</f>
        <v>2.2400000000000002</v>
      </c>
      <c r="G49" s="16">
        <f>TabelaPrincipal[[#This Row],[VALOR TOTAL]]</f>
        <v>26880.000000000004</v>
      </c>
      <c r="H49" s="14"/>
    </row>
    <row r="50" spans="1:8" ht="25.5" x14ac:dyDescent="0.25">
      <c r="A50" s="12">
        <f>TabelaPrincipal[[#This Row],[ITEM]]</f>
        <v>50</v>
      </c>
      <c r="B50" s="13" t="str">
        <f>TabelaPrincipal[[#This Row],[DESCRIÇÃO]]</f>
        <v>Cloreto de sódio, princípio ativo: 0,9%_ solução injetável, aplicação: sistema fechado 250 ml</v>
      </c>
      <c r="C50" s="14" t="str">
        <f>TabelaPrincipal[[#This Row],[UND]]</f>
        <v>Frasco 250 ml</v>
      </c>
      <c r="D50" s="13">
        <f>TabelaPrincipal[[#This Row],[QTD]]</f>
        <v>600</v>
      </c>
      <c r="E50" s="13" t="str">
        <f>TabelaPrincipal[[#This Row],[MARCA]]</f>
        <v>JP</v>
      </c>
      <c r="F50" s="15">
        <f>TabelaPrincipal[[#This Row],[CUSTO + PERCENTUAL DE ENTRADA]]</f>
        <v>8.39</v>
      </c>
      <c r="G50" s="16">
        <f>TabelaPrincipal[[#This Row],[VALOR TOTAL]]</f>
        <v>5034</v>
      </c>
      <c r="H50" s="14"/>
    </row>
    <row r="51" spans="1:8" ht="25.5" x14ac:dyDescent="0.25">
      <c r="A51" s="12">
        <f>TabelaPrincipal[[#This Row],[ITEM]]</f>
        <v>51</v>
      </c>
      <c r="B51" s="13" t="str">
        <f>TabelaPrincipal[[#This Row],[DESCRIÇÃO]]</f>
        <v>Álcool etílico, tipo: hidratado, teor alcoólico: 70% (70°gl), apresentação: líquido</v>
      </c>
      <c r="C51" s="14" t="str">
        <f>TabelaPrincipal[[#This Row],[UND]]</f>
        <v>Frasco 1L</v>
      </c>
      <c r="D51" s="13">
        <f>TabelaPrincipal[[#This Row],[QTD]]</f>
        <v>500</v>
      </c>
      <c r="E51" s="13" t="str">
        <f>TabelaPrincipal[[#This Row],[MARCA]]</f>
        <v>Prolink</v>
      </c>
      <c r="F51" s="15">
        <f>TabelaPrincipal[[#This Row],[CUSTO + PERCENTUAL DE ENTRADA]]</f>
        <v>8.39</v>
      </c>
      <c r="G51" s="16">
        <f>TabelaPrincipal[[#This Row],[VALOR TOTAL]]</f>
        <v>4195</v>
      </c>
      <c r="H51" s="14"/>
    </row>
    <row r="52" spans="1:8" ht="63.75" x14ac:dyDescent="0.25">
      <c r="A52" s="12">
        <f>TabelaPrincipal[[#This Row],[ITEM]]</f>
        <v>53</v>
      </c>
      <c r="B52" s="13" t="str">
        <f>TabelaPrincipal[[#This Row],[DESCRIÇÃO]]</f>
        <v>Agulha hipodérmica, material: aço inoxidável siliconizado, dimensão: 24 g x 3,4", tipo ponta: bisel curto trifacetado, tipo conexão: conector luerlock ou slip em plástico, tipo fixação: protetor plástico, tipo uso: estéril, descartável, embalagem individual</v>
      </c>
      <c r="C52" s="14" t="str">
        <f>TabelaPrincipal[[#This Row],[UND]]</f>
        <v>Caixa (100 un)</v>
      </c>
      <c r="D52" s="13">
        <f>TabelaPrincipal[[#This Row],[QTD]]</f>
        <v>50</v>
      </c>
      <c r="E52" s="13" t="str">
        <f>TabelaPrincipal[[#This Row],[MARCA]]</f>
        <v>Solidor</v>
      </c>
      <c r="F52" s="15">
        <f>TabelaPrincipal[[#This Row],[CUSTO + PERCENTUAL DE ENTRADA]]</f>
        <v>19.350000000000001</v>
      </c>
      <c r="G52" s="16">
        <f>TabelaPrincipal[[#This Row],[VALOR TOTAL]]</f>
        <v>967.50000000000011</v>
      </c>
      <c r="H52" s="14"/>
    </row>
    <row r="53" spans="1:8" ht="63.75" x14ac:dyDescent="0.25">
      <c r="A53" s="12">
        <f>TabelaPrincipal[[#This Row],[ITEM]]</f>
        <v>54</v>
      </c>
      <c r="B53" s="13" t="str">
        <f>TabelaPrincipal[[#This Row],[DESCRIÇÃO]]</f>
        <v>Agulha hipodérmica, material: aço inoxidável siliconizado, dimensão: 23 g x 1", tipo ponta: bisel curto trifacetado, tipo conexão: conector luerlock ou slip em plástico, tipo fixação: protetor plástico, tipo uso: estéril, descartável, embalagem individual</v>
      </c>
      <c r="C53" s="14" t="str">
        <f>TabelaPrincipal[[#This Row],[UND]]</f>
        <v>Caixa (100 un)</v>
      </c>
      <c r="D53" s="13">
        <f>TabelaPrincipal[[#This Row],[QTD]]</f>
        <v>50</v>
      </c>
      <c r="E53" s="13" t="str">
        <f>TabelaPrincipal[[#This Row],[MARCA]]</f>
        <v>Solidor</v>
      </c>
      <c r="F53" s="15">
        <f>TabelaPrincipal[[#This Row],[CUSTO + PERCENTUAL DE ENTRADA]]</f>
        <v>14.48</v>
      </c>
      <c r="G53" s="16">
        <f>TabelaPrincipal[[#This Row],[VALOR TOTAL]]</f>
        <v>724</v>
      </c>
      <c r="H53" s="14"/>
    </row>
    <row r="54" spans="1:8" ht="63.75" x14ac:dyDescent="0.25">
      <c r="A54" s="12">
        <f>TabelaPrincipal[[#This Row],[ITEM]]</f>
        <v>55</v>
      </c>
      <c r="B54" s="13" t="str">
        <f>TabelaPrincipal[[#This Row],[DESCRIÇÃO]]</f>
        <v>Agulha hipodérmica, material: aço inoxidável siliconizado, dimensão: 22 g x 1 1,4", tipo ponta: bisel curto trifacetado, tipo conexão: conector luerlock ou slip em plástico, tipo fixação: protetor plástico, tipo uso: estéril, descartável, embalagem individual</v>
      </c>
      <c r="C54" s="14" t="str">
        <f>TabelaPrincipal[[#This Row],[UND]]</f>
        <v>Caixa (100 un)</v>
      </c>
      <c r="D54" s="13">
        <f>TabelaPrincipal[[#This Row],[QTD]]</f>
        <v>50</v>
      </c>
      <c r="E54" s="13" t="str">
        <f>TabelaPrincipal[[#This Row],[MARCA]]</f>
        <v>Solidor</v>
      </c>
      <c r="F54" s="15">
        <f>TabelaPrincipal[[#This Row],[CUSTO + PERCENTUAL DE ENTRADA]]</f>
        <v>17.54</v>
      </c>
      <c r="G54" s="16">
        <f>TabelaPrincipal[[#This Row],[VALOR TOTAL]]</f>
        <v>877</v>
      </c>
      <c r="H54" s="14"/>
    </row>
    <row r="55" spans="1:8" ht="63.75" x14ac:dyDescent="0.25">
      <c r="A55" s="12">
        <f>TabelaPrincipal[[#This Row],[ITEM]]</f>
        <v>56</v>
      </c>
      <c r="B55" s="13" t="str">
        <f>TabelaPrincipal[[#This Row],[DESCRIÇÃO]]</f>
        <v>Agulha hipodérmica, material: aço inoxidável siliconizado, dimensão: 18 g x 1 1,2", tipo ponta: bisel curto trifacetado, tipo conexão: conector luerlock ou slip em plástico, tipo fixação: protetor plástico, tipo uso: estéril, descartável, embalagem individual</v>
      </c>
      <c r="C55" s="14" t="str">
        <f>TabelaPrincipal[[#This Row],[UND]]</f>
        <v>Caixa (100 un)</v>
      </c>
      <c r="D55" s="13">
        <f>TabelaPrincipal[[#This Row],[QTD]]</f>
        <v>100</v>
      </c>
      <c r="E55" s="13" t="str">
        <f>TabelaPrincipal[[#This Row],[MARCA]]</f>
        <v>Solidor</v>
      </c>
      <c r="F55" s="15">
        <f>TabelaPrincipal[[#This Row],[CUSTO + PERCENTUAL DE ENTRADA]]</f>
        <v>16.52</v>
      </c>
      <c r="G55" s="16">
        <f>TabelaPrincipal[[#This Row],[VALOR TOTAL]]</f>
        <v>1652</v>
      </c>
      <c r="H55" s="14"/>
    </row>
    <row r="56" spans="1:8" ht="76.5" x14ac:dyDescent="0.25">
      <c r="A56" s="12">
        <f>TabelaPrincipal[[#This Row],[ITEM]]</f>
        <v>57</v>
      </c>
      <c r="B56" s="13" t="str">
        <f>TabelaPrincipal[[#This Row],[DESCRIÇÃO]]</f>
        <v>Cateter periférico, material cateter: polímero radiopaco, aplicação: venoso, material agulha: agulha aço inox, diametro: 14 gau, comprimento: cerca 50 mm, conector: conector padrão, componente 1: câmara refluxo c, filtro, componente 2: c, sistema segurança segUnidadeo nr,32, tipo uso: estéril, descartável, embalagem individual</v>
      </c>
      <c r="C56" s="14" t="str">
        <f>TabelaPrincipal[[#This Row],[UND]]</f>
        <v>Unidade</v>
      </c>
      <c r="D56" s="13">
        <f>TabelaPrincipal[[#This Row],[QTD]]</f>
        <v>200</v>
      </c>
      <c r="E56" s="13" t="str">
        <f>TabelaPrincipal[[#This Row],[MARCA]]</f>
        <v>Labor</v>
      </c>
      <c r="F56" s="15">
        <f>TabelaPrincipal[[#This Row],[CUSTO + PERCENTUAL DE ENTRADA]]</f>
        <v>1.91</v>
      </c>
      <c r="G56" s="16">
        <f>TabelaPrincipal[[#This Row],[VALOR TOTAL]]</f>
        <v>382</v>
      </c>
      <c r="H56" s="14"/>
    </row>
    <row r="57" spans="1:8" ht="76.5" x14ac:dyDescent="0.25">
      <c r="A57" s="12">
        <f>TabelaPrincipal[[#This Row],[ITEM]]</f>
        <v>58</v>
      </c>
      <c r="B57" s="13" t="str">
        <f>TabelaPrincipal[[#This Row],[DESCRIÇÃO]]</f>
        <v>Cateter periférico, material cateter: polímero radiopaco, aplicação: venoso, material agulha: agulha aço inox, diametro: 16 gau, comprimento: cerca 30 mm, conector: conector padrão, componente 1: câmara refluxo c, filtro, componente 2: c, sistema segurança segUnidadeo nr,32, tipo uso: estéril, descartável, embalagem individual</v>
      </c>
      <c r="C57" s="14" t="str">
        <f>TabelaPrincipal[[#This Row],[UND]]</f>
        <v>Unidade</v>
      </c>
      <c r="D57" s="13">
        <f>TabelaPrincipal[[#This Row],[QTD]]</f>
        <v>200</v>
      </c>
      <c r="E57" s="13" t="str">
        <f>TabelaPrincipal[[#This Row],[MARCA]]</f>
        <v>Labor</v>
      </c>
      <c r="F57" s="15">
        <f>TabelaPrincipal[[#This Row],[CUSTO + PERCENTUAL DE ENTRADA]]</f>
        <v>1.46</v>
      </c>
      <c r="G57" s="16">
        <f>TabelaPrincipal[[#This Row],[VALOR TOTAL]]</f>
        <v>292</v>
      </c>
      <c r="H57" s="14"/>
    </row>
    <row r="58" spans="1:8" ht="89.25" x14ac:dyDescent="0.25">
      <c r="A58" s="12">
        <f>TabelaPrincipal[[#This Row],[ITEM]]</f>
        <v>59</v>
      </c>
      <c r="B58" s="13" t="str">
        <f>TabelaPrincipal[[#This Row],[DESCRIÇÃO]]</f>
        <v>Cateter periférico, material cateter: polímero radiopaco, aplicação: venoso, material agulha: agulha aço inox, diâmetro: 22 gau, comprimento: cerca 25 mm, componente adicional: c, asa de fixação, tubo extensor c, clamp, conector: conector padrão c, injetor lateral, componente 2: c, sistema segurança segUnidadeo nr,32, tipo uso: estéril, descartável, embalagem individual</v>
      </c>
      <c r="C58" s="14" t="str">
        <f>TabelaPrincipal[[#This Row],[UND]]</f>
        <v>Unidade</v>
      </c>
      <c r="D58" s="13">
        <f>TabelaPrincipal[[#This Row],[QTD]]</f>
        <v>1000</v>
      </c>
      <c r="E58" s="13" t="str">
        <f>TabelaPrincipal[[#This Row],[MARCA]]</f>
        <v>Labor</v>
      </c>
      <c r="F58" s="15">
        <f>TabelaPrincipal[[#This Row],[CUSTO + PERCENTUAL DE ENTRADA]]</f>
        <v>1.55</v>
      </c>
      <c r="G58" s="16">
        <f>TabelaPrincipal[[#This Row],[VALOR TOTAL]]</f>
        <v>1550</v>
      </c>
      <c r="H58" s="14"/>
    </row>
    <row r="59" spans="1:8" ht="89.25" x14ac:dyDescent="0.25">
      <c r="A59" s="12">
        <f>TabelaPrincipal[[#This Row],[ITEM]]</f>
        <v>60</v>
      </c>
      <c r="B59" s="13" t="str">
        <f>TabelaPrincipal[[#This Row],[DESCRIÇÃO]]</f>
        <v>Cateter periférico, material cateter: polímero radiopaco, aplicação: venoso, material agulha: agulha aço inox, diametro: 24 gau, comprimento: cerca 20 mm, componente adicional: c, asa de fixação, tubo extensor c, clamp, conector: conector padrão c, injetor lateral, componente 2: c, sistema segurança segUnidadeo nr,32, tipo uso: estéril, descartável, embalagem individual</v>
      </c>
      <c r="C59" s="14" t="str">
        <f>TabelaPrincipal[[#This Row],[UND]]</f>
        <v>Unidade</v>
      </c>
      <c r="D59" s="13">
        <f>TabelaPrincipal[[#This Row],[QTD]]</f>
        <v>1000</v>
      </c>
      <c r="E59" s="13" t="str">
        <f>TabelaPrincipal[[#This Row],[MARCA]]</f>
        <v>Labor</v>
      </c>
      <c r="F59" s="15">
        <f>TabelaPrincipal[[#This Row],[CUSTO + PERCENTUAL DE ENTRADA]]</f>
        <v>3.05</v>
      </c>
      <c r="G59" s="16">
        <f>TabelaPrincipal[[#This Row],[VALOR TOTAL]]</f>
        <v>3050</v>
      </c>
      <c r="H59" s="14"/>
    </row>
    <row r="60" spans="1:8" ht="51" x14ac:dyDescent="0.25">
      <c r="A60" s="12">
        <f>TabelaPrincipal[[#This Row],[ITEM]]</f>
        <v>61</v>
      </c>
      <c r="B60" s="13" t="str">
        <f>TabelaPrincipal[[#This Row],[DESCRIÇÃO]]</f>
        <v>Coletor de urina, material: polímero, tipo: sistema fechado, capacidade: cerca de 500 ml, graduação: graduada, válvula: válvula antirefluxo, componentes: c, sistema de fixação, esterilidade: estéril, descartável</v>
      </c>
      <c r="C60" s="14" t="str">
        <f>TabelaPrincipal[[#This Row],[UND]]</f>
        <v>Unidade</v>
      </c>
      <c r="D60" s="13">
        <f>TabelaPrincipal[[#This Row],[QTD]]</f>
        <v>20</v>
      </c>
      <c r="E60" s="13" t="str">
        <f>TabelaPrincipal[[#This Row],[MARCA]]</f>
        <v>Taylor</v>
      </c>
      <c r="F60" s="15">
        <f>TabelaPrincipal[[#This Row],[CUSTO + PERCENTUAL DE ENTRADA]]</f>
        <v>40.909999999999997</v>
      </c>
      <c r="G60" s="16">
        <f>TabelaPrincipal[[#This Row],[VALOR TOTAL]]</f>
        <v>818.19999999999993</v>
      </c>
      <c r="H60" s="14"/>
    </row>
    <row r="61" spans="1:8" x14ac:dyDescent="0.25">
      <c r="A61" s="12">
        <f>TabelaPrincipal[[#This Row],[ITEM]]</f>
        <v>73</v>
      </c>
      <c r="B61" s="13" t="str">
        <f>TabelaPrincipal[[#This Row],[DESCRIÇÃO]]</f>
        <v>Haste flexível, haste flexível</v>
      </c>
      <c r="C61" s="14" t="str">
        <f>TabelaPrincipal[[#This Row],[UND]]</f>
        <v>Caixa com 75 Unidades</v>
      </c>
      <c r="D61" s="13">
        <f>TabelaPrincipal[[#This Row],[QTD]]</f>
        <v>100</v>
      </c>
      <c r="E61" s="13" t="str">
        <f>TabelaPrincipal[[#This Row],[MARCA]]</f>
        <v>Polyfarma</v>
      </c>
      <c r="F61" s="15">
        <f>TabelaPrincipal[[#This Row],[CUSTO + PERCENTUAL DE ENTRADA]]</f>
        <v>1.82</v>
      </c>
      <c r="G61" s="16">
        <f>TabelaPrincipal[[#This Row],[VALOR TOTAL]]</f>
        <v>182</v>
      </c>
      <c r="H61" s="14"/>
    </row>
    <row r="62" spans="1:8" ht="38.25" x14ac:dyDescent="0.25">
      <c r="A62" s="12">
        <f>TabelaPrincipal[[#This Row],[ITEM]]</f>
        <v>74</v>
      </c>
      <c r="B62" s="13" t="str">
        <f>TabelaPrincipal[[#This Row],[DESCRIÇÃO]]</f>
        <v>Pilha, tamanho: pequena, modelo: AA, características adicionais: não recarregável, sistema eletroquímico: alcalina, tensão nominal: 1,5 v</v>
      </c>
      <c r="C62" s="14" t="str">
        <f>TabelaPrincipal[[#This Row],[UND]]</f>
        <v>Unidade</v>
      </c>
      <c r="D62" s="13">
        <f>TabelaPrincipal[[#This Row],[QTD]]</f>
        <v>200</v>
      </c>
      <c r="E62" s="13" t="str">
        <f>TabelaPrincipal[[#This Row],[MARCA]]</f>
        <v>Panasonic</v>
      </c>
      <c r="F62" s="15">
        <f>TabelaPrincipal[[#This Row],[CUSTO + PERCENTUAL DE ENTRADA]]</f>
        <v>4.16</v>
      </c>
      <c r="G62" s="16">
        <f>TabelaPrincipal[[#This Row],[VALOR TOTAL]]</f>
        <v>832</v>
      </c>
      <c r="H62" s="14"/>
    </row>
    <row r="63" spans="1:8" ht="38.25" x14ac:dyDescent="0.25">
      <c r="A63" s="12">
        <f>TabelaPrincipal[[#This Row],[ITEM]]</f>
        <v>75</v>
      </c>
      <c r="B63" s="13" t="str">
        <f>TabelaPrincipal[[#This Row],[DESCRIÇÃO]]</f>
        <v>Pilha recarregável, composição: níquel metal hidreto (nimh), modelo: aa, tensão: 1,5 v, capacidade corrente: 2.300 mah, aplicação: equipamentos eletrônicos</v>
      </c>
      <c r="C63" s="14" t="str">
        <f>TabelaPrincipal[[#This Row],[UND]]</f>
        <v>Unidade</v>
      </c>
      <c r="D63" s="13">
        <f>TabelaPrincipal[[#This Row],[QTD]]</f>
        <v>200</v>
      </c>
      <c r="E63" s="13" t="str">
        <f>TabelaPrincipal[[#This Row],[MARCA]]</f>
        <v>Duracel</v>
      </c>
      <c r="F63" s="15">
        <f>TabelaPrincipal[[#This Row],[CUSTO + PERCENTUAL DE ENTRADA]]</f>
        <v>40.6</v>
      </c>
      <c r="G63" s="16">
        <f>TabelaPrincipal[[#This Row],[VALOR TOTAL]]</f>
        <v>8120</v>
      </c>
      <c r="H63" s="14"/>
    </row>
    <row r="64" spans="1:8" ht="25.5" x14ac:dyDescent="0.25">
      <c r="A64" s="12">
        <f>TabelaPrincipal[[#This Row],[ITEM]]</f>
        <v>76</v>
      </c>
      <c r="B64" s="13" t="str">
        <f>TabelaPrincipal[[#This Row],[DESCRIÇÃO]]</f>
        <v>Pilha, tamanho: pequena, tipo: alcalina, modelo: AAA, tensão: 1,5 v, características adicionais: não recarregável</v>
      </c>
      <c r="C64" s="14" t="str">
        <f>TabelaPrincipal[[#This Row],[UND]]</f>
        <v>Unidade</v>
      </c>
      <c r="D64" s="13">
        <f>TabelaPrincipal[[#This Row],[QTD]]</f>
        <v>200</v>
      </c>
      <c r="E64" s="13" t="str">
        <f>TabelaPrincipal[[#This Row],[MARCA]]</f>
        <v>Panasonic</v>
      </c>
      <c r="F64" s="15">
        <f>TabelaPrincipal[[#This Row],[CUSTO + PERCENTUAL DE ENTRADA]]</f>
        <v>4.83</v>
      </c>
      <c r="G64" s="16">
        <f>TabelaPrincipal[[#This Row],[VALOR TOTAL]]</f>
        <v>966</v>
      </c>
      <c r="H64" s="14"/>
    </row>
    <row r="65" spans="1:8" ht="102" x14ac:dyDescent="0.25">
      <c r="A65" s="12">
        <f>TabelaPrincipal[[#This Row],[ITEM]]</f>
        <v>80</v>
      </c>
      <c r="B65" s="13" t="str">
        <f>TabelaPrincipal[[#This Row],[DESCRIÇÃO]]</f>
        <v>Imobilizador  de  cabeça  headblock  impermeável. Imobilizador  de  cabeça  (coxim):  confeccionado em   abs\,   resistente   a   impactos;   utilizado   em conjuntocomprancha  de  imobilização;  anatômico\, regulagem   com   velcro\,   base   com   regulagem. Imobilizador  de  cabeça  (coxim):  confeccionado em  abs\,   resistente  a  impactos;  uti  lizado   em conjunto     com     prancha     de     imobilização; anatômico\,  regulagem  com  velcr  o\,  base  com regulagem.</v>
      </c>
      <c r="C65" s="14" t="str">
        <f>TabelaPrincipal[[#This Row],[UND]]</f>
        <v>Unidade</v>
      </c>
      <c r="D65" s="13">
        <f>TabelaPrincipal[[#This Row],[QTD]]</f>
        <v>20</v>
      </c>
      <c r="E65" s="13" t="str">
        <f>TabelaPrincipal[[#This Row],[MARCA]]</f>
        <v>Head Block</v>
      </c>
      <c r="F65" s="15">
        <f>TabelaPrincipal[[#This Row],[CUSTO + PERCENTUAL DE ENTRADA]]</f>
        <v>159.6</v>
      </c>
      <c r="G65" s="16">
        <f>TabelaPrincipal[[#This Row],[VALOR TOTAL]]</f>
        <v>3192</v>
      </c>
      <c r="H65" s="14"/>
    </row>
    <row r="66" spans="1:8" ht="63.75" x14ac:dyDescent="0.25">
      <c r="A66" s="12">
        <f>TabelaPrincipal[[#This Row],[ITEM]]</f>
        <v>390</v>
      </c>
      <c r="B66" s="13" t="str">
        <f>TabelaPrincipal[[#This Row],[DESCRIÇÃO]]</f>
        <v>Resina  composta,  tipo:  fotopolimerizável,  tipo  " bulk fill ", aspecto físico: fluída, alta viscosidade. Padrão de referência: Resina Opus Bulk FillFlow - FGM     A3     similar     ou     superior     Resina FiltekBulkFillFlow - 3m - A1 similar ou superior</v>
      </c>
      <c r="C66" s="14" t="str">
        <f>TabelaPrincipal[[#This Row],[UND]]</f>
        <v>Unidade</v>
      </c>
      <c r="D66" s="13">
        <f>TabelaPrincipal[[#This Row],[QTD]]</f>
        <v>30</v>
      </c>
      <c r="E66" s="13" t="str">
        <f>TabelaPrincipal[[#This Row],[MARCA]]</f>
        <v>Gtech</v>
      </c>
      <c r="F66" s="15">
        <f>TabelaPrincipal[[#This Row],[CUSTO + PERCENTUAL DE ENTRADA]]</f>
        <v>231</v>
      </c>
      <c r="G66" s="16">
        <f>TabelaPrincipal[[#This Row],[VALOR TOTAL]]</f>
        <v>6930</v>
      </c>
      <c r="H66" s="14"/>
    </row>
    <row r="67" spans="1:8" ht="25.5" x14ac:dyDescent="0.25">
      <c r="A67" s="12">
        <f>TabelaPrincipal[[#This Row],[ITEM]]</f>
        <v>83</v>
      </c>
      <c r="B67" s="13" t="str">
        <f>TabelaPrincipal[[#This Row],[DESCRIÇÃO]]</f>
        <v>Otoscópio,  tipo  clínico,  características  adicionais com 5 espéculo reutilizáveis, estojo em nylon</v>
      </c>
      <c r="C67" s="14" t="str">
        <f>TabelaPrincipal[[#This Row],[UND]]</f>
        <v>Unidade</v>
      </c>
      <c r="D67" s="13">
        <f>TabelaPrincipal[[#This Row],[QTD]]</f>
        <v>5</v>
      </c>
      <c r="E67" s="13" t="str">
        <f>TabelaPrincipal[[#This Row],[MARCA]]</f>
        <v>Mikatos</v>
      </c>
      <c r="F67" s="15">
        <f>TabelaPrincipal[[#This Row],[CUSTO + PERCENTUAL DE ENTRADA]]</f>
        <v>966.16</v>
      </c>
      <c r="G67" s="16">
        <f>TabelaPrincipal[[#This Row],[VALOR TOTAL]]</f>
        <v>4830.8</v>
      </c>
      <c r="H67" s="14"/>
    </row>
    <row r="68" spans="1:8" ht="51" x14ac:dyDescent="0.25">
      <c r="A68" s="12">
        <f>TabelaPrincipal[[#This Row],[ITEM]]</f>
        <v>84</v>
      </c>
      <c r="B68" s="13" t="str">
        <f>TabelaPrincipal[[#This Row],[DESCRIÇÃO]]</f>
        <v>Maca   de   resgate,   material:   polietileno,   tipo: prancha,  tamanho:  adulto,  largura:  cerca  de  0,40 m, capacidade de carga: até 250 kg, componentes: até  5  cintos  de  segurança,  componentes  01:  cinto imobilizador para cabeça</v>
      </c>
      <c r="C68" s="14" t="str">
        <f>TabelaPrincipal[[#This Row],[UND]]</f>
        <v>Unidade</v>
      </c>
      <c r="D68" s="13">
        <f>TabelaPrincipal[[#This Row],[QTD]]</f>
        <v>10</v>
      </c>
      <c r="E68" s="13" t="str">
        <f>TabelaPrincipal[[#This Row],[MARCA]]</f>
        <v>DMZ Medical</v>
      </c>
      <c r="F68" s="15">
        <f>TabelaPrincipal[[#This Row],[CUSTO + PERCENTUAL DE ENTRADA]]</f>
        <v>710.66</v>
      </c>
      <c r="G68" s="16">
        <f>TabelaPrincipal[[#This Row],[VALOR TOTAL]]</f>
        <v>7106.5999999999995</v>
      </c>
      <c r="H68" s="14"/>
    </row>
    <row r="69" spans="1:8" ht="140.25" x14ac:dyDescent="0.25">
      <c r="A69" s="12">
        <f>TabelaPrincipal[[#This Row],[ITEM]]</f>
        <v>88</v>
      </c>
      <c r="B69" s="13" t="str">
        <f>TabelaPrincipal[[#This Row],[DESCRIÇÃO]]</f>
        <v>Glicosímetro   (c/   tiras\,   lancetas   e   lancetador) glicosímetro   para   medição   de   glicemia   capilar (glicosímetrodigital)\,  tempo  de  resultado  de  teste de 0 a 15segUnidades\, e volume de amostra de até 03   microlitros\,   obtidos   por   capilaridade.   O aparelho   deve   permitir   determinação   precisa   e segura  de  glicemia  em  sangue  capilar  de  recém- nascido\,  criança\,  adultos  e  pacientes  em  uso  de insulina.  O  glicosímetro  deve  acompanhar\,  no mínimo:  1  caneta  lancetadora\,  50lancetas\,  5  0 tiras de teste e 1 bateria\, compatíveis. Garantia de no mínimo 12 (doze) meses.</v>
      </c>
      <c r="C69" s="14" t="str">
        <f>TabelaPrincipal[[#This Row],[UND]]</f>
        <v>Unidade</v>
      </c>
      <c r="D69" s="13">
        <f>TabelaPrincipal[[#This Row],[QTD]]</f>
        <v>10</v>
      </c>
      <c r="E69" s="13" t="str">
        <f>TabelaPrincipal[[#This Row],[MARCA]]</f>
        <v>Roché</v>
      </c>
      <c r="F69" s="15">
        <f>TabelaPrincipal[[#This Row],[CUSTO + PERCENTUAL DE ENTRADA]]</f>
        <v>110.04</v>
      </c>
      <c r="G69" s="16">
        <f>TabelaPrincipal[[#This Row],[VALOR TOTAL]]</f>
        <v>1100.4000000000001</v>
      </c>
      <c r="H69" s="14"/>
    </row>
    <row r="70" spans="1:8" ht="51" x14ac:dyDescent="0.25">
      <c r="A70" s="12">
        <f>TabelaPrincipal[[#This Row],[ITEM]]</f>
        <v>89</v>
      </c>
      <c r="B70" s="13" t="str">
        <f>TabelaPrincipal[[#This Row],[DESCRIÇÃO]]</f>
        <v>Termohigrômetro, tipo: digital, fonte alimentação: bateria  9  v,  faixa  temperatura:  0  a  +  50  °c,  faixa medição humidade relativa: 10 a 95 per, resolução: 1%  °c.  Aplicação:  Monitoramento  Temperatura eumidade.</v>
      </c>
      <c r="C70" s="14" t="str">
        <f>TabelaPrincipal[[#This Row],[UND]]</f>
        <v>Unidade</v>
      </c>
      <c r="D70" s="13">
        <f>TabelaPrincipal[[#This Row],[QTD]]</f>
        <v>10</v>
      </c>
      <c r="E70" s="13" t="str">
        <f>TabelaPrincipal[[#This Row],[MARCA]]</f>
        <v>Supermed</v>
      </c>
      <c r="F70" s="15">
        <f>TabelaPrincipal[[#This Row],[CUSTO + PERCENTUAL DE ENTRADA]]</f>
        <v>99.65</v>
      </c>
      <c r="G70" s="16">
        <f>TabelaPrincipal[[#This Row],[VALOR TOTAL]]</f>
        <v>996.5</v>
      </c>
      <c r="H70" s="14"/>
    </row>
    <row r="71" spans="1:8" ht="25.5" x14ac:dyDescent="0.25">
      <c r="A71" s="12">
        <f>TabelaPrincipal[[#This Row],[ITEM]]</f>
        <v>98</v>
      </c>
      <c r="B71" s="13" t="str">
        <f>TabelaPrincipal[[#This Row],[DESCRIÇÃO]]</f>
        <v>Cloridrato de metilfenidato 36 mg comprimidos de liberação prolongada</v>
      </c>
      <c r="C71" s="14" t="str">
        <f>TabelaPrincipal[[#This Row],[UND]]</f>
        <v>Comprimido</v>
      </c>
      <c r="D71" s="13">
        <f>TabelaPrincipal[[#This Row],[QTD]]</f>
        <v>720</v>
      </c>
      <c r="E71" s="13" t="str">
        <f>TabelaPrincipal[[#This Row],[MARCA]]</f>
        <v>Cellera</v>
      </c>
      <c r="F71" s="15">
        <f>TabelaPrincipal[[#This Row],[CUSTO + PERCENTUAL DE ENTRADA]]</f>
        <v>16.86</v>
      </c>
      <c r="G71" s="16">
        <f>TabelaPrincipal[[#This Row],[VALOR TOTAL]]</f>
        <v>12139.199999999999</v>
      </c>
      <c r="H71" s="14"/>
    </row>
    <row r="72" spans="1:8" ht="51" x14ac:dyDescent="0.25">
      <c r="A72" s="12">
        <f>TabelaPrincipal[[#This Row],[ITEM]]</f>
        <v>99</v>
      </c>
      <c r="B72" s="13" t="str">
        <f>TabelaPrincipal[[#This Row],[DESCRIÇÃO]]</f>
        <v>Avental hospitalar, tipo: capote cirúrgico,  material: sms, tamanho: único, gramatura: cerca de 40 g/cm2, cor: branco, componente: tiras para fixação, característica adicional: manga longa, punho malha.</v>
      </c>
      <c r="C72" s="14" t="str">
        <f>TabelaPrincipal[[#This Row],[UND]]</f>
        <v>Unidade</v>
      </c>
      <c r="D72" s="13">
        <f>TabelaPrincipal[[#This Row],[QTD]]</f>
        <v>500</v>
      </c>
      <c r="E72" s="13" t="str">
        <f>TabelaPrincipal[[#This Row],[MARCA]]</f>
        <v>Maycare</v>
      </c>
      <c r="F72" s="15">
        <f>TabelaPrincipal[[#This Row],[CUSTO + PERCENTUAL DE ENTRADA]]</f>
        <v>10.46</v>
      </c>
      <c r="G72" s="16">
        <f>TabelaPrincipal[[#This Row],[VALOR TOTAL]]</f>
        <v>5230</v>
      </c>
      <c r="H72" s="14"/>
    </row>
    <row r="73" spans="1:8" ht="38.25" x14ac:dyDescent="0.25">
      <c r="A73" s="12">
        <f>TabelaPrincipal[[#This Row],[ITEM]]</f>
        <v>100</v>
      </c>
      <c r="B73" s="13" t="str">
        <f>TabelaPrincipal[[#This Row],[DESCRIÇÃO]]</f>
        <v>Luva para procedimento não cirúrgico, material: látex natural íntegro e uniforme, tamanho: PEQUENO, características adicionais: sem pó, tipo: ambidestra.</v>
      </c>
      <c r="C73" s="14" t="str">
        <f>TabelaPrincipal[[#This Row],[UND]]</f>
        <v>Caixa com 100
unidades</v>
      </c>
      <c r="D73" s="13">
        <f>TabelaPrincipal[[#This Row],[QTD]]</f>
        <v>300</v>
      </c>
      <c r="E73" s="13" t="str">
        <f>TabelaPrincipal[[#This Row],[MARCA]]</f>
        <v>Supermax</v>
      </c>
      <c r="F73" s="15">
        <f>TabelaPrincipal[[#This Row],[CUSTO + PERCENTUAL DE ENTRADA]]</f>
        <v>73.430000000000007</v>
      </c>
      <c r="G73" s="16">
        <f>TabelaPrincipal[[#This Row],[VALOR TOTAL]]</f>
        <v>22029.000000000004</v>
      </c>
      <c r="H73" s="14"/>
    </row>
    <row r="74" spans="1:8" ht="38.25" x14ac:dyDescent="0.25">
      <c r="A74" s="12">
        <f>TabelaPrincipal[[#This Row],[ITEM]]</f>
        <v>101</v>
      </c>
      <c r="B74" s="13" t="str">
        <f>TabelaPrincipal[[#This Row],[DESCRIÇÃO]]</f>
        <v>Luva para procedimento não cirúrgico, material: látex natural íntegro e uniforme, tamanho: GRANDE, características adicionais: sem pó, tipo: ambidestra.</v>
      </c>
      <c r="C74" s="14" t="str">
        <f>TabelaPrincipal[[#This Row],[UND]]</f>
        <v>Caixa com 100
unidades</v>
      </c>
      <c r="D74" s="13">
        <f>TabelaPrincipal[[#This Row],[QTD]]</f>
        <v>150</v>
      </c>
      <c r="E74" s="13" t="str">
        <f>TabelaPrincipal[[#This Row],[MARCA]]</f>
        <v>Unigloves</v>
      </c>
      <c r="F74" s="15">
        <f>TabelaPrincipal[[#This Row],[CUSTO + PERCENTUAL DE ENTRADA]]</f>
        <v>76.78</v>
      </c>
      <c r="G74" s="16">
        <f>TabelaPrincipal[[#This Row],[VALOR TOTAL]]</f>
        <v>11517</v>
      </c>
      <c r="H74" s="14"/>
    </row>
    <row r="75" spans="1:8" ht="51" x14ac:dyDescent="0.25">
      <c r="A75" s="12">
        <f>TabelaPrincipal[[#This Row],[ITEM]]</f>
        <v>102</v>
      </c>
      <c r="B75" s="13" t="str">
        <f>TabelaPrincipal[[#This Row],[DESCRIÇÃO]]</f>
        <v>Luva para procedimento não cirúrgico, material: látex natural íntegro e uniforme, tamanho: EXTRAPEQUENO, características adicionais: sem pó, antiderrapante, tipo: ambidestra.</v>
      </c>
      <c r="C75" s="14" t="str">
        <f>TabelaPrincipal[[#This Row],[UND]]</f>
        <v>Caixa com 100
unidades</v>
      </c>
      <c r="D75" s="13">
        <f>TabelaPrincipal[[#This Row],[QTD]]</f>
        <v>150</v>
      </c>
      <c r="E75" s="13" t="str">
        <f>TabelaPrincipal[[#This Row],[MARCA]]</f>
        <v>Medix</v>
      </c>
      <c r="F75" s="15">
        <f>TabelaPrincipal[[#This Row],[CUSTO + PERCENTUAL DE ENTRADA]]</f>
        <v>61.02</v>
      </c>
      <c r="G75" s="16">
        <f>TabelaPrincipal[[#This Row],[VALOR TOTAL]]</f>
        <v>9153</v>
      </c>
      <c r="H75" s="14"/>
    </row>
    <row r="76" spans="1:8" ht="63.75" x14ac:dyDescent="0.25">
      <c r="A76" s="12">
        <f>TabelaPrincipal[[#This Row],[ITEM]]</f>
        <v>103</v>
      </c>
      <c r="B76" s="13" t="str">
        <f>TabelaPrincipal[[#This Row],[DESCRIÇÃO]]</f>
        <v>Luva para procedimento não cirúrgico, material: látex natural, tamanho: MÉDIO, características adicionais: sem pó, esterilidade: não esterilizada, cor: branca, aplicação: proteção para as mãos, tipo: ambidestra, modelo: hipoalérgica.</v>
      </c>
      <c r="C76" s="14" t="str">
        <f>TabelaPrincipal[[#This Row],[UND]]</f>
        <v>Caixa com 100
unidades</v>
      </c>
      <c r="D76" s="13">
        <f>TabelaPrincipal[[#This Row],[QTD]]</f>
        <v>300</v>
      </c>
      <c r="E76" s="13" t="str">
        <f>TabelaPrincipal[[#This Row],[MARCA]]</f>
        <v>Supermax</v>
      </c>
      <c r="F76" s="15">
        <f>TabelaPrincipal[[#This Row],[CUSTO + PERCENTUAL DE ENTRADA]]</f>
        <v>70.28</v>
      </c>
      <c r="G76" s="16">
        <f>TabelaPrincipal[[#This Row],[VALOR TOTAL]]</f>
        <v>21084</v>
      </c>
      <c r="H76" s="14"/>
    </row>
    <row r="77" spans="1:8" ht="102" x14ac:dyDescent="0.25">
      <c r="A77" s="12">
        <f>TabelaPrincipal[[#This Row],[ITEM]]</f>
        <v>104</v>
      </c>
      <c r="B77" s="13" t="str">
        <f>TabelaPrincipal[[#This Row],[DESCRIÇÃO]]</f>
        <v>Avental Procedimento - Paramentação. Esterilidade: Não Estéril, Descartável. Material: Não Tecido 100% Polipropileno - Tipo SMS. Tipo De Barreira: C/ Barreira Bacteriana. Propriedade: Hidrorepelente. Gramatura: Cerca De 30 G/M2.
Modelo Manga: Longa C/ Punho Em Malha
Tamanho: Médio (M). Cor: C/ Cor. Tipo Fechamento: Posterior P/ Pescoço e Cintura</v>
      </c>
      <c r="C77" s="14" t="str">
        <f>TabelaPrincipal[[#This Row],[UND]]</f>
        <v>Unidade</v>
      </c>
      <c r="D77" s="13">
        <f>TabelaPrincipal[[#This Row],[QTD]]</f>
        <v>500</v>
      </c>
      <c r="E77" s="13" t="str">
        <f>TabelaPrincipal[[#This Row],[MARCA]]</f>
        <v>Polarfix</v>
      </c>
      <c r="F77" s="15">
        <f>TabelaPrincipal[[#This Row],[CUSTO + PERCENTUAL DE ENTRADA]]</f>
        <v>44.75</v>
      </c>
      <c r="G77" s="16">
        <f>TabelaPrincipal[[#This Row],[VALOR TOTAL]]</f>
        <v>22375</v>
      </c>
      <c r="H77" s="14"/>
    </row>
    <row r="78" spans="1:8" ht="25.5" x14ac:dyDescent="0.25">
      <c r="A78" s="12">
        <f>TabelaPrincipal[[#This Row],[ITEM]]</f>
        <v>110</v>
      </c>
      <c r="B78" s="13" t="str">
        <f>TabelaPrincipal[[#This Row],[DESCRIÇÃO]]</f>
        <v>Butilbrometo de escopolamina + dipirona solução injetável 4 mg/mL + 500 mg/mL</v>
      </c>
      <c r="C78" s="14" t="str">
        <f>TabelaPrincipal[[#This Row],[UND]]</f>
        <v>Ampola</v>
      </c>
      <c r="D78" s="13">
        <f>TabelaPrincipal[[#This Row],[QTD]]</f>
        <v>500</v>
      </c>
      <c r="E78" s="13" t="str">
        <f>TabelaPrincipal[[#This Row],[MARCA]]</f>
        <v>Hipolabor</v>
      </c>
      <c r="F78" s="15">
        <f>TabelaPrincipal[[#This Row],[CUSTO + PERCENTUAL DE ENTRADA]]</f>
        <v>3.83</v>
      </c>
      <c r="G78" s="16">
        <f>TabelaPrincipal[[#This Row],[VALOR TOTAL]]</f>
        <v>1915</v>
      </c>
      <c r="H78" s="14"/>
    </row>
    <row r="79" spans="1:8" x14ac:dyDescent="0.25">
      <c r="A79" s="12">
        <f>TabelaPrincipal[[#This Row],[ITEM]]</f>
        <v>111</v>
      </c>
      <c r="B79" s="13" t="str">
        <f>TabelaPrincipal[[#This Row],[DESCRIÇÃO]]</f>
        <v>Valerato de betametasona 1 mg/g creme dermatológico</v>
      </c>
      <c r="C79" s="14" t="str">
        <f>TabelaPrincipal[[#This Row],[UND]]</f>
        <v>Tubo</v>
      </c>
      <c r="D79" s="13">
        <f>TabelaPrincipal[[#This Row],[QTD]]</f>
        <v>300</v>
      </c>
      <c r="E79" s="13" t="str">
        <f>TabelaPrincipal[[#This Row],[MARCA]]</f>
        <v>Brainfarma</v>
      </c>
      <c r="F79" s="15">
        <f>TabelaPrincipal[[#This Row],[CUSTO + PERCENTUAL DE ENTRADA]]</f>
        <v>10.99</v>
      </c>
      <c r="G79" s="16">
        <f>TabelaPrincipal[[#This Row],[VALOR TOTAL]]</f>
        <v>3297</v>
      </c>
      <c r="H79" s="14"/>
    </row>
    <row r="80" spans="1:8" x14ac:dyDescent="0.25">
      <c r="A80" s="12">
        <f>TabelaPrincipal[[#This Row],[ITEM]]</f>
        <v>112</v>
      </c>
      <c r="B80" s="13" t="str">
        <f>TabelaPrincipal[[#This Row],[DESCRIÇÃO]]</f>
        <v>Olmesartana medoxomila, concentração 40 mg</v>
      </c>
      <c r="C80" s="14" t="str">
        <f>TabelaPrincipal[[#This Row],[UND]]</f>
        <v>Comprimido</v>
      </c>
      <c r="D80" s="13">
        <f>TabelaPrincipal[[#This Row],[QTD]]</f>
        <v>1440</v>
      </c>
      <c r="E80" s="13" t="str">
        <f>TabelaPrincipal[[#This Row],[MARCA]]</f>
        <v>Germed</v>
      </c>
      <c r="F80" s="15">
        <f>TabelaPrincipal[[#This Row],[CUSTO + PERCENTUAL DE ENTRADA]]</f>
        <v>1.37</v>
      </c>
      <c r="G80" s="16">
        <f>TabelaPrincipal[[#This Row],[VALOR TOTAL]]</f>
        <v>1972.8000000000002</v>
      </c>
      <c r="H80" s="14"/>
    </row>
    <row r="81" spans="1:8" x14ac:dyDescent="0.25">
      <c r="A81" s="12">
        <f>TabelaPrincipal[[#This Row],[ITEM]]</f>
        <v>113</v>
      </c>
      <c r="B81" s="13" t="str">
        <f>TabelaPrincipal[[#This Row],[DESCRIÇÃO]]</f>
        <v>Levanlodipino besilato, concentração 2,5 mg</v>
      </c>
      <c r="C81" s="14" t="str">
        <f>TabelaPrincipal[[#This Row],[UND]]</f>
        <v>Comprimido</v>
      </c>
      <c r="D81" s="13">
        <f>TabelaPrincipal[[#This Row],[QTD]]</f>
        <v>1440</v>
      </c>
      <c r="E81" s="13" t="str">
        <f>TabelaPrincipal[[#This Row],[MARCA]]</f>
        <v>Brace</v>
      </c>
      <c r="F81" s="15">
        <f>TabelaPrincipal[[#This Row],[CUSTO + PERCENTUAL DE ENTRADA]]</f>
        <v>3.87</v>
      </c>
      <c r="G81" s="16">
        <f>TabelaPrincipal[[#This Row],[VALOR TOTAL]]</f>
        <v>5572.8</v>
      </c>
      <c r="H81" s="14"/>
    </row>
    <row r="82" spans="1:8" x14ac:dyDescent="0.25">
      <c r="A82" s="12">
        <f>TabelaPrincipal[[#This Row],[ITEM]]</f>
        <v>114</v>
      </c>
      <c r="B82" s="13" t="str">
        <f>TabelaPrincipal[[#This Row],[DESCRIÇÃO]]</f>
        <v>Rosuvastatina cálcica, concentração 20 mg</v>
      </c>
      <c r="C82" s="14" t="str">
        <f>TabelaPrincipal[[#This Row],[UND]]</f>
        <v>Comprimido</v>
      </c>
      <c r="D82" s="13">
        <f>TabelaPrincipal[[#This Row],[QTD]]</f>
        <v>1440</v>
      </c>
      <c r="E82" s="13" t="str">
        <f>TabelaPrincipal[[#This Row],[MARCA]]</f>
        <v>Geolab</v>
      </c>
      <c r="F82" s="15">
        <f>TabelaPrincipal[[#This Row],[CUSTO + PERCENTUAL DE ENTRADA]]</f>
        <v>2.57</v>
      </c>
      <c r="G82" s="16">
        <f>TabelaPrincipal[[#This Row],[VALOR TOTAL]]</f>
        <v>3700.7999999999997</v>
      </c>
      <c r="H82" s="14"/>
    </row>
    <row r="83" spans="1:8" ht="51" x14ac:dyDescent="0.25">
      <c r="A83" s="12">
        <f>TabelaPrincipal[[#This Row],[ITEM]]</f>
        <v>126</v>
      </c>
      <c r="B83" s="13" t="str">
        <f>TabelaPrincipal[[#This Row],[DESCRIÇÃO]]</f>
        <v>Lençol Descartável Uso Hospitalar. Matéria Prima: 100% Polipropileno, Não Tecido TNT. Gramatura 1: Cerca De 30 G/M2. Dimensões: Cerca De 100 X 200 cm. Apresentação 1: C/ Elástico.</v>
      </c>
      <c r="C83" s="14" t="str">
        <f>TabelaPrincipal[[#This Row],[UND]]</f>
        <v>Unidade</v>
      </c>
      <c r="D83" s="13">
        <f>TabelaPrincipal[[#This Row],[QTD]]</f>
        <v>300</v>
      </c>
      <c r="E83" s="13" t="str">
        <f>TabelaPrincipal[[#This Row],[MARCA]]</f>
        <v>Anadona</v>
      </c>
      <c r="F83" s="15">
        <f>TabelaPrincipal[[#This Row],[CUSTO + PERCENTUAL DE ENTRADA]]</f>
        <v>8.44</v>
      </c>
      <c r="G83" s="16">
        <f>TabelaPrincipal[[#This Row],[VALOR TOTAL]]</f>
        <v>2532</v>
      </c>
      <c r="H83" s="14"/>
    </row>
    <row r="84" spans="1:8" ht="191.25" x14ac:dyDescent="0.25">
      <c r="A84" s="12">
        <f>TabelaPrincipal[[#This Row],[ITEM]]</f>
        <v>127</v>
      </c>
      <c r="B84" s="13" t="str">
        <f>TabelaPrincipal[[#This Row],[DESCRIÇÃO]]</f>
        <v>Reanimador adulto / Ambu. Reanimador manual, material balão: silicone, capacidade balão: cerca 1,5 L, componente 1: máscara plástico rígido com coxim silicone, tipo válvula: válvula unidirecional pop off cerca 60 CMH2, componente 2: reservatório de oxigênio em plástico c, válvula, componentes 3: entrada de oxigênio e extensor pvc, tamanhos: adulto. Descrição Complementar: Confeccionado em silicone transparente, de alta qualidade. Autolavável. Bolsa reservatório de oxigênio com capacidade mínima de 2,5 litros.
Tubo extensor de oxigênio de no mínimo 150 cm. Todo o conjunto deve ser desmontável, os diafragmas, válvulas e demais peças que compõem o reanimador ofertado devem ser vendidas no mercado de forma avulsa. Possuir registro no Ministério da Saúde / ANVISA.</v>
      </c>
      <c r="C84" s="14" t="str">
        <f>TabelaPrincipal[[#This Row],[UND]]</f>
        <v>Unidade</v>
      </c>
      <c r="D84" s="13">
        <f>TabelaPrincipal[[#This Row],[QTD]]</f>
        <v>10</v>
      </c>
      <c r="E84" s="13" t="str">
        <f>TabelaPrincipal[[#This Row],[MARCA]]</f>
        <v>Protec</v>
      </c>
      <c r="F84" s="15">
        <f>TabelaPrincipal[[#This Row],[CUSTO + PERCENTUAL DE ENTRADA]]</f>
        <v>280</v>
      </c>
      <c r="G84" s="16">
        <f>TabelaPrincipal[[#This Row],[VALOR TOTAL]]</f>
        <v>2800</v>
      </c>
      <c r="H84" s="14"/>
    </row>
    <row r="85" spans="1:8" ht="51" x14ac:dyDescent="0.25">
      <c r="A85" s="12">
        <f>TabelaPrincipal[[#This Row],[ITEM]]</f>
        <v>129</v>
      </c>
      <c r="B85" s="13" t="str">
        <f>TabelaPrincipal[[#This Row],[DESCRIÇÃO]]</f>
        <v>Saco plástico lixo, capacidade: 50 litros, cor: branco leitoso, largura: 63 cm, altura: 80 cm, características adicionais: com simbologia de substância infectante, normas técnicas: classe II - NBR 9191, material: resina termoplástica</v>
      </c>
      <c r="C85" s="14" t="str">
        <f>TabelaPrincipal[[#This Row],[UND]]</f>
        <v>Pacote 100 unidades</v>
      </c>
      <c r="D85" s="13">
        <f>TabelaPrincipal[[#This Row],[QTD]]</f>
        <v>400</v>
      </c>
      <c r="E85" s="13" t="str">
        <f>TabelaPrincipal[[#This Row],[MARCA]]</f>
        <v>Limed</v>
      </c>
      <c r="F85" s="15">
        <f>TabelaPrincipal[[#This Row],[CUSTO + PERCENTUAL DE ENTRADA]]</f>
        <v>44.78</v>
      </c>
      <c r="G85" s="16">
        <f>TabelaPrincipal[[#This Row],[VALOR TOTAL]]</f>
        <v>17912</v>
      </c>
      <c r="H85" s="14"/>
    </row>
    <row r="86" spans="1:8" ht="153" x14ac:dyDescent="0.25">
      <c r="A86" s="12">
        <f>TabelaPrincipal[[#This Row],[ITEM]]</f>
        <v>138</v>
      </c>
      <c r="B86" s="13" t="str">
        <f>TabelaPrincipal[[#This Row],[DESCRIÇÃO]]</f>
        <v>Compressa gaze, material: tecido 100% algodão, modelo: cor branca, isenta de impurezas, camadas: 8 camadas, quantidade fios: 13 fios/cm2, largura: 7,50 cm, comprimento: 7,50 cm, dobras: 5 dobras, características adicionais: com fio radiopaco, descartável. Descrição Complementar: não estéril, isenta de resíduo e impurezas e produtos tóxicos, deve promover absorção segura, trama regular e sem desprendimento de fios. Embalagem resistente, segura, de fácil abertura, contendo identificação do produto, validade e lote fácil visualização. Registro no Ministério da Saúde
/ANVISA. (Modelo: CREMER 3M QUALIDADE SIMILAR OU SUPERIOR)</v>
      </c>
      <c r="C86" s="14" t="str">
        <f>TabelaPrincipal[[#This Row],[UND]]</f>
        <v>Pacote com 500
unidades</v>
      </c>
      <c r="D86" s="13">
        <f>TabelaPrincipal[[#This Row],[QTD]]</f>
        <v>30</v>
      </c>
      <c r="E86" s="13" t="str">
        <f>TabelaPrincipal[[#This Row],[MARCA]]</f>
        <v>Amed</v>
      </c>
      <c r="F86" s="15">
        <f>TabelaPrincipal[[#This Row],[CUSTO + PERCENTUAL DE ENTRADA]]</f>
        <v>33.6</v>
      </c>
      <c r="G86" s="16">
        <f>TabelaPrincipal[[#This Row],[VALOR TOTAL]]</f>
        <v>1008</v>
      </c>
      <c r="H86" s="14"/>
    </row>
    <row r="87" spans="1:8" ht="140.25" x14ac:dyDescent="0.25">
      <c r="A87" s="12">
        <f>TabelaPrincipal[[#This Row],[ITEM]]</f>
        <v>139</v>
      </c>
      <c r="B87" s="13" t="str">
        <f>TabelaPrincipal[[#This Row],[DESCRIÇÃO]]</f>
        <v>Compressa gaze, material: tecido 100% algodão, tipo: 13 fios,cm2, modelo: cor branca, isenta de impurezas, camadas: 8 camadas, largura: 7,50 cm, comprimento: 7,50 cm, dobras: 5 dobras, características adicionais: estéril, descartável.
Descrição Complementar: 7,50 x 7,50cm quando fechadas e 15 x 30cm quando abertas. Estéril.
Embalagem resistente, segura, de fácil abertura, contendo identificação do produto, validade e lote fácil visualização. Registro no Ministério da Saúde
/ANVISA. (Modelo: CREMER 3M QUALIDADE SIMILAR OU SUPERIOR)</v>
      </c>
      <c r="C87" s="14" t="str">
        <f>TabelaPrincipal[[#This Row],[UND]]</f>
        <v>Pacote com 5 unidades</v>
      </c>
      <c r="D87" s="13">
        <f>TabelaPrincipal[[#This Row],[QTD]]</f>
        <v>1000</v>
      </c>
      <c r="E87" s="13" t="str">
        <f>TabelaPrincipal[[#This Row],[MARCA]]</f>
        <v>Cremer</v>
      </c>
      <c r="F87" s="15">
        <f>TabelaPrincipal[[#This Row],[CUSTO + PERCENTUAL DE ENTRADA]]</f>
        <v>1.54</v>
      </c>
      <c r="G87" s="16">
        <f>TabelaPrincipal[[#This Row],[VALOR TOTAL]]</f>
        <v>1540</v>
      </c>
      <c r="H87" s="14"/>
    </row>
    <row r="88" spans="1:8" ht="63.75" x14ac:dyDescent="0.25">
      <c r="A88" s="12">
        <f>TabelaPrincipal[[#This Row],[ITEM]]</f>
        <v>146</v>
      </c>
      <c r="B88" s="13" t="str">
        <f>TabelaPrincipal[[#This Row],[DESCRIÇÃO]]</f>
        <v>Espéculo Uso Médico. Aplicação: Nasal. Tamanho: Adulto. Ponta Ativa: Lâminas Cerca De 25 mm. Travamento: S/ Trava. Comprimento Total: Cerca De 14 cm. Material: Polímero.
Esterilidade: Não Estéril, Uso Único. Embalagem:
Embalagem Individual.</v>
      </c>
      <c r="C88" s="14" t="str">
        <f>TabelaPrincipal[[#This Row],[UND]]</f>
        <v>Unidade</v>
      </c>
      <c r="D88" s="13">
        <f>TabelaPrincipal[[#This Row],[QTD]]</f>
        <v>500</v>
      </c>
      <c r="E88" s="13" t="str">
        <f>TabelaPrincipal[[#This Row],[MARCA]]</f>
        <v>Kolplast</v>
      </c>
      <c r="F88" s="15">
        <f>TabelaPrincipal[[#This Row],[CUSTO + PERCENTUAL DE ENTRADA]]</f>
        <v>6.44</v>
      </c>
      <c r="G88" s="16">
        <f>TabelaPrincipal[[#This Row],[VALOR TOTAL]]</f>
        <v>3220</v>
      </c>
      <c r="H88" s="14"/>
    </row>
    <row r="89" spans="1:8" ht="25.5" x14ac:dyDescent="0.25">
      <c r="A89" s="12">
        <f>TabelaPrincipal[[#This Row],[ITEM]]</f>
        <v>163</v>
      </c>
      <c r="B89" s="13" t="str">
        <f>TabelaPrincipal[[#This Row],[DESCRIÇÃO]]</f>
        <v>Cloreto de sódio, princípio ativo: 0,9%_ solução injetável, aplicação: sistema fechado 100 ml</v>
      </c>
      <c r="C89" s="14" t="str">
        <f>TabelaPrincipal[[#This Row],[UND]]</f>
        <v>Frasco 100 ml</v>
      </c>
      <c r="D89" s="13">
        <f>TabelaPrincipal[[#This Row],[QTD]]</f>
        <v>800</v>
      </c>
      <c r="E89" s="13" t="str">
        <f>TabelaPrincipal[[#This Row],[MARCA]]</f>
        <v>JP</v>
      </c>
      <c r="F89" s="15">
        <f>TabelaPrincipal[[#This Row],[CUSTO + PERCENTUAL DE ENTRADA]]</f>
        <v>6.99</v>
      </c>
      <c r="G89" s="16">
        <f>TabelaPrincipal[[#This Row],[VALOR TOTAL]]</f>
        <v>5592</v>
      </c>
      <c r="H89" s="14"/>
    </row>
    <row r="90" spans="1:8" ht="25.5" x14ac:dyDescent="0.25">
      <c r="A90" s="12">
        <f>TabelaPrincipal[[#This Row],[ITEM]]</f>
        <v>164</v>
      </c>
      <c r="B90" s="13" t="str">
        <f>TabelaPrincipal[[#This Row],[DESCRIÇÃO]]</f>
        <v>Cloreto de sódio, princípio ativo: 0,9%_ solução injetável, aplicação: sistema fechado 500 ml</v>
      </c>
      <c r="C90" s="14" t="str">
        <f>TabelaPrincipal[[#This Row],[UND]]</f>
        <v>Frasco 500 ml</v>
      </c>
      <c r="D90" s="13">
        <f>TabelaPrincipal[[#This Row],[QTD]]</f>
        <v>400</v>
      </c>
      <c r="E90" s="13" t="str">
        <f>TabelaPrincipal[[#This Row],[MARCA]]</f>
        <v>JP</v>
      </c>
      <c r="F90" s="15">
        <f>TabelaPrincipal[[#This Row],[CUSTO + PERCENTUAL DE ENTRADA]]</f>
        <v>9.7899999999999991</v>
      </c>
      <c r="G90" s="16">
        <f>TabelaPrincipal[[#This Row],[VALOR TOTAL]]</f>
        <v>3915.9999999999995</v>
      </c>
      <c r="H90" s="14"/>
    </row>
    <row r="91" spans="1:8" ht="25.5" x14ac:dyDescent="0.25">
      <c r="A91" s="12">
        <f>TabelaPrincipal[[#This Row],[ITEM]]</f>
        <v>165</v>
      </c>
      <c r="B91" s="13" t="str">
        <f>TabelaPrincipal[[#This Row],[DESCRIÇÃO]]</f>
        <v>Cloreto de sódio, princípio ativo: 0,9%_ solução injetável, aplicação: sistema fechado 10 ml</v>
      </c>
      <c r="C91" s="14" t="str">
        <f>TabelaPrincipal[[#This Row],[UND]]</f>
        <v>Ampola 10 ml</v>
      </c>
      <c r="D91" s="13">
        <f>TabelaPrincipal[[#This Row],[QTD]]</f>
        <v>1000</v>
      </c>
      <c r="E91" s="13" t="str">
        <f>TabelaPrincipal[[#This Row],[MARCA]]</f>
        <v>Isofarma</v>
      </c>
      <c r="F91" s="15">
        <f>TabelaPrincipal[[#This Row],[CUSTO + PERCENTUAL DE ENTRADA]]</f>
        <v>0.63</v>
      </c>
      <c r="G91" s="16">
        <f>TabelaPrincipal[[#This Row],[VALOR TOTAL]]</f>
        <v>630</v>
      </c>
      <c r="H91" s="14"/>
    </row>
    <row r="92" spans="1:8" ht="25.5" x14ac:dyDescent="0.25">
      <c r="A92" s="12">
        <f>TabelaPrincipal[[#This Row],[ITEM]]</f>
        <v>166</v>
      </c>
      <c r="B92" s="13" t="str">
        <f>TabelaPrincipal[[#This Row],[DESCRIÇÃO]]</f>
        <v>Paracetamol, apresentação: associado com codeína, dosagem: 500 mg + 30 mg</v>
      </c>
      <c r="C92" s="14" t="str">
        <f>TabelaPrincipal[[#This Row],[UND]]</f>
        <v>Comprimido</v>
      </c>
      <c r="D92" s="13">
        <f>TabelaPrincipal[[#This Row],[QTD]]</f>
        <v>2400</v>
      </c>
      <c r="E92" s="13" t="str">
        <f>TabelaPrincipal[[#This Row],[MARCA]]</f>
        <v>Geolab</v>
      </c>
      <c r="F92" s="15">
        <f>TabelaPrincipal[[#This Row],[CUSTO + PERCENTUAL DE ENTRADA]]</f>
        <v>1.06</v>
      </c>
      <c r="G92" s="16">
        <f>TabelaPrincipal[[#This Row],[VALOR TOTAL]]</f>
        <v>2544</v>
      </c>
      <c r="H92" s="14"/>
    </row>
    <row r="93" spans="1:8" x14ac:dyDescent="0.25">
      <c r="A93" s="12">
        <f>TabelaPrincipal[[#This Row],[ITEM]]</f>
        <v>167</v>
      </c>
      <c r="B93" s="13" t="str">
        <f>TabelaPrincipal[[#This Row],[DESCRIÇÃO]]</f>
        <v>Dexclorfeniramina 2 mg comprimido</v>
      </c>
      <c r="C93" s="14" t="str">
        <f>TabelaPrincipal[[#This Row],[UND]]</f>
        <v>Comprimido</v>
      </c>
      <c r="D93" s="13">
        <f>TabelaPrincipal[[#This Row],[QTD]]</f>
        <v>4000</v>
      </c>
      <c r="E93" s="13" t="str">
        <f>TabelaPrincipal[[#This Row],[MARCA]]</f>
        <v>Geolab</v>
      </c>
      <c r="F93" s="15">
        <f>TabelaPrincipal[[#This Row],[CUSTO + PERCENTUAL DE ENTRADA]]</f>
        <v>0.14000000000000001</v>
      </c>
      <c r="G93" s="16">
        <f>TabelaPrincipal[[#This Row],[VALOR TOTAL]]</f>
        <v>560</v>
      </c>
      <c r="H93" s="14"/>
    </row>
    <row r="94" spans="1:8" x14ac:dyDescent="0.25">
      <c r="A94" s="12">
        <f>TabelaPrincipal[[#This Row],[ITEM]]</f>
        <v>168</v>
      </c>
      <c r="B94" s="13" t="str">
        <f>TabelaPrincipal[[#This Row],[DESCRIÇÃO]]</f>
        <v>Loratadina 10 mg comprimido</v>
      </c>
      <c r="C94" s="14" t="str">
        <f>TabelaPrincipal[[#This Row],[UND]]</f>
        <v>Comprimido</v>
      </c>
      <c r="D94" s="13">
        <f>TabelaPrincipal[[#This Row],[QTD]]</f>
        <v>10000</v>
      </c>
      <c r="E94" s="13" t="str">
        <f>TabelaPrincipal[[#This Row],[MARCA]]</f>
        <v>Vitamedic</v>
      </c>
      <c r="F94" s="15">
        <f>TabelaPrincipal[[#This Row],[CUSTO + PERCENTUAL DE ENTRADA]]</f>
        <v>0.22</v>
      </c>
      <c r="G94" s="16">
        <f>TabelaPrincipal[[#This Row],[VALOR TOTAL]]</f>
        <v>2200</v>
      </c>
      <c r="H94" s="14"/>
    </row>
    <row r="95" spans="1:8" x14ac:dyDescent="0.25">
      <c r="A95" s="12">
        <f>TabelaPrincipal[[#This Row],[ITEM]]</f>
        <v>169</v>
      </c>
      <c r="B95" s="13" t="str">
        <f>TabelaPrincipal[[#This Row],[DESCRIÇÃO]]</f>
        <v>Tramadol 50mg/ml solução injetável</v>
      </c>
      <c r="C95" s="14" t="str">
        <f>TabelaPrincipal[[#This Row],[UND]]</f>
        <v>Ampola 2 ml</v>
      </c>
      <c r="D95" s="13">
        <f>TabelaPrincipal[[#This Row],[QTD]]</f>
        <v>250</v>
      </c>
      <c r="E95" s="13" t="str">
        <f>TabelaPrincipal[[#This Row],[MARCA]]</f>
        <v>Teuto</v>
      </c>
      <c r="F95" s="15">
        <f>TabelaPrincipal[[#This Row],[CUSTO + PERCENTUAL DE ENTRADA]]</f>
        <v>2.52</v>
      </c>
      <c r="G95" s="16">
        <f>TabelaPrincipal[[#This Row],[VALOR TOTAL]]</f>
        <v>630</v>
      </c>
      <c r="H95" s="14"/>
    </row>
    <row r="96" spans="1:8" x14ac:dyDescent="0.25">
      <c r="A96" s="12">
        <f>TabelaPrincipal[[#This Row],[ITEM]]</f>
        <v>170</v>
      </c>
      <c r="B96" s="13" t="str">
        <f>TabelaPrincipal[[#This Row],[DESCRIÇÃO]]</f>
        <v>Glicose 25% solução injetável</v>
      </c>
      <c r="C96" s="14" t="str">
        <f>TabelaPrincipal[[#This Row],[UND]]</f>
        <v>Ampola 10 ml</v>
      </c>
      <c r="D96" s="13">
        <f>TabelaPrincipal[[#This Row],[QTD]]</f>
        <v>200</v>
      </c>
      <c r="E96" s="13" t="str">
        <f>TabelaPrincipal[[#This Row],[MARCA]]</f>
        <v>Isofarma</v>
      </c>
      <c r="F96" s="15">
        <f>TabelaPrincipal[[#This Row],[CUSTO + PERCENTUAL DE ENTRADA]]</f>
        <v>0.61</v>
      </c>
      <c r="G96" s="16">
        <f>TabelaPrincipal[[#This Row],[VALOR TOTAL]]</f>
        <v>122</v>
      </c>
      <c r="H96" s="14"/>
    </row>
    <row r="97" spans="1:8" ht="25.5" x14ac:dyDescent="0.25">
      <c r="A97" s="12">
        <f>TabelaPrincipal[[#This Row],[ITEM]]</f>
        <v>171</v>
      </c>
      <c r="B97" s="13" t="str">
        <f>TabelaPrincipal[[#This Row],[DESCRIÇÃO]]</f>
        <v>Ipratrópio brometo, dosagem: 0,25 mg/ml, uso: solução para inalação</v>
      </c>
      <c r="C97" s="14" t="str">
        <f>TabelaPrincipal[[#This Row],[UND]]</f>
        <v>Frasco 20 mL</v>
      </c>
      <c r="D97" s="13">
        <f>TabelaPrincipal[[#This Row],[QTD]]</f>
        <v>100</v>
      </c>
      <c r="E97" s="13" t="str">
        <f>TabelaPrincipal[[#This Row],[MARCA]]</f>
        <v>Germed</v>
      </c>
      <c r="F97" s="15">
        <f>TabelaPrincipal[[#This Row],[CUSTO + PERCENTUAL DE ENTRADA]]</f>
        <v>5.47</v>
      </c>
      <c r="G97" s="16">
        <f>TabelaPrincipal[[#This Row],[VALOR TOTAL]]</f>
        <v>547</v>
      </c>
      <c r="H97" s="14"/>
    </row>
    <row r="98" spans="1:8" x14ac:dyDescent="0.25">
      <c r="A98" s="12">
        <f>TabelaPrincipal[[#This Row],[ITEM]]</f>
        <v>173</v>
      </c>
      <c r="B98" s="13" t="str">
        <f>TabelaPrincipal[[#This Row],[DESCRIÇÃO]]</f>
        <v>Dexametasona 1 mg/mL (0,1%) solução oftálmica</v>
      </c>
      <c r="C98" s="14" t="str">
        <f>TabelaPrincipal[[#This Row],[UND]]</f>
        <v>Frasco 5 ml</v>
      </c>
      <c r="D98" s="13">
        <f>TabelaPrincipal[[#This Row],[QTD]]</f>
        <v>120</v>
      </c>
      <c r="E98" s="13" t="str">
        <f>TabelaPrincipal[[#This Row],[MARCA]]</f>
        <v>Novartis</v>
      </c>
      <c r="F98" s="15">
        <f>TabelaPrincipal[[#This Row],[CUSTO + PERCENTUAL DE ENTRADA]]</f>
        <v>12.53</v>
      </c>
      <c r="G98" s="16">
        <f>TabelaPrincipal[[#This Row],[VALOR TOTAL]]</f>
        <v>1503.6</v>
      </c>
      <c r="H98" s="14"/>
    </row>
    <row r="99" spans="1:8" ht="25.5" x14ac:dyDescent="0.25">
      <c r="A99" s="12">
        <f>TabelaPrincipal[[#This Row],[ITEM]]</f>
        <v>174</v>
      </c>
      <c r="B99" s="13" t="str">
        <f>TabelaPrincipal[[#This Row],[DESCRIÇÃO]]</f>
        <v>Morfina, apresentação: sulfato, concentração: 1mg
/ml, forma farmacêutica: solução injetável</v>
      </c>
      <c r="C99" s="14" t="str">
        <f>TabelaPrincipal[[#This Row],[UND]]</f>
        <v>Ampola 1 ml</v>
      </c>
      <c r="D99" s="13">
        <f>TabelaPrincipal[[#This Row],[QTD]]</f>
        <v>200</v>
      </c>
      <c r="E99" s="13" t="str">
        <f>TabelaPrincipal[[#This Row],[MARCA]]</f>
        <v>Cristália</v>
      </c>
      <c r="F99" s="15">
        <f>TabelaPrincipal[[#This Row],[CUSTO + PERCENTUAL DE ENTRADA]]</f>
        <v>5.69</v>
      </c>
      <c r="G99" s="16">
        <f>TabelaPrincipal[[#This Row],[VALOR TOTAL]]</f>
        <v>1138</v>
      </c>
      <c r="H99" s="14"/>
    </row>
    <row r="100" spans="1:8" ht="25.5" x14ac:dyDescent="0.25">
      <c r="A100" s="12">
        <f>TabelaPrincipal[[#This Row],[ITEM]]</f>
        <v>175</v>
      </c>
      <c r="B100" s="13" t="str">
        <f>TabelaPrincipal[[#This Row],[DESCRIÇÃO]]</f>
        <v>Morfina, apresentação: sulfato, concentração: 10mg/ml, forma farmacêutica: solução injetável</v>
      </c>
      <c r="C100" s="14" t="str">
        <f>TabelaPrincipal[[#This Row],[UND]]</f>
        <v>Ampola 1 ml</v>
      </c>
      <c r="D100" s="13">
        <f>TabelaPrincipal[[#This Row],[QTD]]</f>
        <v>200</v>
      </c>
      <c r="E100" s="13" t="str">
        <f>TabelaPrincipal[[#This Row],[MARCA]]</f>
        <v>Cristália</v>
      </c>
      <c r="F100" s="15">
        <f>TabelaPrincipal[[#This Row],[CUSTO + PERCENTUAL DE ENTRADA]]</f>
        <v>5.32</v>
      </c>
      <c r="G100" s="16">
        <f>TabelaPrincipal[[#This Row],[VALOR TOTAL]]</f>
        <v>1064</v>
      </c>
      <c r="H100" s="14"/>
    </row>
    <row r="101" spans="1:8" x14ac:dyDescent="0.25">
      <c r="A101" s="12">
        <f>TabelaPrincipal[[#This Row],[ITEM]]</f>
        <v>176</v>
      </c>
      <c r="B101" s="13" t="str">
        <f>TabelaPrincipal[[#This Row],[DESCRIÇÃO]]</f>
        <v>Naloxona 0,4 mg/mL solução injetável</v>
      </c>
      <c r="C101" s="14" t="str">
        <f>TabelaPrincipal[[#This Row],[UND]]</f>
        <v>Ampola</v>
      </c>
      <c r="D101" s="13">
        <f>TabelaPrincipal[[#This Row],[QTD]]</f>
        <v>100</v>
      </c>
      <c r="E101" s="13" t="str">
        <f>TabelaPrincipal[[#This Row],[MARCA]]</f>
        <v>Hipolabor</v>
      </c>
      <c r="F101" s="15">
        <f>TabelaPrincipal[[#This Row],[CUSTO + PERCENTUAL DE ENTRADA]]</f>
        <v>12.51</v>
      </c>
      <c r="G101" s="16">
        <f>TabelaPrincipal[[#This Row],[VALOR TOTAL]]</f>
        <v>1251</v>
      </c>
      <c r="H101" s="14"/>
    </row>
    <row r="102" spans="1:8" ht="25.5" x14ac:dyDescent="0.25">
      <c r="A102" s="12">
        <f>TabelaPrincipal[[#This Row],[ITEM]]</f>
        <v>177</v>
      </c>
      <c r="B102" s="13" t="str">
        <f>TabelaPrincipal[[#This Row],[DESCRIÇÃO]]</f>
        <v>Ceftriaxona sódica, concentração: 1 g, forma farmaceutica: pó p, solução injetável</v>
      </c>
      <c r="C102" s="14" t="str">
        <f>TabelaPrincipal[[#This Row],[UND]]</f>
        <v>Frasco- ampola</v>
      </c>
      <c r="D102" s="13">
        <f>TabelaPrincipal[[#This Row],[QTD]]</f>
        <v>200</v>
      </c>
      <c r="E102" s="13" t="str">
        <f>TabelaPrincipal[[#This Row],[MARCA]]</f>
        <v>Teuto</v>
      </c>
      <c r="F102" s="15">
        <f>TabelaPrincipal[[#This Row],[CUSTO + PERCENTUAL DE ENTRADA]]</f>
        <v>10.98</v>
      </c>
      <c r="G102" s="16">
        <f>TabelaPrincipal[[#This Row],[VALOR TOTAL]]</f>
        <v>2196</v>
      </c>
      <c r="H102" s="14"/>
    </row>
    <row r="103" spans="1:8" x14ac:dyDescent="0.25">
      <c r="A103" s="12">
        <f>TabelaPrincipal[[#This Row],[ITEM]]</f>
        <v>178</v>
      </c>
      <c r="B103" s="13" t="str">
        <f>TabelaPrincipal[[#This Row],[DESCRIÇÃO]]</f>
        <v>Midazolam 1 mg/mL solução injetável</v>
      </c>
      <c r="C103" s="14" t="str">
        <f>TabelaPrincipal[[#This Row],[UND]]</f>
        <v>Ampola 5 ml</v>
      </c>
      <c r="D103" s="13">
        <f>TabelaPrincipal[[#This Row],[QTD]]</f>
        <v>100</v>
      </c>
      <c r="E103" s="13" t="str">
        <f>TabelaPrincipal[[#This Row],[MARCA]]</f>
        <v>Hipolabor</v>
      </c>
      <c r="F103" s="15">
        <f>TabelaPrincipal[[#This Row],[CUSTO + PERCENTUAL DE ENTRADA]]</f>
        <v>6.98</v>
      </c>
      <c r="G103" s="16">
        <f>TabelaPrincipal[[#This Row],[VALOR TOTAL]]</f>
        <v>698</v>
      </c>
      <c r="H103" s="14"/>
    </row>
    <row r="104" spans="1:8" x14ac:dyDescent="0.25">
      <c r="A104" s="12">
        <f>TabelaPrincipal[[#This Row],[ITEM]]</f>
        <v>179</v>
      </c>
      <c r="B104" s="13" t="str">
        <f>TabelaPrincipal[[#This Row],[DESCRIÇÃO]]</f>
        <v>Midazolam 5 mg/mL solução injetável</v>
      </c>
      <c r="C104" s="14" t="str">
        <f>TabelaPrincipal[[#This Row],[UND]]</f>
        <v>Ampola 10 ml</v>
      </c>
      <c r="D104" s="13">
        <f>TabelaPrincipal[[#This Row],[QTD]]</f>
        <v>500</v>
      </c>
      <c r="E104" s="13" t="str">
        <f>TabelaPrincipal[[#This Row],[MARCA]]</f>
        <v>Teuto</v>
      </c>
      <c r="F104" s="15">
        <f>TabelaPrincipal[[#This Row],[CUSTO + PERCENTUAL DE ENTRADA]]</f>
        <v>12.25</v>
      </c>
      <c r="G104" s="16">
        <f>TabelaPrincipal[[#This Row],[VALOR TOTAL]]</f>
        <v>6125</v>
      </c>
      <c r="H104" s="14"/>
    </row>
    <row r="105" spans="1:8" ht="25.5" x14ac:dyDescent="0.25">
      <c r="A105" s="12">
        <f>TabelaPrincipal[[#This Row],[ITEM]]</f>
        <v>180</v>
      </c>
      <c r="B105" s="13" t="str">
        <f>TabelaPrincipal[[#This Row],[DESCRIÇÃO]]</f>
        <v>Fentanila, apresentação: sal citrato, dosagem: 0,05 mg/ml, indicação: solução injetável</v>
      </c>
      <c r="C105" s="14" t="str">
        <f>TabelaPrincipal[[#This Row],[UND]]</f>
        <v>Ampola 10 ml</v>
      </c>
      <c r="D105" s="13">
        <f>TabelaPrincipal[[#This Row],[QTD]]</f>
        <v>500</v>
      </c>
      <c r="E105" s="13" t="str">
        <f>TabelaPrincipal[[#This Row],[MARCA]]</f>
        <v>Hipolabor</v>
      </c>
      <c r="F105" s="15">
        <f>TabelaPrincipal[[#This Row],[CUSTO + PERCENTUAL DE ENTRADA]]</f>
        <v>14.38</v>
      </c>
      <c r="G105" s="16">
        <f>TabelaPrincipal[[#This Row],[VALOR TOTAL]]</f>
        <v>7190</v>
      </c>
      <c r="H105" s="14"/>
    </row>
    <row r="106" spans="1:8" x14ac:dyDescent="0.25">
      <c r="A106" s="12">
        <f>TabelaPrincipal[[#This Row],[ITEM]]</f>
        <v>181</v>
      </c>
      <c r="B106" s="13" t="str">
        <f>TabelaPrincipal[[#This Row],[DESCRIÇÃO]]</f>
        <v>Ondansetrona 2 mg/mL solução injetável</v>
      </c>
      <c r="C106" s="14" t="str">
        <f>TabelaPrincipal[[#This Row],[UND]]</f>
        <v>Ampola 2 ml</v>
      </c>
      <c r="D106" s="13">
        <f>TabelaPrincipal[[#This Row],[QTD]]</f>
        <v>200</v>
      </c>
      <c r="E106" s="13" t="str">
        <f>TabelaPrincipal[[#This Row],[MARCA]]</f>
        <v>Hypofarma</v>
      </c>
      <c r="F106" s="15">
        <f>TabelaPrincipal[[#This Row],[CUSTO + PERCENTUAL DE ENTRADA]]</f>
        <v>2.25</v>
      </c>
      <c r="G106" s="16">
        <f>TabelaPrincipal[[#This Row],[VALOR TOTAL]]</f>
        <v>450</v>
      </c>
      <c r="H106" s="14"/>
    </row>
    <row r="107" spans="1:8" x14ac:dyDescent="0.25">
      <c r="A107" s="12">
        <f>TabelaPrincipal[[#This Row],[ITEM]]</f>
        <v>182</v>
      </c>
      <c r="B107" s="13" t="str">
        <f>TabelaPrincipal[[#This Row],[DESCRIÇÃO]]</f>
        <v>Ondansetrona 4 mg comprimido</v>
      </c>
      <c r="C107" s="14" t="str">
        <f>TabelaPrincipal[[#This Row],[UND]]</f>
        <v>Comprimido</v>
      </c>
      <c r="D107" s="13">
        <f>TabelaPrincipal[[#This Row],[QTD]]</f>
        <v>3000</v>
      </c>
      <c r="E107" s="13" t="str">
        <f>TabelaPrincipal[[#This Row],[MARCA]]</f>
        <v>Geolab</v>
      </c>
      <c r="F107" s="15">
        <f>TabelaPrincipal[[#This Row],[CUSTO + PERCENTUAL DE ENTRADA]]</f>
        <v>2.2400000000000002</v>
      </c>
      <c r="G107" s="16">
        <f>TabelaPrincipal[[#This Row],[VALOR TOTAL]]</f>
        <v>6720.0000000000009</v>
      </c>
      <c r="H107" s="14"/>
    </row>
    <row r="108" spans="1:8" x14ac:dyDescent="0.25">
      <c r="A108" s="12">
        <f>TabelaPrincipal[[#This Row],[ITEM]]</f>
        <v>183</v>
      </c>
      <c r="B108" s="13" t="str">
        <f>TabelaPrincipal[[#This Row],[DESCRIÇÃO]]</f>
        <v>Terbutalina 0,5mg/mL solução injetável</v>
      </c>
      <c r="C108" s="14" t="str">
        <f>TabelaPrincipal[[#This Row],[UND]]</f>
        <v>Ampola</v>
      </c>
      <c r="D108" s="13">
        <f>TabelaPrincipal[[#This Row],[QTD]]</f>
        <v>200</v>
      </c>
      <c r="E108" s="13" t="str">
        <f>TabelaPrincipal[[#This Row],[MARCA]]</f>
        <v>Hipolabor</v>
      </c>
      <c r="F108" s="15">
        <f>TabelaPrincipal[[#This Row],[CUSTO + PERCENTUAL DE ENTRADA]]</f>
        <v>2.16</v>
      </c>
      <c r="G108" s="16">
        <f>TabelaPrincipal[[#This Row],[VALOR TOTAL]]</f>
        <v>432</v>
      </c>
      <c r="H108" s="14"/>
    </row>
    <row r="109" spans="1:8" x14ac:dyDescent="0.25">
      <c r="A109" s="12">
        <f>TabelaPrincipal[[#This Row],[ITEM]]</f>
        <v>184</v>
      </c>
      <c r="B109" s="13" t="str">
        <f>TabelaPrincipal[[#This Row],[DESCRIÇÃO]]</f>
        <v>Flumazenil 0,1mg/ml solução Injetável</v>
      </c>
      <c r="C109" s="14" t="str">
        <f>TabelaPrincipal[[#This Row],[UND]]</f>
        <v>Ampola</v>
      </c>
      <c r="D109" s="13">
        <f>TabelaPrincipal[[#This Row],[QTD]]</f>
        <v>50</v>
      </c>
      <c r="E109" s="13" t="str">
        <f>TabelaPrincipal[[#This Row],[MARCA]]</f>
        <v>Teuto</v>
      </c>
      <c r="F109" s="15">
        <f>TabelaPrincipal[[#This Row],[CUSTO + PERCENTUAL DE ENTRADA]]</f>
        <v>12.16</v>
      </c>
      <c r="G109" s="16">
        <f>TabelaPrincipal[[#This Row],[VALOR TOTAL]]</f>
        <v>608</v>
      </c>
      <c r="H109" s="14"/>
    </row>
    <row r="110" spans="1:8" ht="25.5" x14ac:dyDescent="0.25">
      <c r="A110" s="12">
        <f>TabelaPrincipal[[#This Row],[ITEM]]</f>
        <v>185</v>
      </c>
      <c r="B110" s="13" t="str">
        <f>TabelaPrincipal[[#This Row],[DESCRIÇÃO]]</f>
        <v>Neostigminametilsulfato, dosagem: 0,5 mg/ml, apresentação: solução injetável</v>
      </c>
      <c r="C110" s="14" t="str">
        <f>TabelaPrincipal[[#This Row],[UND]]</f>
        <v>Ampola</v>
      </c>
      <c r="D110" s="13">
        <f>TabelaPrincipal[[#This Row],[QTD]]</f>
        <v>100</v>
      </c>
      <c r="E110" s="13" t="str">
        <f>TabelaPrincipal[[#This Row],[MARCA]]</f>
        <v>União Química</v>
      </c>
      <c r="F110" s="15">
        <f>TabelaPrincipal[[#This Row],[CUSTO + PERCENTUAL DE ENTRADA]]</f>
        <v>2.27</v>
      </c>
      <c r="G110" s="16">
        <f>TabelaPrincipal[[#This Row],[VALOR TOTAL]]</f>
        <v>227</v>
      </c>
      <c r="H110" s="14"/>
    </row>
    <row r="111" spans="1:8" x14ac:dyDescent="0.25">
      <c r="A111" s="12">
        <f>TabelaPrincipal[[#This Row],[ITEM]]</f>
        <v>186</v>
      </c>
      <c r="B111" s="13" t="str">
        <f>TabelaPrincipal[[#This Row],[DESCRIÇÃO]]</f>
        <v>Nitroglicerina, dosagem: 5 mg/ml, aplicação: injetável</v>
      </c>
      <c r="C111" s="14" t="str">
        <f>TabelaPrincipal[[#This Row],[UND]]</f>
        <v>Ampola 5 ml</v>
      </c>
      <c r="D111" s="13">
        <f>TabelaPrincipal[[#This Row],[QTD]]</f>
        <v>50</v>
      </c>
      <c r="E111" s="13" t="str">
        <f>TabelaPrincipal[[#This Row],[MARCA]]</f>
        <v>Cristália</v>
      </c>
      <c r="F111" s="15">
        <f>TabelaPrincipal[[#This Row],[CUSTO + PERCENTUAL DE ENTRADA]]</f>
        <v>50.4</v>
      </c>
      <c r="G111" s="16">
        <f>TabelaPrincipal[[#This Row],[VALOR TOTAL]]</f>
        <v>2520</v>
      </c>
      <c r="H111" s="14"/>
    </row>
    <row r="112" spans="1:8" ht="25.5" x14ac:dyDescent="0.25">
      <c r="A112" s="12">
        <f>TabelaPrincipal[[#This Row],[ITEM]]</f>
        <v>187</v>
      </c>
      <c r="B112" s="13" t="str">
        <f>TabelaPrincipal[[#This Row],[DESCRIÇÃO]]</f>
        <v>Nitroprusseto de sódio, concentração: 25 mg/ml, forma farmacêutica: solução injetável</v>
      </c>
      <c r="C112" s="14" t="str">
        <f>TabelaPrincipal[[#This Row],[UND]]</f>
        <v>Ampola 2 ml</v>
      </c>
      <c r="D112" s="13">
        <f>TabelaPrincipal[[#This Row],[QTD]]</f>
        <v>50</v>
      </c>
      <c r="E112" s="13" t="str">
        <f>TabelaPrincipal[[#This Row],[MARCA]]</f>
        <v>Hypofarma</v>
      </c>
      <c r="F112" s="15">
        <f>TabelaPrincipal[[#This Row],[CUSTO + PERCENTUAL DE ENTRADA]]</f>
        <v>15.56</v>
      </c>
      <c r="G112" s="16">
        <f>TabelaPrincipal[[#This Row],[VALOR TOTAL]]</f>
        <v>778</v>
      </c>
      <c r="H112" s="14"/>
    </row>
    <row r="113" spans="1:8" x14ac:dyDescent="0.25">
      <c r="A113" s="12">
        <f>TabelaPrincipal[[#This Row],[ITEM]]</f>
        <v>188</v>
      </c>
      <c r="B113" s="13" t="str">
        <f>TabelaPrincipal[[#This Row],[DESCRIÇÃO]]</f>
        <v>Bromoprida 10 mg comprimido</v>
      </c>
      <c r="C113" s="14" t="str">
        <f>TabelaPrincipal[[#This Row],[UND]]</f>
        <v>Comprimido</v>
      </c>
      <c r="D113" s="13">
        <f>TabelaPrincipal[[#This Row],[QTD]]</f>
        <v>2500</v>
      </c>
      <c r="E113" s="13" t="str">
        <f>TabelaPrincipal[[#This Row],[MARCA]]</f>
        <v>Legrand</v>
      </c>
      <c r="F113" s="15">
        <f>TabelaPrincipal[[#This Row],[CUSTO + PERCENTUAL DE ENTRADA]]</f>
        <v>0.59</v>
      </c>
      <c r="G113" s="16">
        <f>TabelaPrincipal[[#This Row],[VALOR TOTAL]]</f>
        <v>1475</v>
      </c>
      <c r="H113" s="14"/>
    </row>
    <row r="114" spans="1:8" x14ac:dyDescent="0.25">
      <c r="A114" s="12">
        <f>TabelaPrincipal[[#This Row],[ITEM]]</f>
        <v>189</v>
      </c>
      <c r="B114" s="13" t="str">
        <f>TabelaPrincipal[[#This Row],[DESCRIÇÃO]]</f>
        <v>Bromoprida 5 mg/mL solução injetável</v>
      </c>
      <c r="C114" s="14" t="str">
        <f>TabelaPrincipal[[#This Row],[UND]]</f>
        <v>Ampola 2 ml</v>
      </c>
      <c r="D114" s="13">
        <f>TabelaPrincipal[[#This Row],[QTD]]</f>
        <v>100</v>
      </c>
      <c r="E114" s="13" t="str">
        <f>TabelaPrincipal[[#This Row],[MARCA]]</f>
        <v>Hipolabor</v>
      </c>
      <c r="F114" s="15">
        <f>TabelaPrincipal[[#This Row],[CUSTO + PERCENTUAL DE ENTRADA]]</f>
        <v>2.1</v>
      </c>
      <c r="G114" s="16">
        <f>TabelaPrincipal[[#This Row],[VALOR TOTAL]]</f>
        <v>210</v>
      </c>
      <c r="H114" s="14"/>
    </row>
    <row r="115" spans="1:8" ht="25.5" x14ac:dyDescent="0.25">
      <c r="A115" s="12">
        <f>TabelaPrincipal[[#This Row],[ITEM]]</f>
        <v>190</v>
      </c>
      <c r="B115" s="13" t="str">
        <f>TabelaPrincipal[[#This Row],[DESCRIÇÃO]]</f>
        <v>Vitaminas do complexo b, composição básica: b1, b2,b3,b5,b6solução injetável</v>
      </c>
      <c r="C115" s="14" t="str">
        <f>TabelaPrincipal[[#This Row],[UND]]</f>
        <v>Ampola 2 ml</v>
      </c>
      <c r="D115" s="13">
        <f>TabelaPrincipal[[#This Row],[QTD]]</f>
        <v>2000</v>
      </c>
      <c r="E115" s="13" t="str">
        <f>TabelaPrincipal[[#This Row],[MARCA]]</f>
        <v>Hypofarma</v>
      </c>
      <c r="F115" s="15">
        <f>TabelaPrincipal[[#This Row],[CUSTO + PERCENTUAL DE ENTRADA]]</f>
        <v>2.4300000000000002</v>
      </c>
      <c r="G115" s="16">
        <f>TabelaPrincipal[[#This Row],[VALOR TOTAL]]</f>
        <v>4860</v>
      </c>
      <c r="H115" s="14"/>
    </row>
    <row r="116" spans="1:8" ht="38.25" x14ac:dyDescent="0.25">
      <c r="A116" s="12">
        <f>TabelaPrincipal[[#This Row],[ITEM]]</f>
        <v>191</v>
      </c>
      <c r="B116" s="13" t="str">
        <f>TabelaPrincipal[[#This Row],[DESCRIÇÃO]]</f>
        <v>Tobramicina, composição: associada a dexametasona, concentraçao: 3 mg + 1 mg,ml, forma farmaceutica: suspensão oftálmica</v>
      </c>
      <c r="C116" s="14" t="str">
        <f>TabelaPrincipal[[#This Row],[UND]]</f>
        <v>Frasco 5 ml</v>
      </c>
      <c r="D116" s="13">
        <f>TabelaPrincipal[[#This Row],[QTD]]</f>
        <v>200</v>
      </c>
      <c r="E116" s="13" t="str">
        <f>TabelaPrincipal[[#This Row],[MARCA]]</f>
        <v>Genom</v>
      </c>
      <c r="F116" s="15">
        <f>TabelaPrincipal[[#This Row],[CUSTO + PERCENTUAL DE ENTRADA]]</f>
        <v>45.64</v>
      </c>
      <c r="G116" s="16">
        <f>TabelaPrincipal[[#This Row],[VALOR TOTAL]]</f>
        <v>9128</v>
      </c>
      <c r="H116" s="14"/>
    </row>
    <row r="117" spans="1:8" ht="25.5" x14ac:dyDescent="0.25">
      <c r="A117" s="12">
        <f>TabelaPrincipal[[#This Row],[ITEM]]</f>
        <v>192</v>
      </c>
      <c r="B117" s="13" t="str">
        <f>TabelaPrincipal[[#This Row],[DESCRIÇÃO]]</f>
        <v>Hialuronato de sódio, c: 2 mg/ml, forma farmacêutica: solução oftálmica</v>
      </c>
      <c r="C117" s="14" t="str">
        <f>TabelaPrincipal[[#This Row],[UND]]</f>
        <v>Frasco 10 ml</v>
      </c>
      <c r="D117" s="13">
        <f>TabelaPrincipal[[#This Row],[QTD]]</f>
        <v>200</v>
      </c>
      <c r="E117" s="13" t="str">
        <f>TabelaPrincipal[[#This Row],[MARCA]]</f>
        <v>Latinofarma</v>
      </c>
      <c r="F117" s="15">
        <f>TabelaPrincipal[[#This Row],[CUSTO + PERCENTUAL DE ENTRADA]]</f>
        <v>139.97</v>
      </c>
      <c r="G117" s="16">
        <f>TabelaPrincipal[[#This Row],[VALOR TOTAL]]</f>
        <v>27994</v>
      </c>
      <c r="H117" s="14"/>
    </row>
    <row r="118" spans="1:8" ht="25.5" x14ac:dyDescent="0.25">
      <c r="A118" s="12">
        <f>TabelaPrincipal[[#This Row],[ITEM]]</f>
        <v>193</v>
      </c>
      <c r="B118" s="13" t="str">
        <f>TabelaPrincipal[[#This Row],[DESCRIÇÃO]]</f>
        <v>Hialuronato de sódio, c: 1 mg/ml, forma farmacêutica: solução oftálmica</v>
      </c>
      <c r="C118" s="14" t="str">
        <f>TabelaPrincipal[[#This Row],[UND]]</f>
        <v>Frasco 10 ml</v>
      </c>
      <c r="D118" s="13">
        <f>TabelaPrincipal[[#This Row],[QTD]]</f>
        <v>200</v>
      </c>
      <c r="E118" s="13" t="str">
        <f>TabelaPrincipal[[#This Row],[MARCA]]</f>
        <v>Globo</v>
      </c>
      <c r="F118" s="15">
        <f>TabelaPrincipal[[#This Row],[CUSTO + PERCENTUAL DE ENTRADA]]</f>
        <v>120.71</v>
      </c>
      <c r="G118" s="16">
        <f>TabelaPrincipal[[#This Row],[VALOR TOTAL]]</f>
        <v>24142</v>
      </c>
      <c r="H118" s="14"/>
    </row>
    <row r="119" spans="1:8" ht="25.5" x14ac:dyDescent="0.25">
      <c r="A119" s="12">
        <f>TabelaPrincipal[[#This Row],[ITEM]]</f>
        <v>194</v>
      </c>
      <c r="B119" s="13" t="str">
        <f>TabelaPrincipal[[#This Row],[DESCRIÇÃO]]</f>
        <v>Carmelose sódica, concentração: 5 mg/ml, forma farmacêutica: solução oftálmica</v>
      </c>
      <c r="C119" s="14" t="str">
        <f>TabelaPrincipal[[#This Row],[UND]]</f>
        <v>Frasco 15 ml</v>
      </c>
      <c r="D119" s="13">
        <f>TabelaPrincipal[[#This Row],[QTD]]</f>
        <v>300</v>
      </c>
      <c r="E119" s="13" t="str">
        <f>TabelaPrincipal[[#This Row],[MARCA]]</f>
        <v>Brainfarma</v>
      </c>
      <c r="F119" s="15">
        <f>TabelaPrincipal[[#This Row],[CUSTO + PERCENTUAL DE ENTRADA]]</f>
        <v>34.72</v>
      </c>
      <c r="G119" s="16">
        <f>TabelaPrincipal[[#This Row],[VALOR TOTAL]]</f>
        <v>10416</v>
      </c>
      <c r="H119" s="14"/>
    </row>
    <row r="120" spans="1:8" ht="25.5" x14ac:dyDescent="0.25">
      <c r="A120" s="12">
        <f>TabelaPrincipal[[#This Row],[ITEM]]</f>
        <v>195</v>
      </c>
      <c r="B120" s="13" t="str">
        <f>TabelaPrincipal[[#This Row],[DESCRIÇÃO]]</f>
        <v>Norepinefrina, concentração: 2 mg/ml, forma farmacêutica: solução injetável</v>
      </c>
      <c r="C120" s="14" t="str">
        <f>TabelaPrincipal[[#This Row],[UND]]</f>
        <v>Ampola 4 ml</v>
      </c>
      <c r="D120" s="13">
        <f>TabelaPrincipal[[#This Row],[QTD]]</f>
        <v>100</v>
      </c>
      <c r="E120" s="13" t="str">
        <f>TabelaPrincipal[[#This Row],[MARCA]]</f>
        <v>Nova Farma</v>
      </c>
      <c r="F120" s="15">
        <f>TabelaPrincipal[[#This Row],[CUSTO + PERCENTUAL DE ENTRADA]]</f>
        <v>9.16</v>
      </c>
      <c r="G120" s="16">
        <f>TabelaPrincipal[[#This Row],[VALOR TOTAL]]</f>
        <v>916</v>
      </c>
      <c r="H120" s="14"/>
    </row>
    <row r="121" spans="1:8" ht="51" x14ac:dyDescent="0.25">
      <c r="A121" s="12">
        <f>TabelaPrincipal[[#This Row],[ITEM]]</f>
        <v>196</v>
      </c>
      <c r="B121" s="13" t="str">
        <f>TabelaPrincipal[[#This Row],[DESCRIÇÃO]]</f>
        <v>Salicilato de metila, composição: associada à cânfora, mentol, e ess. deterebentina, concentração: 0,0333 ml + 0,0333 g + 0,0083 g + 0,0833 ml,ml, forma farmacêutica: solução tópica, embalagem: frasco aerossol</v>
      </c>
      <c r="C121" s="14" t="str">
        <f>TabelaPrincipal[[#This Row],[UND]]</f>
        <v>Frasco 120 ml</v>
      </c>
      <c r="D121" s="13">
        <f>TabelaPrincipal[[#This Row],[QTD]]</f>
        <v>2000</v>
      </c>
      <c r="E121" s="13" t="str">
        <f>TabelaPrincipal[[#This Row],[MARCA]]</f>
        <v>Neo Química</v>
      </c>
      <c r="F121" s="15">
        <f>TabelaPrincipal[[#This Row],[CUSTO + PERCENTUAL DE ENTRADA]]</f>
        <v>20.86</v>
      </c>
      <c r="G121" s="16">
        <f>TabelaPrincipal[[#This Row],[VALOR TOTAL]]</f>
        <v>41720</v>
      </c>
      <c r="H121" s="14"/>
    </row>
    <row r="122" spans="1:8" ht="38.25" x14ac:dyDescent="0.25">
      <c r="A122" s="12">
        <f>TabelaPrincipal[[#This Row],[ITEM]]</f>
        <v>197</v>
      </c>
      <c r="B122" s="13" t="str">
        <f>TabelaPrincipal[[#This Row],[DESCRIÇÃO]]</f>
        <v>Salicilato de metila, composição: associado à ess. terebentina, cânfora e mentol, concentração: 0,02 ml + 0,05 ml + 30 mg + 5 mg,g, forma farmacêutica: pomada</v>
      </c>
      <c r="C122" s="14" t="str">
        <f>TabelaPrincipal[[#This Row],[UND]]</f>
        <v>Bisnaga 30 g</v>
      </c>
      <c r="D122" s="13">
        <f>TabelaPrincipal[[#This Row],[QTD]]</f>
        <v>2000</v>
      </c>
      <c r="E122" s="13" t="str">
        <f>TabelaPrincipal[[#This Row],[MARCA]]</f>
        <v>Neo Química</v>
      </c>
      <c r="F122" s="15">
        <f>TabelaPrincipal[[#This Row],[CUSTO + PERCENTUAL DE ENTRADA]]</f>
        <v>9.65</v>
      </c>
      <c r="G122" s="16">
        <f>TabelaPrincipal[[#This Row],[VALOR TOTAL]]</f>
        <v>19300</v>
      </c>
      <c r="H122" s="14"/>
    </row>
    <row r="123" spans="1:8" x14ac:dyDescent="0.25">
      <c r="A123" s="12">
        <f>TabelaPrincipal[[#This Row],[ITEM]]</f>
        <v>198</v>
      </c>
      <c r="B123" s="13" t="str">
        <f>TabelaPrincipal[[#This Row],[DESCRIÇÃO]]</f>
        <v>Nimesulida 100 mg comprimido</v>
      </c>
      <c r="C123" s="14" t="str">
        <f>TabelaPrincipal[[#This Row],[UND]]</f>
        <v>Comprimido</v>
      </c>
      <c r="D123" s="13">
        <f>TabelaPrincipal[[#This Row],[QTD]]</f>
        <v>12000</v>
      </c>
      <c r="E123" s="13" t="str">
        <f>TabelaPrincipal[[#This Row],[MARCA]]</f>
        <v>Globo</v>
      </c>
      <c r="F123" s="15">
        <f>TabelaPrincipal[[#This Row],[CUSTO + PERCENTUAL DE ENTRADA]]</f>
        <v>0.2</v>
      </c>
      <c r="G123" s="16">
        <f>TabelaPrincipal[[#This Row],[VALOR TOTAL]]</f>
        <v>2400</v>
      </c>
      <c r="H123" s="14"/>
    </row>
    <row r="124" spans="1:8" ht="25.5" x14ac:dyDescent="0.25">
      <c r="A124" s="12">
        <f>TabelaPrincipal[[#This Row],[ITEM]]</f>
        <v>199</v>
      </c>
      <c r="B124" s="13" t="str">
        <f>TabelaPrincipal[[#This Row],[DESCRIÇÃO]]</f>
        <v>Triancinolona, composição: acetonida, concentração: 1 mg/g, forma farmacêutica: pasta oral</v>
      </c>
      <c r="C124" s="14" t="str">
        <f>TabelaPrincipal[[#This Row],[UND]]</f>
        <v>Bisnaga 10 g</v>
      </c>
      <c r="D124" s="13">
        <f>TabelaPrincipal[[#This Row],[QTD]]</f>
        <v>1000</v>
      </c>
      <c r="E124" s="13" t="str">
        <f>TabelaPrincipal[[#This Row],[MARCA]]</f>
        <v>Germed</v>
      </c>
      <c r="F124" s="15">
        <f>TabelaPrincipal[[#This Row],[CUSTO + PERCENTUAL DE ENTRADA]]</f>
        <v>7.78</v>
      </c>
      <c r="G124" s="16">
        <f>TabelaPrincipal[[#This Row],[VALOR TOTAL]]</f>
        <v>7780</v>
      </c>
      <c r="H124" s="14"/>
    </row>
    <row r="125" spans="1:8" ht="38.25" x14ac:dyDescent="0.25">
      <c r="A125" s="12">
        <f>TabelaPrincipal[[#This Row],[ITEM]]</f>
        <v>200</v>
      </c>
      <c r="B125" s="13" t="str">
        <f>TabelaPrincipal[[#This Row],[DESCRIÇÃO]]</f>
        <v>Betametasona, composição: dipropionato, associada ao cetoconazol e neomicina, concentração: 0,5 mg,g + 20 mg,g + 1,5 mg,g, forma farmaceutica: creme</v>
      </c>
      <c r="C125" s="14" t="str">
        <f>TabelaPrincipal[[#This Row],[UND]]</f>
        <v>Bisnaga 30 g</v>
      </c>
      <c r="D125" s="13">
        <f>TabelaPrincipal[[#This Row],[QTD]]</f>
        <v>1000</v>
      </c>
      <c r="E125" s="13" t="str">
        <f>TabelaPrincipal[[#This Row],[MARCA]]</f>
        <v>Geolab</v>
      </c>
      <c r="F125" s="15">
        <f>TabelaPrincipal[[#This Row],[CUSTO + PERCENTUAL DE ENTRADA]]</f>
        <v>10.71</v>
      </c>
      <c r="G125" s="16">
        <f>TabelaPrincipal[[#This Row],[VALOR TOTAL]]</f>
        <v>10710</v>
      </c>
      <c r="H125" s="14"/>
    </row>
    <row r="126" spans="1:8" x14ac:dyDescent="0.25">
      <c r="A126" s="12">
        <f>TabelaPrincipal[[#This Row],[ITEM]]</f>
        <v>201</v>
      </c>
      <c r="B126" s="13" t="str">
        <f>TabelaPrincipal[[#This Row],[DESCRIÇÃO]]</f>
        <v>Aripiprazol 1 mg/mL suspensão oral</v>
      </c>
      <c r="C126" s="14" t="str">
        <f>TabelaPrincipal[[#This Row],[UND]]</f>
        <v>Frasco 150 mL</v>
      </c>
      <c r="D126" s="13">
        <f>TabelaPrincipal[[#This Row],[QTD]]</f>
        <v>60</v>
      </c>
      <c r="E126" s="13" t="str">
        <f>TabelaPrincipal[[#This Row],[MARCA]]</f>
        <v>Aché</v>
      </c>
      <c r="F126" s="15">
        <f>TabelaPrincipal[[#This Row],[CUSTO + PERCENTUAL DE ENTRADA]]</f>
        <v>235.48</v>
      </c>
      <c r="G126" s="16">
        <f>TabelaPrincipal[[#This Row],[VALOR TOTAL]]</f>
        <v>14128.8</v>
      </c>
      <c r="H126" s="14"/>
    </row>
    <row r="127" spans="1:8" x14ac:dyDescent="0.25">
      <c r="A127" s="12">
        <f>TabelaPrincipal[[#This Row],[ITEM]]</f>
        <v>202</v>
      </c>
      <c r="B127" s="13" t="str">
        <f>TabelaPrincipal[[#This Row],[DESCRIÇÃO]]</f>
        <v>Alfaepoetina seringa preenchida de 0,4 mL com 4.000 UI/0,4 mL (10.000 UI/mL)</v>
      </c>
      <c r="C127" s="14" t="str">
        <f>TabelaPrincipal[[#This Row],[UND]]</f>
        <v>Seringa preenchida 0,4 mL</v>
      </c>
      <c r="D127" s="13">
        <f>TabelaPrincipal[[#This Row],[QTD]]</f>
        <v>480</v>
      </c>
      <c r="E127" s="13" t="str">
        <f>TabelaPrincipal[[#This Row],[MARCA]]</f>
        <v>Janssen</v>
      </c>
      <c r="F127" s="15">
        <f>TabelaPrincipal[[#This Row],[CUSTO + PERCENTUAL DE ENTRADA]]</f>
        <v>158.66999999999999</v>
      </c>
      <c r="G127" s="16">
        <f>TabelaPrincipal[[#This Row],[VALOR TOTAL]]</f>
        <v>76161.599999999991</v>
      </c>
      <c r="H127" s="14"/>
    </row>
    <row r="128" spans="1:8" x14ac:dyDescent="0.25">
      <c r="A128" s="12">
        <f>TabelaPrincipal[[#This Row],[ITEM]]</f>
        <v>206</v>
      </c>
      <c r="B128" s="13" t="str">
        <f>TabelaPrincipal[[#This Row],[DESCRIÇÃO]]</f>
        <v>Dipirona sódica 500 mg/mL solução oral, frasco 10 mL</v>
      </c>
      <c r="C128" s="14" t="str">
        <f>TabelaPrincipal[[#This Row],[UND]]</f>
        <v>Frasco 10 mL</v>
      </c>
      <c r="D128" s="13">
        <f>TabelaPrincipal[[#This Row],[QTD]]</f>
        <v>100</v>
      </c>
      <c r="E128" s="13" t="str">
        <f>TabelaPrincipal[[#This Row],[MARCA]]</f>
        <v>Medquímica</v>
      </c>
      <c r="F128" s="15">
        <f>TabelaPrincipal[[#This Row],[CUSTO + PERCENTUAL DE ENTRADA]]</f>
        <v>6.05</v>
      </c>
      <c r="G128" s="16">
        <f>TabelaPrincipal[[#This Row],[VALOR TOTAL]]</f>
        <v>605</v>
      </c>
      <c r="H128" s="14"/>
    </row>
    <row r="129" spans="1:8" x14ac:dyDescent="0.25">
      <c r="A129" s="12">
        <f>TabelaPrincipal[[#This Row],[ITEM]]</f>
        <v>207</v>
      </c>
      <c r="B129" s="13" t="str">
        <f>TabelaPrincipal[[#This Row],[DESCRIÇÃO]]</f>
        <v>Omeprazol 40 mg pó para solução injetável</v>
      </c>
      <c r="C129" s="14" t="str">
        <f>TabelaPrincipal[[#This Row],[UND]]</f>
        <v>Frasco- ampola</v>
      </c>
      <c r="D129" s="13">
        <f>TabelaPrincipal[[#This Row],[QTD]]</f>
        <v>150</v>
      </c>
      <c r="E129" s="13" t="str">
        <f>TabelaPrincipal[[#This Row],[MARCA]]</f>
        <v>Blau</v>
      </c>
      <c r="F129" s="15">
        <f>TabelaPrincipal[[#This Row],[CUSTO + PERCENTUAL DE ENTRADA]]</f>
        <v>46.31</v>
      </c>
      <c r="G129" s="16">
        <f>TabelaPrincipal[[#This Row],[VALOR TOTAL]]</f>
        <v>6946.5</v>
      </c>
      <c r="H129" s="14"/>
    </row>
    <row r="130" spans="1:8" x14ac:dyDescent="0.25">
      <c r="A130" s="12">
        <f>TabelaPrincipal[[#This Row],[ITEM]]</f>
        <v>208</v>
      </c>
      <c r="B130" s="13" t="str">
        <f>TabelaPrincipal[[#This Row],[DESCRIÇÃO]]</f>
        <v>Cetoconazol 20 mg/g (2%) creme</v>
      </c>
      <c r="C130" s="14" t="str">
        <f>TabelaPrincipal[[#This Row],[UND]]</f>
        <v>Bisnaga 30g</v>
      </c>
      <c r="D130" s="13">
        <f>TabelaPrincipal[[#This Row],[QTD]]</f>
        <v>320</v>
      </c>
      <c r="E130" s="13" t="str">
        <f>TabelaPrincipal[[#This Row],[MARCA]]</f>
        <v>Belfar</v>
      </c>
      <c r="F130" s="15">
        <f>TabelaPrincipal[[#This Row],[CUSTO + PERCENTUAL DE ENTRADA]]</f>
        <v>8.1199999999999992</v>
      </c>
      <c r="G130" s="16">
        <f>TabelaPrincipal[[#This Row],[VALOR TOTAL]]</f>
        <v>2598.3999999999996</v>
      </c>
      <c r="H130" s="14"/>
    </row>
    <row r="131" spans="1:8" x14ac:dyDescent="0.25">
      <c r="A131" s="12">
        <f>TabelaPrincipal[[#This Row],[ITEM]]</f>
        <v>209</v>
      </c>
      <c r="B131" s="13" t="str">
        <f>TabelaPrincipal[[#This Row],[DESCRIÇÃO]]</f>
        <v>Colagenase 0,6 UI/g creme</v>
      </c>
      <c r="C131" s="14" t="str">
        <f>TabelaPrincipal[[#This Row],[UND]]</f>
        <v>Bisnaga 30g</v>
      </c>
      <c r="D131" s="13">
        <f>TabelaPrincipal[[#This Row],[QTD]]</f>
        <v>220</v>
      </c>
      <c r="E131" s="13" t="str">
        <f>TabelaPrincipal[[#This Row],[MARCA]]</f>
        <v>Cristália</v>
      </c>
      <c r="F131" s="15">
        <f>TabelaPrincipal[[#This Row],[CUSTO + PERCENTUAL DE ENTRADA]]</f>
        <v>30.8</v>
      </c>
      <c r="G131" s="16">
        <f>TabelaPrincipal[[#This Row],[VALOR TOTAL]]</f>
        <v>6776</v>
      </c>
      <c r="H131" s="14"/>
    </row>
    <row r="132" spans="1:8" x14ac:dyDescent="0.25">
      <c r="A132" s="12">
        <f>TabelaPrincipal[[#This Row],[ITEM]]</f>
        <v>210</v>
      </c>
      <c r="B132" s="13" t="str">
        <f>TabelaPrincipal[[#This Row],[DESCRIÇÃO]]</f>
        <v>Pregabalina 150 mg</v>
      </c>
      <c r="C132" s="14" t="str">
        <f>TabelaPrincipal[[#This Row],[UND]]</f>
        <v>Cápsula</v>
      </c>
      <c r="D132" s="13">
        <f>TabelaPrincipal[[#This Row],[QTD]]</f>
        <v>1800</v>
      </c>
      <c r="E132" s="13" t="str">
        <f>TabelaPrincipal[[#This Row],[MARCA]]</f>
        <v>Globo</v>
      </c>
      <c r="F132" s="15">
        <f>TabelaPrincipal[[#This Row],[CUSTO + PERCENTUAL DE ENTRADA]]</f>
        <v>3.05</v>
      </c>
      <c r="G132" s="16">
        <f>TabelaPrincipal[[#This Row],[VALOR TOTAL]]</f>
        <v>5490</v>
      </c>
      <c r="H132" s="14"/>
    </row>
    <row r="133" spans="1:8" x14ac:dyDescent="0.25">
      <c r="A133" s="12">
        <f>TabelaPrincipal[[#This Row],[ITEM]]</f>
        <v>211</v>
      </c>
      <c r="B133" s="13" t="str">
        <f>TabelaPrincipal[[#This Row],[DESCRIÇÃO]]</f>
        <v>Bisoprololfumarato, concentração 5 mg</v>
      </c>
      <c r="C133" s="14" t="str">
        <f>TabelaPrincipal[[#This Row],[UND]]</f>
        <v>Comprimido</v>
      </c>
      <c r="D133" s="13">
        <f>TabelaPrincipal[[#This Row],[QTD]]</f>
        <v>1440</v>
      </c>
      <c r="E133" s="13" t="str">
        <f>TabelaPrincipal[[#This Row],[MARCA]]</f>
        <v>EMS</v>
      </c>
      <c r="F133" s="15">
        <f>TabelaPrincipal[[#This Row],[CUSTO + PERCENTUAL DE ENTRADA]]</f>
        <v>2.64</v>
      </c>
      <c r="G133" s="16">
        <f>TabelaPrincipal[[#This Row],[VALOR TOTAL]]</f>
        <v>3801.6000000000004</v>
      </c>
      <c r="H133" s="14"/>
    </row>
    <row r="134" spans="1:8" x14ac:dyDescent="0.25">
      <c r="A134" s="12">
        <f>TabelaPrincipal[[#This Row],[ITEM]]</f>
        <v>212</v>
      </c>
      <c r="B134" s="13" t="str">
        <f>TabelaPrincipal[[#This Row],[DESCRIÇÃO]]</f>
        <v>Ácido acetilsalicílico, dosagem:100 mg, tipo uso: tamponado</v>
      </c>
      <c r="C134" s="14" t="str">
        <f>TabelaPrincipal[[#This Row],[UND]]</f>
        <v>Comprimido</v>
      </c>
      <c r="D134" s="13">
        <f>TabelaPrincipal[[#This Row],[QTD]]</f>
        <v>1440</v>
      </c>
      <c r="E134" s="13" t="str">
        <f>TabelaPrincipal[[#This Row],[MARCA]]</f>
        <v>EMS</v>
      </c>
      <c r="F134" s="15">
        <f>TabelaPrincipal[[#This Row],[CUSTO + PERCENTUAL DE ENTRADA]]</f>
        <v>1.01</v>
      </c>
      <c r="G134" s="16">
        <f>TabelaPrincipal[[#This Row],[VALOR TOTAL]]</f>
        <v>1454.4</v>
      </c>
      <c r="H134" s="14"/>
    </row>
    <row r="135" spans="1:8" x14ac:dyDescent="0.25">
      <c r="A135" s="12">
        <f>TabelaPrincipal[[#This Row],[ITEM]]</f>
        <v>213</v>
      </c>
      <c r="B135" s="13" t="str">
        <f>TabelaPrincipal[[#This Row],[DESCRIÇÃO]]</f>
        <v>Pioglitazona cloridrato, concentração 30 mg</v>
      </c>
      <c r="C135" s="14" t="str">
        <f>TabelaPrincipal[[#This Row],[UND]]</f>
        <v>Comprimido</v>
      </c>
      <c r="D135" s="13">
        <f>TabelaPrincipal[[#This Row],[QTD]]</f>
        <v>1440</v>
      </c>
      <c r="E135" s="13" t="str">
        <f>TabelaPrincipal[[#This Row],[MARCA]]</f>
        <v>Germed</v>
      </c>
      <c r="F135" s="15">
        <f>TabelaPrincipal[[#This Row],[CUSTO + PERCENTUAL DE ENTRADA]]</f>
        <v>4.0599999999999996</v>
      </c>
      <c r="G135" s="16">
        <f>TabelaPrincipal[[#This Row],[VALOR TOTAL]]</f>
        <v>5846.4</v>
      </c>
      <c r="H135" s="14"/>
    </row>
    <row r="136" spans="1:8" ht="25.5" x14ac:dyDescent="0.25">
      <c r="A136" s="12">
        <f>TabelaPrincipal[[#This Row],[ITEM]]</f>
        <v>214</v>
      </c>
      <c r="B136" s="13" t="str">
        <f>TabelaPrincipal[[#This Row],[DESCRIÇÃO]]</f>
        <v>Paracetamol, apresentação: associado com tramadol cloridrato, dosagem:325mg + 37,5mg</v>
      </c>
      <c r="C136" s="14" t="str">
        <f>TabelaPrincipal[[#This Row],[UND]]</f>
        <v>Comprimido</v>
      </c>
      <c r="D136" s="13">
        <f>TabelaPrincipal[[#This Row],[QTD]]</f>
        <v>960</v>
      </c>
      <c r="E136" s="13" t="str">
        <f>TabelaPrincipal[[#This Row],[MARCA]]</f>
        <v>Brainfarma</v>
      </c>
      <c r="F136" s="15">
        <f>TabelaPrincipal[[#This Row],[CUSTO + PERCENTUAL DE ENTRADA]]</f>
        <v>6.45</v>
      </c>
      <c r="G136" s="16">
        <f>TabelaPrincipal[[#This Row],[VALOR TOTAL]]</f>
        <v>6192</v>
      </c>
      <c r="H136" s="14"/>
    </row>
    <row r="137" spans="1:8" ht="25.5" x14ac:dyDescent="0.25">
      <c r="A137" s="12">
        <f>TabelaPrincipal[[#This Row],[ITEM]]</f>
        <v>215</v>
      </c>
      <c r="B137" s="13" t="str">
        <f>TabelaPrincipal[[#This Row],[DESCRIÇÃO]]</f>
        <v>Desvenlafaxina, composição: salsuccinato, concentração:50 mg, forma farmacêutica: liberação controlada</v>
      </c>
      <c r="C137" s="14" t="str">
        <f>TabelaPrincipal[[#This Row],[UND]]</f>
        <v>Comprimido</v>
      </c>
      <c r="D137" s="13">
        <f>TabelaPrincipal[[#This Row],[QTD]]</f>
        <v>1440</v>
      </c>
      <c r="E137" s="13" t="str">
        <f>TabelaPrincipal[[#This Row],[MARCA]]</f>
        <v>Biosintética</v>
      </c>
      <c r="F137" s="15">
        <f>TabelaPrincipal[[#This Row],[CUSTO + PERCENTUAL DE ENTRADA]]</f>
        <v>2.85</v>
      </c>
      <c r="G137" s="16">
        <f>TabelaPrincipal[[#This Row],[VALOR TOTAL]]</f>
        <v>4104</v>
      </c>
      <c r="H137" s="14"/>
    </row>
    <row r="138" spans="1:8" ht="25.5" x14ac:dyDescent="0.25">
      <c r="A138" s="12">
        <f>TabelaPrincipal[[#This Row],[ITEM]]</f>
        <v>216</v>
      </c>
      <c r="B138" s="13" t="str">
        <f>TabelaPrincipal[[#This Row],[DESCRIÇÃO]]</f>
        <v>Desvenlafaxina, composição:salsuccinato, concentração:100 mg, forma farmacêutica: liberação controlada</v>
      </c>
      <c r="C138" s="14" t="str">
        <f>TabelaPrincipal[[#This Row],[UND]]</f>
        <v>Comprimido</v>
      </c>
      <c r="D138" s="13">
        <f>TabelaPrincipal[[#This Row],[QTD]]</f>
        <v>1440</v>
      </c>
      <c r="E138" s="13" t="str">
        <f>TabelaPrincipal[[#This Row],[MARCA]]</f>
        <v>Legrand</v>
      </c>
      <c r="F138" s="15">
        <f>TabelaPrincipal[[#This Row],[CUSTO + PERCENTUAL DE ENTRADA]]</f>
        <v>3.34</v>
      </c>
      <c r="G138" s="16">
        <f>TabelaPrincipal[[#This Row],[VALOR TOTAL]]</f>
        <v>4809.5999999999995</v>
      </c>
      <c r="H138" s="14"/>
    </row>
    <row r="139" spans="1:8" x14ac:dyDescent="0.25">
      <c r="A139" s="12">
        <f>TabelaPrincipal[[#This Row],[ITEM]]</f>
        <v>217</v>
      </c>
      <c r="B139" s="13" t="str">
        <f>TabelaPrincipal[[#This Row],[DESCRIÇÃO]]</f>
        <v>Zolpidem, dosagem:10 mg</v>
      </c>
      <c r="C139" s="14" t="str">
        <f>TabelaPrincipal[[#This Row],[UND]]</f>
        <v>Comprimido</v>
      </c>
      <c r="D139" s="13">
        <f>TabelaPrincipal[[#This Row],[QTD]]</f>
        <v>1440</v>
      </c>
      <c r="E139" s="13" t="str">
        <f>TabelaPrincipal[[#This Row],[MARCA]]</f>
        <v>Geolab</v>
      </c>
      <c r="F139" s="15">
        <f>TabelaPrincipal[[#This Row],[CUSTO + PERCENTUAL DE ENTRADA]]</f>
        <v>1.24</v>
      </c>
      <c r="G139" s="16">
        <f>TabelaPrincipal[[#This Row],[VALOR TOTAL]]</f>
        <v>1785.6</v>
      </c>
      <c r="H139" s="14"/>
    </row>
    <row r="140" spans="1:8" ht="63.75" x14ac:dyDescent="0.25">
      <c r="A140" s="12">
        <f>TabelaPrincipal[[#This Row],[ITEM]]</f>
        <v>226</v>
      </c>
      <c r="B140" s="13" t="str">
        <f>TabelaPrincipal[[#This Row],[DESCRIÇÃO]]</f>
        <v>Oxímetro, tipo dedo, faixa de medição saturação 1: 0 a 100%, faixa de medição pulso 1: cerca de 20 a
250   bpm,   autonomia   sistema   1:   cerca   24h, alimentação:    p    ilha.    Conforme    modelo    de referência (apêndice a) ou superior.</v>
      </c>
      <c r="C140" s="14" t="str">
        <f>TabelaPrincipal[[#This Row],[UND]]</f>
        <v>Unidade</v>
      </c>
      <c r="D140" s="13">
        <f>TabelaPrincipal[[#This Row],[QTD]]</f>
        <v>20</v>
      </c>
      <c r="E140" s="13" t="str">
        <f>TabelaPrincipal[[#This Row],[MARCA]]</f>
        <v>Gtech</v>
      </c>
      <c r="F140" s="15">
        <f>TabelaPrincipal[[#This Row],[CUSTO + PERCENTUAL DE ENTRADA]]</f>
        <v>157.76</v>
      </c>
      <c r="G140" s="16">
        <f>TabelaPrincipal[[#This Row],[VALOR TOTAL]]</f>
        <v>3155.2</v>
      </c>
      <c r="H140" s="14"/>
    </row>
    <row r="141" spans="1:8" ht="89.25" x14ac:dyDescent="0.25">
      <c r="A141" s="12">
        <f>TabelaPrincipal[[#This Row],[ITEM]]</f>
        <v>227</v>
      </c>
      <c r="B141" s="13" t="str">
        <f>TabelaPrincipal[[#This Row],[DESCRIÇÃO]]</f>
        <v>Sonda    trato    digestivo,    aplicação:    oro    ou nasogástrica,    modelo:    levine,    material:    pvc, calibre: nº 22, tamanho: longa, comprimento: cerca
120   cm,   conector:   conector   padrão   c,   tampa, componentes:  ponta  distal  fechada,  c,  orifícios laterais,      esterilidade:      estéril,      descartável, embalagem: embalagem individual</v>
      </c>
      <c r="C141" s="14" t="str">
        <f>TabelaPrincipal[[#This Row],[UND]]</f>
        <v>Unidade</v>
      </c>
      <c r="D141" s="13">
        <f>TabelaPrincipal[[#This Row],[QTD]]</f>
        <v>20</v>
      </c>
      <c r="E141" s="13" t="str">
        <f>TabelaPrincipal[[#This Row],[MARCA]]</f>
        <v>Medsonda</v>
      </c>
      <c r="F141" s="15">
        <f>TabelaPrincipal[[#This Row],[CUSTO + PERCENTUAL DE ENTRADA]]</f>
        <v>2.5299999999999998</v>
      </c>
      <c r="G141" s="16">
        <f>TabelaPrincipal[[#This Row],[VALOR TOTAL]]</f>
        <v>50.599999999999994</v>
      </c>
      <c r="H141" s="14"/>
    </row>
    <row r="142" spans="1:8" ht="89.25" x14ac:dyDescent="0.25">
      <c r="A142" s="12">
        <f>TabelaPrincipal[[#This Row],[ITEM]]</f>
        <v>228</v>
      </c>
      <c r="B142" s="13" t="str">
        <f>TabelaPrincipal[[#This Row],[DESCRIÇÃO]]</f>
        <v>Sonda    trato    digestivo,    aplicação:    oro    ou nasogástrica,    modelo:    levine,    material:    pvc, calibre: nº 20, tamanho: longa, comprimento: cerca
120   cm,   conector:   conector   padrão   c,   tampa, componentes:  ponta  distal  fechada,  c,  orifícios laterais,      esterilidade:      estéril,      descartável, embalagem: embalagem individual</v>
      </c>
      <c r="C142" s="14" t="str">
        <f>TabelaPrincipal[[#This Row],[UND]]</f>
        <v>Unidade</v>
      </c>
      <c r="D142" s="13">
        <f>TabelaPrincipal[[#This Row],[QTD]]</f>
        <v>20</v>
      </c>
      <c r="E142" s="13" t="str">
        <f>TabelaPrincipal[[#This Row],[MARCA]]</f>
        <v>Medsonda</v>
      </c>
      <c r="F142" s="15">
        <f>TabelaPrincipal[[#This Row],[CUSTO + PERCENTUAL DE ENTRADA]]</f>
        <v>1.91</v>
      </c>
      <c r="G142" s="16">
        <f>TabelaPrincipal[[#This Row],[VALOR TOTAL]]</f>
        <v>38.199999999999996</v>
      </c>
      <c r="H142" s="14"/>
    </row>
    <row r="143" spans="1:8" ht="89.25" x14ac:dyDescent="0.25">
      <c r="A143" s="12">
        <f>TabelaPrincipal[[#This Row],[ITEM]]</f>
        <v>229</v>
      </c>
      <c r="B143" s="13" t="str">
        <f>TabelaPrincipal[[#This Row],[DESCRIÇÃO]]</f>
        <v>Sonda    trato    digestivo,    aplicação:    oro    ou nasogástrica,  modelo:  levine,  material:  silicone, calibre: nº 18, tamanho: longa, comprimento: cerca
120   cm,   conector:   conector   padrão   c,   tampa, componentes:  ponta  distal  fechada,  c,  orifícios laterais,      esterilidade:      estéril,      descartável, embalagem: embalagem individual</v>
      </c>
      <c r="C143" s="14" t="str">
        <f>TabelaPrincipal[[#This Row],[UND]]</f>
        <v>Unidade</v>
      </c>
      <c r="D143" s="13">
        <f>TabelaPrincipal[[#This Row],[QTD]]</f>
        <v>20</v>
      </c>
      <c r="E143" s="13" t="str">
        <f>TabelaPrincipal[[#This Row],[MARCA]]</f>
        <v>Medsonda</v>
      </c>
      <c r="F143" s="15">
        <f>TabelaPrincipal[[#This Row],[CUSTO + PERCENTUAL DE ENTRADA]]</f>
        <v>2.0299999999999998</v>
      </c>
      <c r="G143" s="16">
        <f>TabelaPrincipal[[#This Row],[VALOR TOTAL]]</f>
        <v>40.599999999999994</v>
      </c>
      <c r="H143" s="14"/>
    </row>
    <row r="144" spans="1:8" ht="89.25" x14ac:dyDescent="0.25">
      <c r="A144" s="12">
        <f>TabelaPrincipal[[#This Row],[ITEM]]</f>
        <v>230</v>
      </c>
      <c r="B144" s="13" t="str">
        <f>TabelaPrincipal[[#This Row],[DESCRIÇÃO]]</f>
        <v>Sonda    trato    digestivo,    aplicação:    oro    ou nasogástrica,    modelo:    levine,    material:    pvc, calibre: nº 16, tamanho: longa, comprimento: cerca
120   cm,   conector:   conector   padrão   c,   tampa, componentes:  ponta  distal  fechada,  c,  orifícios laterais,      esterilidade:      estéril,      descartável, embalagem: embalagem individual</v>
      </c>
      <c r="C144" s="14" t="str">
        <f>TabelaPrincipal[[#This Row],[UND]]</f>
        <v>Unidade</v>
      </c>
      <c r="D144" s="13">
        <f>TabelaPrincipal[[#This Row],[QTD]]</f>
        <v>20</v>
      </c>
      <c r="E144" s="13" t="str">
        <f>TabelaPrincipal[[#This Row],[MARCA]]</f>
        <v>Medsonda</v>
      </c>
      <c r="F144" s="15">
        <f>TabelaPrincipal[[#This Row],[CUSTO + PERCENTUAL DE ENTRADA]]</f>
        <v>2.7</v>
      </c>
      <c r="G144" s="16">
        <f>TabelaPrincipal[[#This Row],[VALOR TOTAL]]</f>
        <v>54</v>
      </c>
      <c r="H144" s="14"/>
    </row>
    <row r="145" spans="1:8" ht="89.25" x14ac:dyDescent="0.25">
      <c r="A145" s="12">
        <f>TabelaPrincipal[[#This Row],[ITEM]]</f>
        <v>231</v>
      </c>
      <c r="B145" s="13" t="str">
        <f>TabelaPrincipal[[#This Row],[DESCRIÇÃO]]</f>
        <v>Sonda    trato    digestivo,    aplicação:    oro    ou nasogástrica,    modelo:    levine,    material:    pvc, calibre: nº 14, tamanho: longa, comprimento: cerca
120   cm,   conector:   conector   padrão   c,   tampa, componentes:  ponta  distal  fechada,  c,  orifícios laterais,      esterilidade:      estéril,      descartável, embalagem: embalagem individual</v>
      </c>
      <c r="C145" s="14" t="str">
        <f>TabelaPrincipal[[#This Row],[UND]]</f>
        <v>Unidade</v>
      </c>
      <c r="D145" s="13">
        <f>TabelaPrincipal[[#This Row],[QTD]]</f>
        <v>20</v>
      </c>
      <c r="E145" s="13" t="str">
        <f>TabelaPrincipal[[#This Row],[MARCA]]</f>
        <v>Medsonda</v>
      </c>
      <c r="F145" s="15">
        <f>TabelaPrincipal[[#This Row],[CUSTO + PERCENTUAL DE ENTRADA]]</f>
        <v>2.99</v>
      </c>
      <c r="G145" s="16">
        <f>TabelaPrincipal[[#This Row],[VALOR TOTAL]]</f>
        <v>59.800000000000004</v>
      </c>
      <c r="H145" s="14"/>
    </row>
    <row r="146" spans="1:8" ht="89.25" x14ac:dyDescent="0.25">
      <c r="A146" s="12">
        <f>TabelaPrincipal[[#This Row],[ITEM]]</f>
        <v>232</v>
      </c>
      <c r="B146" s="13" t="str">
        <f>TabelaPrincipal[[#This Row],[DESCRIÇÃO]]</f>
        <v>Sonda    trato    digestivo,    aplicação:    oro    ou nasogástrica,  modelo:  levine,  material:  silicone, calibre: nº 12, tamanho: longa, comprimento: cerca
120   cm,   conector:   conector   padrão   c,   tampa, componentes:  ponta  distal  fechada,  c,  orifícios laterais,      esterilidade:      estéril,      descartável, embalagem: embalagem individual</v>
      </c>
      <c r="C146" s="14" t="str">
        <f>TabelaPrincipal[[#This Row],[UND]]</f>
        <v>Unidade</v>
      </c>
      <c r="D146" s="13">
        <f>TabelaPrincipal[[#This Row],[QTD]]</f>
        <v>20</v>
      </c>
      <c r="E146" s="13" t="str">
        <f>TabelaPrincipal[[#This Row],[MARCA]]</f>
        <v>Medsonda</v>
      </c>
      <c r="F146" s="15">
        <f>TabelaPrincipal[[#This Row],[CUSTO + PERCENTUAL DE ENTRADA]]</f>
        <v>1.92</v>
      </c>
      <c r="G146" s="16">
        <f>TabelaPrincipal[[#This Row],[VALOR TOTAL]]</f>
        <v>38.4</v>
      </c>
      <c r="H146" s="14"/>
    </row>
    <row r="147" spans="1:8" ht="89.25" x14ac:dyDescent="0.25">
      <c r="A147" s="12">
        <f>TabelaPrincipal[[#This Row],[ITEM]]</f>
        <v>233</v>
      </c>
      <c r="B147" s="13" t="str">
        <f>TabelaPrincipal[[#This Row],[DESCRIÇÃO]]</f>
        <v>Sonda    trato    digestivo,    aplicação:    oro    ou nasogástrica,  modelo:  levine,  material:  silicone, calibre: nº 10, tamanho: longa, comprimento: cerca
120   cm,   conector:   conector   padrão   c,   tampa, componentes:  ponta  distal  fechada,  c,  orifícios laterais,      esterilidade:      estéril,      descartável, embalagem: embalagem individual</v>
      </c>
      <c r="C147" s="14" t="str">
        <f>TabelaPrincipal[[#This Row],[UND]]</f>
        <v>Unidade</v>
      </c>
      <c r="D147" s="13">
        <f>TabelaPrincipal[[#This Row],[QTD]]</f>
        <v>20</v>
      </c>
      <c r="E147" s="13" t="str">
        <f>TabelaPrincipal[[#This Row],[MARCA]]</f>
        <v>Medsonda</v>
      </c>
      <c r="F147" s="15">
        <f>TabelaPrincipal[[#This Row],[CUSTO + PERCENTUAL DE ENTRADA]]</f>
        <v>1.87</v>
      </c>
      <c r="G147" s="16">
        <f>TabelaPrincipal[[#This Row],[VALOR TOTAL]]</f>
        <v>37.400000000000006</v>
      </c>
      <c r="H147" s="14"/>
    </row>
    <row r="148" spans="1:8" ht="89.25" x14ac:dyDescent="0.25">
      <c r="A148" s="12">
        <f>TabelaPrincipal[[#This Row],[ITEM]]</f>
        <v>234</v>
      </c>
      <c r="B148" s="13" t="str">
        <f>TabelaPrincipal[[#This Row],[DESCRIÇÃO]]</f>
        <v>Sonda    trato    digestivo,    aplicação:    oro    ou nasogástrica,  modelo:  levine,  material:  silicone, calibre: nº 8, tamanho: longa, comprimento: cerca
100   cm,   conector:   conector   padrão   c,   tampa, componentes:  ponta  distal  fechada,  c,  orifícios laterais,      esterilidade:      estéril,      descartável, embalagem: embalagem individual</v>
      </c>
      <c r="C148" s="14" t="str">
        <f>TabelaPrincipal[[#This Row],[UND]]</f>
        <v>Unidade</v>
      </c>
      <c r="D148" s="13">
        <f>TabelaPrincipal[[#This Row],[QTD]]</f>
        <v>20</v>
      </c>
      <c r="E148" s="13" t="str">
        <f>TabelaPrincipal[[#This Row],[MARCA]]</f>
        <v>Medsonda</v>
      </c>
      <c r="F148" s="15">
        <f>TabelaPrincipal[[#This Row],[CUSTO + PERCENTUAL DE ENTRADA]]</f>
        <v>2.17</v>
      </c>
      <c r="G148" s="16">
        <f>TabelaPrincipal[[#This Row],[VALOR TOTAL]]</f>
        <v>43.4</v>
      </c>
      <c r="H148" s="14"/>
    </row>
    <row r="149" spans="1:8" ht="51" x14ac:dyDescent="0.25">
      <c r="A149" s="12">
        <f>TabelaPrincipal[[#This Row],[ITEM]]</f>
        <v>235</v>
      </c>
      <c r="B149" s="13" t="str">
        <f>TabelaPrincipal[[#This Row],[DESCRIÇÃO]]</f>
        <v>Cateter  aspiração  traqueal,  material:  pvc  atóxico flexível,   tipo   uso:   descartável,   características adicionais:   ponta   atraumática,   orifícios   distais lateralizados,  tipo  embalagem:  estéril,  embalagem individual, espessura: nº 16</v>
      </c>
      <c r="C149" s="14" t="str">
        <f>TabelaPrincipal[[#This Row],[UND]]</f>
        <v>Unidade</v>
      </c>
      <c r="D149" s="13">
        <f>TabelaPrincipal[[#This Row],[QTD]]</f>
        <v>20</v>
      </c>
      <c r="E149" s="13" t="str">
        <f>TabelaPrincipal[[#This Row],[MARCA]]</f>
        <v>Biosani</v>
      </c>
      <c r="F149" s="15">
        <f>TabelaPrincipal[[#This Row],[CUSTO + PERCENTUAL DE ENTRADA]]</f>
        <v>4.41</v>
      </c>
      <c r="G149" s="16">
        <f>TabelaPrincipal[[#This Row],[VALOR TOTAL]]</f>
        <v>88.2</v>
      </c>
      <c r="H149" s="14"/>
    </row>
    <row r="150" spans="1:8" ht="51" x14ac:dyDescent="0.25">
      <c r="A150" s="12">
        <f>TabelaPrincipal[[#This Row],[ITEM]]</f>
        <v>236</v>
      </c>
      <c r="B150" s="13" t="str">
        <f>TabelaPrincipal[[#This Row],[DESCRIÇÃO]]</f>
        <v>Cateter  aspiração  traqueal,  material:  pvc  atóxico flexível,   tipo   uso:   descartável,   características adicionais:   ponta   atraumática,   orifícios   distais lateralizados,  tipo  embalagem:  estéril,  embalagem individual, espessura: nº 14</v>
      </c>
      <c r="C150" s="14" t="str">
        <f>TabelaPrincipal[[#This Row],[UND]]</f>
        <v>Unidade</v>
      </c>
      <c r="D150" s="13">
        <f>TabelaPrincipal[[#This Row],[QTD]]</f>
        <v>20</v>
      </c>
      <c r="E150" s="13" t="str">
        <f>TabelaPrincipal[[#This Row],[MARCA]]</f>
        <v>Biosani</v>
      </c>
      <c r="F150" s="15">
        <f>TabelaPrincipal[[#This Row],[CUSTO + PERCENTUAL DE ENTRADA]]</f>
        <v>1.72</v>
      </c>
      <c r="G150" s="16">
        <f>TabelaPrincipal[[#This Row],[VALOR TOTAL]]</f>
        <v>34.4</v>
      </c>
      <c r="H150" s="14"/>
    </row>
    <row r="151" spans="1:8" ht="51" x14ac:dyDescent="0.25">
      <c r="A151" s="12">
        <f>TabelaPrincipal[[#This Row],[ITEM]]</f>
        <v>237</v>
      </c>
      <c r="B151" s="13" t="str">
        <f>TabelaPrincipal[[#This Row],[DESCRIÇÃO]]</f>
        <v>Cateter  aspiração  traqueal,  material:  pvc  atóxico flexível,   tipo   uso:   descartável,   características adicionais:   ponta   atraumática,   orifícios   distais lateralizados,  tipo  embalagem:  estéril,  embalagem individual, espessura: nº 12</v>
      </c>
      <c r="C151" s="14" t="str">
        <f>TabelaPrincipal[[#This Row],[UND]]</f>
        <v>Unidade</v>
      </c>
      <c r="D151" s="13">
        <f>TabelaPrincipal[[#This Row],[QTD]]</f>
        <v>20</v>
      </c>
      <c r="E151" s="13" t="str">
        <f>TabelaPrincipal[[#This Row],[MARCA]]</f>
        <v>Biosani</v>
      </c>
      <c r="F151" s="15">
        <f>TabelaPrincipal[[#This Row],[CUSTO + PERCENTUAL DE ENTRADA]]</f>
        <v>1.61</v>
      </c>
      <c r="G151" s="16">
        <f>TabelaPrincipal[[#This Row],[VALOR TOTAL]]</f>
        <v>32.200000000000003</v>
      </c>
      <c r="H151" s="14"/>
    </row>
    <row r="152" spans="1:8" ht="51" x14ac:dyDescent="0.25">
      <c r="A152" s="12">
        <f>TabelaPrincipal[[#This Row],[ITEM]]</f>
        <v>238</v>
      </c>
      <c r="B152" s="13" t="str">
        <f>TabelaPrincipal[[#This Row],[DESCRIÇÃO]]</f>
        <v>Cateter  aspiração  traqueal,  material:  pvc  atóxico flexível,   tipo   uso:   descartável,   características adicionais:   ponta   atraumática,   orifícios   distais lateralizados,  tipo  embalagem:  estéril,  embalagem individual, espessura: nº 8</v>
      </c>
      <c r="C152" s="14" t="str">
        <f>TabelaPrincipal[[#This Row],[UND]]</f>
        <v>Unidade</v>
      </c>
      <c r="D152" s="13">
        <f>TabelaPrincipal[[#This Row],[QTD]]</f>
        <v>20</v>
      </c>
      <c r="E152" s="13" t="str">
        <f>TabelaPrincipal[[#This Row],[MARCA]]</f>
        <v>Biosani</v>
      </c>
      <c r="F152" s="15">
        <f>TabelaPrincipal[[#This Row],[CUSTO + PERCENTUAL DE ENTRADA]]</f>
        <v>1.69</v>
      </c>
      <c r="G152" s="16">
        <f>TabelaPrincipal[[#This Row],[VALOR TOTAL]]</f>
        <v>33.799999999999997</v>
      </c>
      <c r="H152" s="14"/>
    </row>
    <row r="153" spans="1:8" ht="76.5" x14ac:dyDescent="0.25">
      <c r="A153" s="12">
        <f>TabelaPrincipal[[#This Row],[ITEM]]</f>
        <v>240</v>
      </c>
      <c r="B153" s="13" t="str">
        <f>TabelaPrincipal[[#This Row],[DESCRIÇÃO]]</f>
        <v>Cateter oxigenoterapia, material tubo: pvc flexível grau  médico,  tipo:  tipo  óculos,  pronga  silicone contorno   arredondado,   tipo   uso:   descartável, esterilidade:        estéril,        tamanho:        adulto, características adicionais: a prova de deformação e torção,2,10m, tipo adaptador: conector universal</v>
      </c>
      <c r="C153" s="14" t="str">
        <f>TabelaPrincipal[[#This Row],[UND]]</f>
        <v>Unidade</v>
      </c>
      <c r="D153" s="13">
        <f>TabelaPrincipal[[#This Row],[QTD]]</f>
        <v>200</v>
      </c>
      <c r="E153" s="13" t="str">
        <f>TabelaPrincipal[[#This Row],[MARCA]]</f>
        <v>Biosani</v>
      </c>
      <c r="F153" s="15">
        <f>TabelaPrincipal[[#This Row],[CUSTO + PERCENTUAL DE ENTRADA]]</f>
        <v>6.53</v>
      </c>
      <c r="G153" s="16">
        <f>TabelaPrincipal[[#This Row],[VALOR TOTAL]]</f>
        <v>1306</v>
      </c>
      <c r="H153" s="14"/>
    </row>
    <row r="154" spans="1:8" ht="76.5" x14ac:dyDescent="0.25">
      <c r="A154" s="12">
        <f>TabelaPrincipal[[#This Row],[ITEM]]</f>
        <v>241</v>
      </c>
      <c r="B154" s="13" t="str">
        <f>TabelaPrincipal[[#This Row],[DESCRIÇÃO]]</f>
        <v>Máscara Cirúrgica. Material: Não Tecido 100% Polipropileno. Filtro: Elemento Filtrante Interno. Eficiência: Efp Maior Que 98% E Bfe Maior Que 95%. Quantidade Camadas: Mínimo 3 Camadas. Modelo: Ajustável, Clipe Nasal. Formato: Retangular, C/ Pregas Horizontais. Cor: C/ Cor. Tamanho: Adulto. Esterilidade: Descartável.</v>
      </c>
      <c r="C154" s="14" t="str">
        <f>TabelaPrincipal[[#This Row],[UND]]</f>
        <v>Unidade</v>
      </c>
      <c r="D154" s="13">
        <f>TabelaPrincipal[[#This Row],[QTD]]</f>
        <v>1000</v>
      </c>
      <c r="E154" s="13" t="str">
        <f>TabelaPrincipal[[#This Row],[MARCA]]</f>
        <v>Byd</v>
      </c>
      <c r="F154" s="15">
        <f>TabelaPrincipal[[#This Row],[CUSTO + PERCENTUAL DE ENTRADA]]</f>
        <v>3.28</v>
      </c>
      <c r="G154" s="16">
        <f>TabelaPrincipal[[#This Row],[VALOR TOTAL]]</f>
        <v>3280</v>
      </c>
      <c r="H154" s="14"/>
    </row>
    <row r="155" spans="1:8" ht="76.5" x14ac:dyDescent="0.25">
      <c r="A155" s="12">
        <f>TabelaPrincipal[[#This Row],[ITEM]]</f>
        <v>242</v>
      </c>
      <c r="B155" s="13" t="str">
        <f>TabelaPrincipal[[#This Row],[DESCRIÇÃO]]</f>
        <v>Máscara Cirúrgica. Material: Não Tecido 100% Polipropileno. Filtro: Elemento Filtrante Interno. Eficiência: Efp Maior Que 98% E Bfe Maior Que 95%. Quantidade Camadas: Mínimo 3 Camadas. Modelo: Ajustável, Clipe Nasal. Formato: Retangular, C/ Pregas Horizontais. Cor: C/ Cor. Tamanho: Infantil. Esterilidade: Descartável.</v>
      </c>
      <c r="C155" s="14" t="str">
        <f>TabelaPrincipal[[#This Row],[UND]]</f>
        <v>Unidade</v>
      </c>
      <c r="D155" s="13">
        <f>TabelaPrincipal[[#This Row],[QTD]]</f>
        <v>1000</v>
      </c>
      <c r="E155" s="13" t="str">
        <f>TabelaPrincipal[[#This Row],[MARCA]]</f>
        <v>Protec</v>
      </c>
      <c r="F155" s="15">
        <f>TabelaPrincipal[[#This Row],[CUSTO + PERCENTUAL DE ENTRADA]]</f>
        <v>4.9800000000000004</v>
      </c>
      <c r="G155" s="16">
        <f>TabelaPrincipal[[#This Row],[VALOR TOTAL]]</f>
        <v>4980</v>
      </c>
      <c r="H155" s="14"/>
    </row>
    <row r="156" spans="1:8" ht="76.5" x14ac:dyDescent="0.25">
      <c r="A156" s="12">
        <f>TabelaPrincipal[[#This Row],[ITEM]]</f>
        <v>245</v>
      </c>
      <c r="B156" s="13" t="str">
        <f>TabelaPrincipal[[#This Row],[DESCRIÇÃO]]</f>
        <v>Avental hospitalar. Esterilidade: Não Estéril, Descartável. Tipo: Avental / Camisola / Bata. Material: Não Tecido 100% Polipropileno - Tipo SMS. Gramatura: Cerca De 50 G/M2. Modelo Camisola: Ajustável C/ Abertura Na Frente Ou Costas. Tamanho: Adulto Médio (M).
Característica: C/ Cor, Unissex.</v>
      </c>
      <c r="C156" s="14" t="str">
        <f>TabelaPrincipal[[#This Row],[UND]]</f>
        <v>Unidade</v>
      </c>
      <c r="D156" s="13">
        <f>TabelaPrincipal[[#This Row],[QTD]]</f>
        <v>500</v>
      </c>
      <c r="E156" s="13" t="str">
        <f>TabelaPrincipal[[#This Row],[MARCA]]</f>
        <v>Medix</v>
      </c>
      <c r="F156" s="15">
        <f>TabelaPrincipal[[#This Row],[CUSTO + PERCENTUAL DE ENTRADA]]</f>
        <v>17.84</v>
      </c>
      <c r="G156" s="16">
        <f>TabelaPrincipal[[#This Row],[VALOR TOTAL]]</f>
        <v>8920</v>
      </c>
      <c r="H156" s="14"/>
    </row>
    <row r="157" spans="1:8" ht="89.25" x14ac:dyDescent="0.25">
      <c r="A157" s="12">
        <f>TabelaPrincipal[[#This Row],[ITEM]]</f>
        <v>246</v>
      </c>
      <c r="B157" s="13" t="str">
        <f>TabelaPrincipal[[#This Row],[DESCRIÇÃO]]</f>
        <v>Agulha  Múltipla  para  Coleta  a  Vácuo25  X  8 (VERDE).  Agulhas  a  vácuo  25  X  8  para  coletas múltiplas   de   sangue   venoso.   Cânula   em   aço inoxidável,    siliconizada    com    biseltrifacetado. Embaladas      individualmente      em      cápsulas hermeticamente  fechadas.  Esterilizadas  por  óxido de  etileno.  Apresentação  -  cx  c/100  unidades. (Similar à VACUETTE®)</v>
      </c>
      <c r="C157" s="14" t="str">
        <f>TabelaPrincipal[[#This Row],[UND]]</f>
        <v>Unidade</v>
      </c>
      <c r="D157" s="13">
        <f>TabelaPrincipal[[#This Row],[QTD]]</f>
        <v>4000</v>
      </c>
      <c r="E157" s="13" t="str">
        <f>TabelaPrincipal[[#This Row],[MARCA]]</f>
        <v>Labor</v>
      </c>
      <c r="F157" s="15">
        <f>TabelaPrincipal[[#This Row],[CUSTO + PERCENTUAL DE ENTRADA]]</f>
        <v>0.96</v>
      </c>
      <c r="G157" s="16">
        <f>TabelaPrincipal[[#This Row],[VALOR TOTAL]]</f>
        <v>3840</v>
      </c>
      <c r="H157" s="14"/>
    </row>
    <row r="158" spans="1:8" ht="63.75" x14ac:dyDescent="0.25">
      <c r="A158" s="12">
        <f>TabelaPrincipal[[#This Row],[ITEM]]</f>
        <v>247</v>
      </c>
      <c r="B158" s="13" t="str">
        <f>TabelaPrincipal[[#This Row],[DESCRIÇÃO]]</f>
        <v>Agulha  Múltipla  para  Coleta  a  Vácuo25  X  7 (CINZA).  Agulhas  a  vácuo  25  X  7  para  coletas múltiplas   de   sangue   venoso.   Cânula   em   aço inoxidável,    siliconizada    com    biseltrifacetado. Embaladas      individualmente      em      cápsulas</v>
      </c>
      <c r="C158" s="14" t="str">
        <f>TabelaPrincipal[[#This Row],[UND]]</f>
        <v>Unidade</v>
      </c>
      <c r="D158" s="13">
        <f>TabelaPrincipal[[#This Row],[QTD]]</f>
        <v>4000</v>
      </c>
      <c r="E158" s="13" t="str">
        <f>TabelaPrincipal[[#This Row],[MARCA]]</f>
        <v>Labor</v>
      </c>
      <c r="F158" s="15">
        <f>TabelaPrincipal[[#This Row],[CUSTO + PERCENTUAL DE ENTRADA]]</f>
        <v>1.22</v>
      </c>
      <c r="G158" s="16">
        <f>TabelaPrincipal[[#This Row],[VALOR TOTAL]]</f>
        <v>4880</v>
      </c>
      <c r="H158" s="14"/>
    </row>
    <row r="159" spans="1:8" ht="25.5" x14ac:dyDescent="0.25">
      <c r="A159" s="12">
        <f>TabelaPrincipal[[#This Row],[ITEM]]</f>
        <v>251</v>
      </c>
      <c r="B159" s="13" t="str">
        <f>TabelaPrincipal[[#This Row],[DESCRIÇÃO]]</f>
        <v>Frasco   coletor   de   urina,   estéril,   cap.   80   ml. Registro  na  anvisa:  10379860094,  procedência: nacional.</v>
      </c>
      <c r="C159" s="14" t="str">
        <f>TabelaPrincipal[[#This Row],[UND]]</f>
        <v>Unidade</v>
      </c>
      <c r="D159" s="13">
        <f>TabelaPrincipal[[#This Row],[QTD]]</f>
        <v>2500</v>
      </c>
      <c r="E159" s="13" t="str">
        <f>TabelaPrincipal[[#This Row],[MARCA]]</f>
        <v>Cral</v>
      </c>
      <c r="F159" s="15">
        <f>TabelaPrincipal[[#This Row],[CUSTO + PERCENTUAL DE ENTRADA]]</f>
        <v>0.77</v>
      </c>
      <c r="G159" s="16">
        <f>TabelaPrincipal[[#This Row],[VALOR TOTAL]]</f>
        <v>1925</v>
      </c>
      <c r="H159" s="14"/>
    </row>
    <row r="160" spans="1:8" ht="127.5" x14ac:dyDescent="0.25">
      <c r="A160" s="12">
        <f>TabelaPrincipal[[#This Row],[ITEM]]</f>
        <v>304</v>
      </c>
      <c r="B160" s="13" t="str">
        <f>TabelaPrincipal[[#This Row],[DESCRIÇÃO]]</f>
        <v>Termohigrometro  digital,  que  mede  a  temperatura interna,  externa  e  a  umidade.  Registra  valores máximos e mínimos da temperatura e da umidade. Visor:   triplo,   de   cristal   líquido   (LCD)   para visualização  simultânea  da  temperatura  interna, externa e umidade. Funções: temperatura interna e externa  (registro  do  máximo  e  do  mínimo)  e umidade  relativa  (registro  do  máximo  e  mínimo). Temperatura   de   operação:   de   0ºC   A   50ºC. Alimentação:  pilhas  AAA  DE  1,5V.  peso:  150G (incluindo as pilhas). Alcance do sensor externo: 2 metros.</v>
      </c>
      <c r="C160" s="14" t="str">
        <f>TabelaPrincipal[[#This Row],[UND]]</f>
        <v>Unidade</v>
      </c>
      <c r="D160" s="13">
        <f>TabelaPrincipal[[#This Row],[QTD]]</f>
        <v>6</v>
      </c>
      <c r="E160" s="13" t="str">
        <f>TabelaPrincipal[[#This Row],[MARCA]]</f>
        <v>Incoterm</v>
      </c>
      <c r="F160" s="15">
        <f>TabelaPrincipal[[#This Row],[CUSTO + PERCENTUAL DE ENTRADA]]</f>
        <v>188.55</v>
      </c>
      <c r="G160" s="16">
        <f>TabelaPrincipal[[#This Row],[VALOR TOTAL]]</f>
        <v>1131.3000000000002</v>
      </c>
      <c r="H160" s="14"/>
    </row>
    <row r="161" spans="1:8" ht="25.5" x14ac:dyDescent="0.25">
      <c r="A161" s="12">
        <f>TabelaPrincipal[[#This Row],[ITEM]]</f>
        <v>404</v>
      </c>
      <c r="B161" s="13" t="str">
        <f>TabelaPrincipal[[#This Row],[DESCRIÇÃO]]</f>
        <v>Salbutamol, dosagem: 100 mcg/dose, forma
farmacêutica: aerossol oral</v>
      </c>
      <c r="C161" s="14" t="str">
        <f>TabelaPrincipal[[#This Row],[UND]]</f>
        <v>Frasco 200
doses</v>
      </c>
      <c r="D161" s="13">
        <f>TabelaPrincipal[[#This Row],[QTD]]</f>
        <v>100</v>
      </c>
      <c r="E161" s="13" t="str">
        <f>TabelaPrincipal[[#This Row],[MARCA]]</f>
        <v>Teuto</v>
      </c>
      <c r="F161" s="15">
        <f>TabelaPrincipal[[#This Row],[CUSTO + PERCENTUAL DE ENTRADA]]</f>
        <v>44.02</v>
      </c>
      <c r="G161" s="16">
        <f>TabelaPrincipal[[#This Row],[VALOR TOTAL]]</f>
        <v>4402</v>
      </c>
      <c r="H161" s="14"/>
    </row>
    <row r="162" spans="1:8" ht="25.5" x14ac:dyDescent="0.25">
      <c r="A162" s="12">
        <f>TabelaPrincipal[[#This Row],[ITEM]]</f>
        <v>405</v>
      </c>
      <c r="B162" s="13" t="str">
        <f>TabelaPrincipal[[#This Row],[DESCRIÇÃO]]</f>
        <v>Propofol, dosagem: 10 mg/ml, forma
farmacêutica: emulsão injetável</v>
      </c>
      <c r="C162" s="14" t="str">
        <f>TabelaPrincipal[[#This Row],[UND]]</f>
        <v>Frasco 20
ml</v>
      </c>
      <c r="D162" s="13">
        <f>TabelaPrincipal[[#This Row],[QTD]]</f>
        <v>30</v>
      </c>
      <c r="E162" s="13" t="str">
        <f>TabelaPrincipal[[#This Row],[MARCA]]</f>
        <v>Cristália</v>
      </c>
      <c r="F162" s="15">
        <f>TabelaPrincipal[[#This Row],[CUSTO + PERCENTUAL DE ENTRADA]]</f>
        <v>23.83</v>
      </c>
      <c r="G162" s="16">
        <f>TabelaPrincipal[[#This Row],[VALOR TOTAL]]</f>
        <v>714.9</v>
      </c>
      <c r="H162" s="14"/>
    </row>
    <row r="163" spans="1:8" x14ac:dyDescent="0.25">
      <c r="A163" s="12">
        <f>TabelaPrincipal[[#This Row],[ITEM]]</f>
        <v>406</v>
      </c>
      <c r="B163" s="13" t="str">
        <f>TabelaPrincipal[[#This Row],[DESCRIÇÃO]]</f>
        <v>Colecalciferol, concentração: 50.000 UI</v>
      </c>
      <c r="C163" s="14" t="str">
        <f>TabelaPrincipal[[#This Row],[UND]]</f>
        <v>Cápsula</v>
      </c>
      <c r="D163" s="13">
        <f>TabelaPrincipal[[#This Row],[QTD]]</f>
        <v>500</v>
      </c>
      <c r="E163" s="13" t="str">
        <f>TabelaPrincipal[[#This Row],[MARCA]]</f>
        <v>Biolab</v>
      </c>
      <c r="F163" s="15">
        <f>TabelaPrincipal[[#This Row],[CUSTO + PERCENTUAL DE ENTRADA]]</f>
        <v>18.53</v>
      </c>
      <c r="G163" s="16">
        <f>TabelaPrincipal[[#This Row],[VALOR TOTAL]]</f>
        <v>9265</v>
      </c>
      <c r="H163" s="14"/>
    </row>
    <row r="164" spans="1:8" x14ac:dyDescent="0.25">
      <c r="A164" s="12">
        <f>TabelaPrincipal[[#This Row],[ITEM]]</f>
        <v>407</v>
      </c>
      <c r="B164" s="13" t="str">
        <f>TabelaPrincipal[[#This Row],[DESCRIÇÃO]]</f>
        <v>Ácido acetilsalicílico (AAS) 100 mg</v>
      </c>
      <c r="C164" s="14" t="str">
        <f>TabelaPrincipal[[#This Row],[UND]]</f>
        <v>Comprimido</v>
      </c>
      <c r="D164" s="13">
        <f>TabelaPrincipal[[#This Row],[QTD]]</f>
        <v>500</v>
      </c>
      <c r="E164" s="13" t="str">
        <f>TabelaPrincipal[[#This Row],[MARCA]]</f>
        <v>Brasterápica</v>
      </c>
      <c r="F164" s="15">
        <f>TabelaPrincipal[[#This Row],[CUSTO + PERCENTUAL DE ENTRADA]]</f>
        <v>0.93</v>
      </c>
      <c r="G164" s="16">
        <f>TabelaPrincipal[[#This Row],[VALOR TOTAL]]</f>
        <v>465</v>
      </c>
      <c r="H164" s="14"/>
    </row>
    <row r="165" spans="1:8" x14ac:dyDescent="0.25">
      <c r="A165" s="12">
        <f>TabelaPrincipal[[#This Row],[ITEM]]</f>
        <v>409</v>
      </c>
      <c r="B165" s="13" t="str">
        <f>TabelaPrincipal[[#This Row],[DESCRIÇÃO]]</f>
        <v>Ácido tranexâmico 50 mg/mL solução injetável</v>
      </c>
      <c r="C165" s="14" t="str">
        <f>TabelaPrincipal[[#This Row],[UND]]</f>
        <v>Ampola</v>
      </c>
      <c r="D165" s="13">
        <f>TabelaPrincipal[[#This Row],[QTD]]</f>
        <v>50</v>
      </c>
      <c r="E165" s="13" t="str">
        <f>TabelaPrincipal[[#This Row],[MARCA]]</f>
        <v>Hipolabor</v>
      </c>
      <c r="F165" s="15">
        <f>TabelaPrincipal[[#This Row],[CUSTO + PERCENTUAL DE ENTRADA]]</f>
        <v>8.26</v>
      </c>
      <c r="G165" s="16">
        <f>TabelaPrincipal[[#This Row],[VALOR TOTAL]]</f>
        <v>413</v>
      </c>
      <c r="H165" s="14"/>
    </row>
    <row r="166" spans="1:8" x14ac:dyDescent="0.25">
      <c r="A166" s="12">
        <f>TabelaPrincipal[[#This Row],[ITEM]]</f>
        <v>410</v>
      </c>
      <c r="B166" s="13" t="str">
        <f>TabelaPrincipal[[#This Row],[DESCRIÇÃO]]</f>
        <v>Adenosina 3 mg/mL solução injetável</v>
      </c>
      <c r="C166" s="14" t="str">
        <f>TabelaPrincipal[[#This Row],[UND]]</f>
        <v>Ampola</v>
      </c>
      <c r="D166" s="13">
        <f>TabelaPrincipal[[#This Row],[QTD]]</f>
        <v>100</v>
      </c>
      <c r="E166" s="13" t="str">
        <f>TabelaPrincipal[[#This Row],[MARCA]]</f>
        <v>Hipolabor</v>
      </c>
      <c r="F166" s="15">
        <f>TabelaPrincipal[[#This Row],[CUSTO + PERCENTUAL DE ENTRADA]]</f>
        <v>19.46</v>
      </c>
      <c r="G166" s="16">
        <f>TabelaPrincipal[[#This Row],[VALOR TOTAL]]</f>
        <v>1946</v>
      </c>
      <c r="H166" s="14"/>
    </row>
    <row r="167" spans="1:8" x14ac:dyDescent="0.25">
      <c r="A167" s="12">
        <f>TabelaPrincipal[[#This Row],[ITEM]]</f>
        <v>411</v>
      </c>
      <c r="B167" s="13" t="str">
        <f>TabelaPrincipal[[#This Row],[DESCRIÇÃO]]</f>
        <v>Amiodarona 50 mg/mL solução injetável</v>
      </c>
      <c r="C167" s="14" t="str">
        <f>TabelaPrincipal[[#This Row],[UND]]</f>
        <v>Ampola</v>
      </c>
      <c r="D167" s="13">
        <f>TabelaPrincipal[[#This Row],[QTD]]</f>
        <v>100</v>
      </c>
      <c r="E167" s="13" t="str">
        <f>TabelaPrincipal[[#This Row],[MARCA]]</f>
        <v>Hipolabor</v>
      </c>
      <c r="F167" s="15">
        <f>TabelaPrincipal[[#This Row],[CUSTO + PERCENTUAL DE ENTRADA]]</f>
        <v>4.34</v>
      </c>
      <c r="G167" s="16">
        <f>TabelaPrincipal[[#This Row],[VALOR TOTAL]]</f>
        <v>434</v>
      </c>
      <c r="H167" s="14"/>
    </row>
    <row r="168" spans="1:8" ht="25.5" x14ac:dyDescent="0.25">
      <c r="A168" s="12">
        <f>TabelaPrincipal[[#This Row],[ITEM]]</f>
        <v>412</v>
      </c>
      <c r="B168" s="13" t="str">
        <f>TabelaPrincipal[[#This Row],[DESCRIÇÃO]]</f>
        <v>Bicarbonato de sódio 1mEq/mL (8,4%) solução
injetável</v>
      </c>
      <c r="C168" s="14" t="str">
        <f>TabelaPrincipal[[#This Row],[UND]]</f>
        <v>Ampola 10
ml</v>
      </c>
      <c r="D168" s="13">
        <f>TabelaPrincipal[[#This Row],[QTD]]</f>
        <v>300</v>
      </c>
      <c r="E168" s="13" t="str">
        <f>TabelaPrincipal[[#This Row],[MARCA]]</f>
        <v>Isofarma</v>
      </c>
      <c r="F168" s="15">
        <f>TabelaPrincipal[[#This Row],[CUSTO + PERCENTUAL DE ENTRADA]]</f>
        <v>1.4</v>
      </c>
      <c r="G168" s="16">
        <f>TabelaPrincipal[[#This Row],[VALOR TOTAL]]</f>
        <v>420</v>
      </c>
      <c r="H168" s="14"/>
    </row>
    <row r="169" spans="1:8" ht="25.5" x14ac:dyDescent="0.25">
      <c r="A169" s="12">
        <f>TabelaPrincipal[[#This Row],[ITEM]]</f>
        <v>413</v>
      </c>
      <c r="B169" s="13" t="str">
        <f>TabelaPrincipal[[#This Row],[DESCRIÇÃO]]</f>
        <v>Cefalotina sódica, concentração: 1 g, forma farmacêutica: pó liófilo p, injetável</v>
      </c>
      <c r="C169" s="14" t="str">
        <f>TabelaPrincipal[[#This Row],[UND]]</f>
        <v>Frasco- ampola</v>
      </c>
      <c r="D169" s="13">
        <f>TabelaPrincipal[[#This Row],[QTD]]</f>
        <v>50</v>
      </c>
      <c r="E169" s="13" t="str">
        <f>TabelaPrincipal[[#This Row],[MARCA]]</f>
        <v>Blau</v>
      </c>
      <c r="F169" s="15">
        <f>TabelaPrincipal[[#This Row],[CUSTO + PERCENTUAL DE ENTRADA]]</f>
        <v>8.39</v>
      </c>
      <c r="G169" s="16">
        <f>TabelaPrincipal[[#This Row],[VALOR TOTAL]]</f>
        <v>419.5</v>
      </c>
      <c r="H169" s="14"/>
    </row>
    <row r="170" spans="1:8" ht="25.5" x14ac:dyDescent="0.25">
      <c r="A170" s="12">
        <f>TabelaPrincipal[[#This Row],[ITEM]]</f>
        <v>414</v>
      </c>
      <c r="B170" s="13" t="str">
        <f>TabelaPrincipal[[#This Row],[DESCRIÇÃO]]</f>
        <v>Ceftriaxona sódica, concentração: 500 mg, forma farmacêutica: pó p, solução injetável + diluente</v>
      </c>
      <c r="C170" s="14" t="str">
        <f>TabelaPrincipal[[#This Row],[UND]]</f>
        <v>Frasco- ampola</v>
      </c>
      <c r="D170" s="13">
        <f>TabelaPrincipal[[#This Row],[QTD]]</f>
        <v>100</v>
      </c>
      <c r="E170" s="13" t="str">
        <f>TabelaPrincipal[[#This Row],[MARCA]]</f>
        <v>Eurofarma</v>
      </c>
      <c r="F170" s="15">
        <f>TabelaPrincipal[[#This Row],[CUSTO + PERCENTUAL DE ENTRADA]]</f>
        <v>19.46</v>
      </c>
      <c r="G170" s="16">
        <f>TabelaPrincipal[[#This Row],[VALOR TOTAL]]</f>
        <v>1946</v>
      </c>
      <c r="H170" s="14"/>
    </row>
    <row r="171" spans="1:8" x14ac:dyDescent="0.25">
      <c r="A171" s="12">
        <f>TabelaPrincipal[[#This Row],[ITEM]]</f>
        <v>415</v>
      </c>
      <c r="B171" s="13" t="str">
        <f>TabelaPrincipal[[#This Row],[DESCRIÇÃO]]</f>
        <v>Clopidogrel 75 mg comprimido</v>
      </c>
      <c r="C171" s="14" t="str">
        <f>TabelaPrincipal[[#This Row],[UND]]</f>
        <v>Comprimido</v>
      </c>
      <c r="D171" s="13">
        <f>TabelaPrincipal[[#This Row],[QTD]]</f>
        <v>300</v>
      </c>
      <c r="E171" s="13" t="str">
        <f>TabelaPrincipal[[#This Row],[MARCA]]</f>
        <v>Biolab</v>
      </c>
      <c r="F171" s="15">
        <f>TabelaPrincipal[[#This Row],[CUSTO + PERCENTUAL DE ENTRADA]]</f>
        <v>0.93</v>
      </c>
      <c r="G171" s="16">
        <f>TabelaPrincipal[[#This Row],[VALOR TOTAL]]</f>
        <v>279</v>
      </c>
      <c r="H171" s="14"/>
    </row>
    <row r="172" spans="1:8" x14ac:dyDescent="0.25">
      <c r="A172" s="12">
        <f>TabelaPrincipal[[#This Row],[ITEM]]</f>
        <v>416</v>
      </c>
      <c r="B172" s="13" t="str">
        <f>TabelaPrincipal[[#This Row],[DESCRIÇÃO]]</f>
        <v>Cloreto de potássio 2,56 mEq/mL (19,1%) solução injetável</v>
      </c>
      <c r="C172" s="14" t="str">
        <f>TabelaPrincipal[[#This Row],[UND]]</f>
        <v>Ampola 10 ml</v>
      </c>
      <c r="D172" s="13">
        <f>TabelaPrincipal[[#This Row],[QTD]]</f>
        <v>100</v>
      </c>
      <c r="E172" s="13" t="str">
        <f>TabelaPrincipal[[#This Row],[MARCA]]</f>
        <v>Isofarma</v>
      </c>
      <c r="F172" s="15">
        <f>TabelaPrincipal[[#This Row],[CUSTO + PERCENTUAL DE ENTRADA]]</f>
        <v>1.26</v>
      </c>
      <c r="G172" s="16">
        <f>TabelaPrincipal[[#This Row],[VALOR TOTAL]]</f>
        <v>126</v>
      </c>
      <c r="H172" s="14"/>
    </row>
    <row r="173" spans="1:8" x14ac:dyDescent="0.25">
      <c r="A173" s="12">
        <f>TabelaPrincipal[[#This Row],[ITEM]]</f>
        <v>417</v>
      </c>
      <c r="B173" s="13" t="str">
        <f>TabelaPrincipal[[#This Row],[DESCRIÇÃO]]</f>
        <v>Cloreto de sódio 3,4 mEq/mL (20%) solução injetável</v>
      </c>
      <c r="C173" s="14" t="str">
        <f>TabelaPrincipal[[#This Row],[UND]]</f>
        <v>Ampola 10 ml</v>
      </c>
      <c r="D173" s="13">
        <f>TabelaPrincipal[[#This Row],[QTD]]</f>
        <v>100</v>
      </c>
      <c r="E173" s="13" t="str">
        <f>TabelaPrincipal[[#This Row],[MARCA]]</f>
        <v>Isofarma</v>
      </c>
      <c r="F173" s="15">
        <f>TabelaPrincipal[[#This Row],[CUSTO + PERCENTUAL DE ENTRADA]]</f>
        <v>1.4</v>
      </c>
      <c r="G173" s="16">
        <f>TabelaPrincipal[[#This Row],[VALOR TOTAL]]</f>
        <v>140</v>
      </c>
      <c r="H173" s="14"/>
    </row>
    <row r="174" spans="1:8" x14ac:dyDescent="0.25">
      <c r="A174" s="12">
        <f>TabelaPrincipal[[#This Row],[ITEM]]</f>
        <v>418</v>
      </c>
      <c r="B174" s="13" t="str">
        <f>TabelaPrincipal[[#This Row],[DESCRIÇÃO]]</f>
        <v>Dipirona 500 mg comprimido</v>
      </c>
      <c r="C174" s="14" t="str">
        <f>TabelaPrincipal[[#This Row],[UND]]</f>
        <v>Comprimido</v>
      </c>
      <c r="D174" s="13">
        <f>TabelaPrincipal[[#This Row],[QTD]]</f>
        <v>5000</v>
      </c>
      <c r="E174" s="13" t="str">
        <f>TabelaPrincipal[[#This Row],[MARCA]]</f>
        <v>Vitamedic</v>
      </c>
      <c r="F174" s="15">
        <f>TabelaPrincipal[[#This Row],[CUSTO + PERCENTUAL DE ENTRADA]]</f>
        <v>0.34</v>
      </c>
      <c r="G174" s="16">
        <f>TabelaPrincipal[[#This Row],[VALOR TOTAL]]</f>
        <v>1700.0000000000002</v>
      </c>
      <c r="H174" s="14"/>
    </row>
    <row r="175" spans="1:8" x14ac:dyDescent="0.25">
      <c r="A175" s="12">
        <f>TabelaPrincipal[[#This Row],[ITEM]]</f>
        <v>419</v>
      </c>
      <c r="B175" s="13" t="str">
        <f>TabelaPrincipal[[#This Row],[DESCRIÇÃO]]</f>
        <v>Dipirona 500 mg/mL solução injetável</v>
      </c>
      <c r="C175" s="14" t="str">
        <f>TabelaPrincipal[[#This Row],[UND]]</f>
        <v>Ampola 2 ml</v>
      </c>
      <c r="D175" s="13">
        <f>TabelaPrincipal[[#This Row],[QTD]]</f>
        <v>500</v>
      </c>
      <c r="E175" s="13" t="str">
        <f>TabelaPrincipal[[#This Row],[MARCA]]</f>
        <v>Farmace</v>
      </c>
      <c r="F175" s="15">
        <f>TabelaPrincipal[[#This Row],[CUSTO + PERCENTUAL DE ENTRADA]]</f>
        <v>0.92</v>
      </c>
      <c r="G175" s="16">
        <f>TabelaPrincipal[[#This Row],[VALOR TOTAL]]</f>
        <v>460</v>
      </c>
      <c r="H175" s="14"/>
    </row>
    <row r="176" spans="1:8" ht="38.25" x14ac:dyDescent="0.25">
      <c r="A176" s="12">
        <f>TabelaPrincipal[[#This Row],[ITEM]]</f>
        <v>420</v>
      </c>
      <c r="B176" s="13" t="str">
        <f>TabelaPrincipal[[#This Row],[DESCRIÇÃO]]</f>
        <v>Dimenidrinato, apresentação: associado com piridoxina + glicose + frutose, dosagem: 3mg + 5mg + 100mg + 100mg/ml, tipo medicamento: solução injetável</v>
      </c>
      <c r="C176" s="14" t="str">
        <f>TabelaPrincipal[[#This Row],[UND]]</f>
        <v>Ampola 10 ml</v>
      </c>
      <c r="D176" s="13">
        <f>TabelaPrincipal[[#This Row],[QTD]]</f>
        <v>500</v>
      </c>
      <c r="E176" s="13" t="str">
        <f>TabelaPrincipal[[#This Row],[MARCA]]</f>
        <v>Takeda</v>
      </c>
      <c r="F176" s="15">
        <f>TabelaPrincipal[[#This Row],[CUSTO + PERCENTUAL DE ENTRADA]]</f>
        <v>16.8</v>
      </c>
      <c r="G176" s="16">
        <f>TabelaPrincipal[[#This Row],[VALOR TOTAL]]</f>
        <v>8400</v>
      </c>
      <c r="H176" s="14"/>
    </row>
    <row r="177" spans="1:8" ht="25.5" x14ac:dyDescent="0.25">
      <c r="A177" s="12">
        <f>TabelaPrincipal[[#This Row],[ITEM]]</f>
        <v>422</v>
      </c>
      <c r="B177" s="13" t="str">
        <f>TabelaPrincipal[[#This Row],[DESCRIÇÃO]]</f>
        <v>Dobutamina cloridrato, dosagem: 12,5 mg/ml, indicação: injetável</v>
      </c>
      <c r="C177" s="14" t="str">
        <f>TabelaPrincipal[[#This Row],[UND]]</f>
        <v>Ampola 10ml</v>
      </c>
      <c r="D177" s="13">
        <f>TabelaPrincipal[[#This Row],[QTD]]</f>
        <v>100</v>
      </c>
      <c r="E177" s="13" t="str">
        <f>TabelaPrincipal[[#This Row],[MARCA]]</f>
        <v>Teuto</v>
      </c>
      <c r="F177" s="15">
        <f>TabelaPrincipal[[#This Row],[CUSTO + PERCENTUAL DE ENTRADA]]</f>
        <v>17.75</v>
      </c>
      <c r="G177" s="16">
        <f>TabelaPrincipal[[#This Row],[VALOR TOTAL]]</f>
        <v>1775</v>
      </c>
      <c r="H177" s="14"/>
    </row>
    <row r="178" spans="1:8" x14ac:dyDescent="0.25">
      <c r="A178" s="12">
        <f>TabelaPrincipal[[#This Row],[ITEM]]</f>
        <v>423</v>
      </c>
      <c r="B178" s="13" t="str">
        <f>TabelaPrincipal[[#This Row],[DESCRIÇÃO]]</f>
        <v>Epinefrina, dosagem: 1 mg/ml, uso: solução injetável</v>
      </c>
      <c r="C178" s="14" t="str">
        <f>TabelaPrincipal[[#This Row],[UND]]</f>
        <v>Ampola 1ml</v>
      </c>
      <c r="D178" s="13">
        <f>TabelaPrincipal[[#This Row],[QTD]]</f>
        <v>100</v>
      </c>
      <c r="E178" s="13" t="str">
        <f>TabelaPrincipal[[#This Row],[MARCA]]</f>
        <v>Hipolabor</v>
      </c>
      <c r="F178" s="15">
        <f>TabelaPrincipal[[#This Row],[CUSTO + PERCENTUAL DE ENTRADA]]</f>
        <v>2.52</v>
      </c>
      <c r="G178" s="16">
        <f>TabelaPrincipal[[#This Row],[VALOR TOTAL]]</f>
        <v>252</v>
      </c>
      <c r="H178" s="14"/>
    </row>
    <row r="179" spans="1:8" x14ac:dyDescent="0.25">
      <c r="A179" s="12">
        <f>TabelaPrincipal[[#This Row],[ITEM]]</f>
        <v>424</v>
      </c>
      <c r="B179" s="13" t="str">
        <f>TabelaPrincipal[[#This Row],[DESCRIÇÃO]]</f>
        <v>Etilefrina 10 mg/mL solução injetável</v>
      </c>
      <c r="C179" s="14" t="str">
        <f>TabelaPrincipal[[#This Row],[UND]]</f>
        <v>Ampola 1ml</v>
      </c>
      <c r="D179" s="13">
        <f>TabelaPrincipal[[#This Row],[QTD]]</f>
        <v>100</v>
      </c>
      <c r="E179" s="13" t="str">
        <f>TabelaPrincipal[[#This Row],[MARCA]]</f>
        <v>União Química</v>
      </c>
      <c r="F179" s="15">
        <f>TabelaPrincipal[[#This Row],[CUSTO + PERCENTUAL DE ENTRADA]]</f>
        <v>2.79</v>
      </c>
      <c r="G179" s="16">
        <f>TabelaPrincipal[[#This Row],[VALOR TOTAL]]</f>
        <v>279</v>
      </c>
      <c r="H179" s="14"/>
    </row>
    <row r="180" spans="1:8" x14ac:dyDescent="0.25">
      <c r="A180" s="12">
        <f>TabelaPrincipal[[#This Row],[ITEM]]</f>
        <v>425</v>
      </c>
      <c r="B180" s="13" t="str">
        <f>TabelaPrincipal[[#This Row],[DESCRIÇÃO]]</f>
        <v>Heparina sódica, dosagem: 5.000 ui,ml, indicação: injetável</v>
      </c>
      <c r="C180" s="14" t="str">
        <f>TabelaPrincipal[[#This Row],[UND]]</f>
        <v>Ampola 0,25 ml</v>
      </c>
      <c r="D180" s="13">
        <f>TabelaPrincipal[[#This Row],[QTD]]</f>
        <v>200</v>
      </c>
      <c r="E180" s="13" t="str">
        <f>TabelaPrincipal[[#This Row],[MARCA]]</f>
        <v>Cristália</v>
      </c>
      <c r="F180" s="15">
        <f>TabelaPrincipal[[#This Row],[CUSTO + PERCENTUAL DE ENTRADA]]</f>
        <v>19.16</v>
      </c>
      <c r="G180" s="16">
        <f>TabelaPrincipal[[#This Row],[VALOR TOTAL]]</f>
        <v>3832</v>
      </c>
      <c r="H180" s="14"/>
    </row>
    <row r="181" spans="1:8" x14ac:dyDescent="0.25">
      <c r="A181" s="12">
        <f>TabelaPrincipal[[#This Row],[ITEM]]</f>
        <v>426</v>
      </c>
      <c r="B181" s="13" t="str">
        <f>TabelaPrincipal[[#This Row],[DESCRIÇÃO]]</f>
        <v>Heparina sódica, dosagem: 5.000 ui,ml, indicação: injetável</v>
      </c>
      <c r="C181" s="14" t="str">
        <f>TabelaPrincipal[[#This Row],[UND]]</f>
        <v>Frasco 5 ml</v>
      </c>
      <c r="D181" s="13">
        <f>TabelaPrincipal[[#This Row],[QTD]]</f>
        <v>100</v>
      </c>
      <c r="E181" s="13" t="str">
        <f>TabelaPrincipal[[#This Row],[MARCA]]</f>
        <v>Cristália</v>
      </c>
      <c r="F181" s="15">
        <f>TabelaPrincipal[[#This Row],[CUSTO + PERCENTUAL DE ENTRADA]]</f>
        <v>30.75</v>
      </c>
      <c r="G181" s="16">
        <f>TabelaPrincipal[[#This Row],[VALOR TOTAL]]</f>
        <v>3075</v>
      </c>
      <c r="H181" s="14"/>
    </row>
    <row r="182" spans="1:8" x14ac:dyDescent="0.25">
      <c r="A182" s="12">
        <f>TabelaPrincipal[[#This Row],[ITEM]]</f>
        <v>427</v>
      </c>
      <c r="B182" s="13" t="str">
        <f>TabelaPrincipal[[#This Row],[DESCRIÇÃO]]</f>
        <v>Ivermectina 6 mg comprimido</v>
      </c>
      <c r="C182" s="14" t="str">
        <f>TabelaPrincipal[[#This Row],[UND]]</f>
        <v>Comprimido</v>
      </c>
      <c r="D182" s="13">
        <f>TabelaPrincipal[[#This Row],[QTD]]</f>
        <v>500</v>
      </c>
      <c r="E182" s="13" t="str">
        <f>TabelaPrincipal[[#This Row],[MARCA]]</f>
        <v>Germed</v>
      </c>
      <c r="F182" s="15">
        <f>TabelaPrincipal[[#This Row],[CUSTO + PERCENTUAL DE ENTRADA]]</f>
        <v>2.42</v>
      </c>
      <c r="G182" s="16">
        <f>TabelaPrincipal[[#This Row],[VALOR TOTAL]]</f>
        <v>1210</v>
      </c>
      <c r="H182" s="14"/>
    </row>
    <row r="183" spans="1:8" x14ac:dyDescent="0.25">
      <c r="A183" s="12">
        <f>TabelaPrincipal[[#This Row],[ITEM]]</f>
        <v>428</v>
      </c>
      <c r="B183" s="13" t="str">
        <f>TabelaPrincipal[[#This Row],[DESCRIÇÃO]]</f>
        <v>Lactulose 667 mg/mL xarope</v>
      </c>
      <c r="C183" s="14" t="str">
        <f>TabelaPrincipal[[#This Row],[UND]]</f>
        <v>Frasco 120 ml</v>
      </c>
      <c r="D183" s="13">
        <f>TabelaPrincipal[[#This Row],[QTD]]</f>
        <v>100</v>
      </c>
      <c r="E183" s="13" t="str">
        <f>TabelaPrincipal[[#This Row],[MARCA]]</f>
        <v>Nutriex</v>
      </c>
      <c r="F183" s="15">
        <f>TabelaPrincipal[[#This Row],[CUSTO + PERCENTUAL DE ENTRADA]]</f>
        <v>15.26</v>
      </c>
      <c r="G183" s="16">
        <f>TabelaPrincipal[[#This Row],[VALOR TOTAL]]</f>
        <v>1526</v>
      </c>
      <c r="H183" s="14"/>
    </row>
    <row r="184" spans="1:8" x14ac:dyDescent="0.25">
      <c r="A184" s="12">
        <f>TabelaPrincipal[[#This Row],[ITEM]]</f>
        <v>429</v>
      </c>
      <c r="B184" s="13" t="str">
        <f>TabelaPrincipal[[#This Row],[DESCRIÇÃO]]</f>
        <v>Levofloxacino 500 mg comprimido</v>
      </c>
      <c r="C184" s="14" t="str">
        <f>TabelaPrincipal[[#This Row],[UND]]</f>
        <v>Comprimido</v>
      </c>
      <c r="D184" s="13">
        <f>TabelaPrincipal[[#This Row],[QTD]]</f>
        <v>500</v>
      </c>
      <c r="E184" s="13" t="str">
        <f>TabelaPrincipal[[#This Row],[MARCA]]</f>
        <v>Cellera</v>
      </c>
      <c r="F184" s="15">
        <f>TabelaPrincipal[[#This Row],[CUSTO + PERCENTUAL DE ENTRADA]]</f>
        <v>2.19</v>
      </c>
      <c r="G184" s="16">
        <f>TabelaPrincipal[[#This Row],[VALOR TOTAL]]</f>
        <v>1095</v>
      </c>
      <c r="H184" s="14"/>
    </row>
    <row r="185" spans="1:8" x14ac:dyDescent="0.25">
      <c r="A185" s="12">
        <f>TabelaPrincipal[[#This Row],[ITEM]]</f>
        <v>430</v>
      </c>
      <c r="B185" s="13" t="str">
        <f>TabelaPrincipal[[#This Row],[DESCRIÇÃO]]</f>
        <v>Lidocaína 20 mg/g (2%) gel</v>
      </c>
      <c r="C185" s="14" t="str">
        <f>TabelaPrincipal[[#This Row],[UND]]</f>
        <v>Bisnaga 20 g</v>
      </c>
      <c r="D185" s="13">
        <f>TabelaPrincipal[[#This Row],[QTD]]</f>
        <v>100</v>
      </c>
      <c r="E185" s="13" t="str">
        <f>TabelaPrincipal[[#This Row],[MARCA]]</f>
        <v>Pharlab</v>
      </c>
      <c r="F185" s="15">
        <f>TabelaPrincipal[[#This Row],[CUSTO + PERCENTUAL DE ENTRADA]]</f>
        <v>10.6</v>
      </c>
      <c r="G185" s="16">
        <f>TabelaPrincipal[[#This Row],[VALOR TOTAL]]</f>
        <v>1060</v>
      </c>
      <c r="H185" s="14"/>
    </row>
    <row r="186" spans="1:8" x14ac:dyDescent="0.25">
      <c r="A186" s="12">
        <f>TabelaPrincipal[[#This Row],[ITEM]]</f>
        <v>431</v>
      </c>
      <c r="B186" s="13" t="str">
        <f>TabelaPrincipal[[#This Row],[DESCRIÇÃO]]</f>
        <v>Metronidazol 400 mg comprimido</v>
      </c>
      <c r="C186" s="14" t="str">
        <f>TabelaPrincipal[[#This Row],[UND]]</f>
        <v>Comprimido</v>
      </c>
      <c r="D186" s="13">
        <f>TabelaPrincipal[[#This Row],[QTD]]</f>
        <v>500</v>
      </c>
      <c r="E186" s="13" t="str">
        <f>TabelaPrincipal[[#This Row],[MARCA]]</f>
        <v>Multilab</v>
      </c>
      <c r="F186" s="15">
        <f>TabelaPrincipal[[#This Row],[CUSTO + PERCENTUAL DE ENTRADA]]</f>
        <v>0.89</v>
      </c>
      <c r="G186" s="16">
        <f>TabelaPrincipal[[#This Row],[VALOR TOTAL]]</f>
        <v>445</v>
      </c>
      <c r="H186" s="14"/>
    </row>
    <row r="187" spans="1:8" x14ac:dyDescent="0.25">
      <c r="A187" s="12">
        <f>TabelaPrincipal[[#This Row],[ITEM]]</f>
        <v>432</v>
      </c>
      <c r="B187" s="13" t="str">
        <f>TabelaPrincipal[[#This Row],[DESCRIÇÃO]]</f>
        <v>Omeprazol 20 mg cápsula</v>
      </c>
      <c r="C187" s="14" t="str">
        <f>TabelaPrincipal[[#This Row],[UND]]</f>
        <v>Cápsula</v>
      </c>
      <c r="D187" s="13">
        <f>TabelaPrincipal[[#This Row],[QTD]]</f>
        <v>500</v>
      </c>
      <c r="E187" s="13" t="str">
        <f>TabelaPrincipal[[#This Row],[MARCA]]</f>
        <v>Geolab</v>
      </c>
      <c r="F187" s="15">
        <f>TabelaPrincipal[[#This Row],[CUSTO + PERCENTUAL DE ENTRADA]]</f>
        <v>0.53</v>
      </c>
      <c r="G187" s="16">
        <f>TabelaPrincipal[[#This Row],[VALOR TOTAL]]</f>
        <v>265</v>
      </c>
      <c r="H187" s="14"/>
    </row>
    <row r="188" spans="1:8" x14ac:dyDescent="0.25">
      <c r="A188" s="12">
        <f>TabelaPrincipal[[#This Row],[ITEM]]</f>
        <v>433</v>
      </c>
      <c r="B188" s="13" t="str">
        <f>TabelaPrincipal[[#This Row],[DESCRIÇÃO]]</f>
        <v>Paracetamol, dosagem comprimido: 500 mg</v>
      </c>
      <c r="C188" s="14" t="str">
        <f>TabelaPrincipal[[#This Row],[UND]]</f>
        <v>Comprimido</v>
      </c>
      <c r="D188" s="13">
        <f>TabelaPrincipal[[#This Row],[QTD]]</f>
        <v>1000</v>
      </c>
      <c r="E188" s="13" t="str">
        <f>TabelaPrincipal[[#This Row],[MARCA]]</f>
        <v>Belfar</v>
      </c>
      <c r="F188" s="15">
        <f>TabelaPrincipal[[#This Row],[CUSTO + PERCENTUAL DE ENTRADA]]</f>
        <v>0.78</v>
      </c>
      <c r="G188" s="16">
        <f>TabelaPrincipal[[#This Row],[VALOR TOTAL]]</f>
        <v>780</v>
      </c>
      <c r="H188" s="14"/>
    </row>
    <row r="189" spans="1:8" x14ac:dyDescent="0.25">
      <c r="A189" s="12">
        <f>TabelaPrincipal[[#This Row],[ITEM]]</f>
        <v>434</v>
      </c>
      <c r="B189" s="13" t="str">
        <f>TabelaPrincipal[[#This Row],[DESCRIÇÃO]]</f>
        <v>Prednisona 20 mg comprimido</v>
      </c>
      <c r="C189" s="14" t="str">
        <f>TabelaPrincipal[[#This Row],[UND]]</f>
        <v>Comprimido</v>
      </c>
      <c r="D189" s="13">
        <f>TabelaPrincipal[[#This Row],[QTD]]</f>
        <v>1000</v>
      </c>
      <c r="E189" s="13" t="str">
        <f>TabelaPrincipal[[#This Row],[MARCA]]</f>
        <v>Globo</v>
      </c>
      <c r="F189" s="15">
        <f>TabelaPrincipal[[#This Row],[CUSTO + PERCENTUAL DE ENTRADA]]</f>
        <v>0.78</v>
      </c>
      <c r="G189" s="16">
        <f>TabelaPrincipal[[#This Row],[VALOR TOTAL]]</f>
        <v>780</v>
      </c>
      <c r="H189" s="14"/>
    </row>
    <row r="190" spans="1:8" x14ac:dyDescent="0.25">
      <c r="A190" s="12">
        <f>TabelaPrincipal[[#This Row],[ITEM]]</f>
        <v>435</v>
      </c>
      <c r="B190" s="13" t="str">
        <f>TabelaPrincipal[[#This Row],[DESCRIÇÃO]]</f>
        <v>Propranolol 40 mg comprimido</v>
      </c>
      <c r="C190" s="14" t="str">
        <f>TabelaPrincipal[[#This Row],[UND]]</f>
        <v>Comprimido</v>
      </c>
      <c r="D190" s="13">
        <f>TabelaPrincipal[[#This Row],[QTD]]</f>
        <v>500</v>
      </c>
      <c r="E190" s="13" t="str">
        <f>TabelaPrincipal[[#This Row],[MARCA]]</f>
        <v>Osório de Moraes</v>
      </c>
      <c r="F190" s="15">
        <f>TabelaPrincipal[[#This Row],[CUSTO + PERCENTUAL DE ENTRADA]]</f>
        <v>0.38</v>
      </c>
      <c r="G190" s="16">
        <f>TabelaPrincipal[[#This Row],[VALOR TOTAL]]</f>
        <v>190</v>
      </c>
      <c r="H190" s="14"/>
    </row>
    <row r="191" spans="1:8" ht="38.25" x14ac:dyDescent="0.25">
      <c r="A191" s="12">
        <f>TabelaPrincipal[[#This Row],[ITEM]]</f>
        <v>436</v>
      </c>
      <c r="B191" s="13" t="str">
        <f>TabelaPrincipal[[#This Row],[DESCRIÇÃO]]</f>
        <v>Sais para reidratação oral, composição: sódio, potássio, cloreto, citrato e glicose, forma farmacêutica: pó p, solução oral</v>
      </c>
      <c r="C191" s="14" t="str">
        <f>TabelaPrincipal[[#This Row],[UND]]</f>
        <v>Envelope</v>
      </c>
      <c r="D191" s="13">
        <f>TabelaPrincipal[[#This Row],[QTD]]</f>
        <v>2000</v>
      </c>
      <c r="E191" s="13" t="str">
        <f>TabelaPrincipal[[#This Row],[MARCA]]</f>
        <v>Pharmascience</v>
      </c>
      <c r="F191" s="15">
        <f>TabelaPrincipal[[#This Row],[CUSTO + PERCENTUAL DE ENTRADA]]</f>
        <v>4.0599999999999996</v>
      </c>
      <c r="G191" s="16">
        <f>TabelaPrincipal[[#This Row],[VALOR TOTAL]]</f>
        <v>8119.9999999999991</v>
      </c>
      <c r="H191" s="14"/>
    </row>
    <row r="192" spans="1:8" x14ac:dyDescent="0.25">
      <c r="A192" s="12">
        <f>TabelaPrincipal[[#This Row],[ITEM]]</f>
        <v>437</v>
      </c>
      <c r="B192" s="13" t="str">
        <f>TabelaPrincipal[[#This Row],[DESCRIÇÃO]]</f>
        <v>Tenoxicam 40 mg pó para solução injetável</v>
      </c>
      <c r="C192" s="14" t="str">
        <f>TabelaPrincipal[[#This Row],[UND]]</f>
        <v>Frasco- ampola</v>
      </c>
      <c r="D192" s="13">
        <f>TabelaPrincipal[[#This Row],[QTD]]</f>
        <v>500</v>
      </c>
      <c r="E192" s="13" t="str">
        <f>TabelaPrincipal[[#This Row],[MARCA]]</f>
        <v>Cristália</v>
      </c>
      <c r="F192" s="15">
        <f>TabelaPrincipal[[#This Row],[CUSTO + PERCENTUAL DE ENTRADA]]</f>
        <v>17.48</v>
      </c>
      <c r="G192" s="16">
        <f>TabelaPrincipal[[#This Row],[VALOR TOTAL]]</f>
        <v>8740</v>
      </c>
      <c r="H192" s="14"/>
    </row>
    <row r="193" spans="1:8" x14ac:dyDescent="0.25">
      <c r="A193" s="12">
        <f>TabelaPrincipal[[#This Row],[ITEM]]</f>
        <v>438</v>
      </c>
      <c r="B193" s="13" t="str">
        <f>TabelaPrincipal[[#This Row],[DESCRIÇÃO]]</f>
        <v>Varfarina sódica 5 mg comprimido</v>
      </c>
      <c r="C193" s="14" t="str">
        <f>TabelaPrincipal[[#This Row],[UND]]</f>
        <v>Comprimido</v>
      </c>
      <c r="D193" s="13">
        <f>TabelaPrincipal[[#This Row],[QTD]]</f>
        <v>500</v>
      </c>
      <c r="E193" s="13" t="str">
        <f>TabelaPrincipal[[#This Row],[MARCA]]</f>
        <v>Teuto</v>
      </c>
      <c r="F193" s="15">
        <f>TabelaPrincipal[[#This Row],[CUSTO + PERCENTUAL DE ENTRADA]]</f>
        <v>0.31</v>
      </c>
      <c r="G193" s="16">
        <f>TabelaPrincipal[[#This Row],[VALOR TOTAL]]</f>
        <v>155</v>
      </c>
      <c r="H193" s="14"/>
    </row>
    <row r="194" spans="1:8" x14ac:dyDescent="0.25">
      <c r="A194" s="12">
        <f>TabelaPrincipal[[#This Row],[ITEM]]</f>
        <v>439</v>
      </c>
      <c r="B194" s="13" t="str">
        <f>TabelaPrincipal[[#This Row],[DESCRIÇÃO]]</f>
        <v>Saccharomyces boulardii100 mg cápsula</v>
      </c>
      <c r="C194" s="14" t="str">
        <f>TabelaPrincipal[[#This Row],[UND]]</f>
        <v>Cápsula</v>
      </c>
      <c r="D194" s="13">
        <f>TabelaPrincipal[[#This Row],[QTD]]</f>
        <v>500</v>
      </c>
      <c r="E194" s="13" t="str">
        <f>TabelaPrincipal[[#This Row],[MARCA]]</f>
        <v>Brainfarma</v>
      </c>
      <c r="F194" s="15">
        <f>TabelaPrincipal[[#This Row],[CUSTO + PERCENTUAL DE ENTRADA]]</f>
        <v>2.2400000000000002</v>
      </c>
      <c r="G194" s="16">
        <f>TabelaPrincipal[[#This Row],[VALOR TOTAL]]</f>
        <v>1120</v>
      </c>
      <c r="H194" s="14"/>
    </row>
    <row r="195" spans="1:8" ht="25.5" x14ac:dyDescent="0.25">
      <c r="A195" s="12">
        <f>TabelaPrincipal[[#This Row],[ITEM]]</f>
        <v>440</v>
      </c>
      <c r="B195" s="13" t="str">
        <f>TabelaPrincipal[[#This Row],[DESCRIÇÃO]]</f>
        <v>Cloreto de sódio, princípio ativo: 0,9% solução injetável, aplicação: sistema fechado 250 ml</v>
      </c>
      <c r="C195" s="14" t="str">
        <f>TabelaPrincipal[[#This Row],[UND]]</f>
        <v>Frasco 250 ml</v>
      </c>
      <c r="D195" s="13">
        <f>TabelaPrincipal[[#This Row],[QTD]]</f>
        <v>250</v>
      </c>
      <c r="E195" s="13" t="str">
        <f>TabelaPrincipal[[#This Row],[MARCA]]</f>
        <v>JP</v>
      </c>
      <c r="F195" s="15">
        <f>TabelaPrincipal[[#This Row],[CUSTO + PERCENTUAL DE ENTRADA]]</f>
        <v>8.39</v>
      </c>
      <c r="G195" s="16">
        <f>TabelaPrincipal[[#This Row],[VALOR TOTAL]]</f>
        <v>2097.5</v>
      </c>
      <c r="H195" s="14"/>
    </row>
    <row r="196" spans="1:8" ht="25.5" x14ac:dyDescent="0.25">
      <c r="A196" s="12">
        <f>TabelaPrincipal[[#This Row],[ITEM]]</f>
        <v>441</v>
      </c>
      <c r="B196" s="13" t="str">
        <f>TabelaPrincipal[[#This Row],[DESCRIÇÃO]]</f>
        <v>Álcool etílico, tipo: hidratado, teor alcoólico: 70% (70°gl), apresentação: líquido</v>
      </c>
      <c r="C196" s="14" t="str">
        <f>TabelaPrincipal[[#This Row],[UND]]</f>
        <v>Frasco 1L</v>
      </c>
      <c r="D196" s="13">
        <f>TabelaPrincipal[[#This Row],[QTD]]</f>
        <v>400</v>
      </c>
      <c r="E196" s="13" t="str">
        <f>TabelaPrincipal[[#This Row],[MARCA]]</f>
        <v>Prolink</v>
      </c>
      <c r="F196" s="15">
        <f>TabelaPrincipal[[#This Row],[CUSTO + PERCENTUAL DE ENTRADA]]</f>
        <v>8.39</v>
      </c>
      <c r="G196" s="16">
        <f>TabelaPrincipal[[#This Row],[VALOR TOTAL]]</f>
        <v>3356</v>
      </c>
      <c r="H196" s="14"/>
    </row>
    <row r="197" spans="1:8" ht="38.25" x14ac:dyDescent="0.25">
      <c r="A197" s="12">
        <f>TabelaPrincipal[[#This Row],[ITEM]]</f>
        <v>443</v>
      </c>
      <c r="B197" s="13" t="str">
        <f>TabelaPrincipal[[#This Row],[DESCRIÇÃO]]</f>
        <v>Torneirinha, vias: 3 vias, material: polímero, tipo conector: luerlock ,slip , valvulado, pressão máxima: até cerca de 100 psi, tipo uso: estéril, uso único</v>
      </c>
      <c r="C197" s="14" t="str">
        <f>TabelaPrincipal[[#This Row],[UND]]</f>
        <v>Unidade</v>
      </c>
      <c r="D197" s="13">
        <f>TabelaPrincipal[[#This Row],[QTD]]</f>
        <v>200</v>
      </c>
      <c r="E197" s="13" t="str">
        <f>TabelaPrincipal[[#This Row],[MARCA]]</f>
        <v>Labor</v>
      </c>
      <c r="F197" s="15">
        <f>TabelaPrincipal[[#This Row],[CUSTO + PERCENTUAL DE ENTRADA]]</f>
        <v>1.55</v>
      </c>
      <c r="G197" s="16">
        <f>TabelaPrincipal[[#This Row],[VALOR TOTAL]]</f>
        <v>310</v>
      </c>
      <c r="H197" s="14"/>
    </row>
    <row r="198" spans="1:8" ht="38.25" x14ac:dyDescent="0.25">
      <c r="A198" s="12">
        <f>TabelaPrincipal[[#This Row],[ITEM]]</f>
        <v>445</v>
      </c>
      <c r="B198" s="13" t="str">
        <f>TabelaPrincipal[[#This Row],[DESCRIÇÃO]]</f>
        <v>Abaixador língua, material: madeira, tipo: descartável, comprimento: 14 cm, formato: tipo espátula, largura: 1,50 cm, espessura: 2 mm</v>
      </c>
      <c r="C198" s="14" t="str">
        <f>TabelaPrincipal[[#This Row],[UND]]</f>
        <v>Pacote com 100
unidades</v>
      </c>
      <c r="D198" s="13">
        <f>TabelaPrincipal[[#This Row],[QTD]]</f>
        <v>50</v>
      </c>
      <c r="E198" s="13" t="str">
        <f>TabelaPrincipal[[#This Row],[MARCA]]</f>
        <v>Estilo</v>
      </c>
      <c r="F198" s="15">
        <f>TabelaPrincipal[[#This Row],[CUSTO + PERCENTUAL DE ENTRADA]]</f>
        <v>9.98</v>
      </c>
      <c r="G198" s="16">
        <f>TabelaPrincipal[[#This Row],[VALOR TOTAL]]</f>
        <v>499</v>
      </c>
      <c r="H198" s="14"/>
    </row>
    <row r="199" spans="1:8" x14ac:dyDescent="0.25">
      <c r="A199" s="12">
        <f>TabelaPrincipal[[#This Row],[ITEM]]</f>
        <v>447</v>
      </c>
      <c r="B199" s="13" t="str">
        <f>TabelaPrincipal[[#This Row],[DESCRIÇÃO]]</f>
        <v>Haste flexível, haste flexível</v>
      </c>
      <c r="C199" s="14" t="str">
        <f>TabelaPrincipal[[#This Row],[UND]]</f>
        <v>Caixa com 75 Unidades</v>
      </c>
      <c r="D199" s="13">
        <f>TabelaPrincipal[[#This Row],[QTD]]</f>
        <v>100</v>
      </c>
      <c r="E199" s="13" t="str">
        <f>TabelaPrincipal[[#This Row],[MARCA]]</f>
        <v>Polyfarma</v>
      </c>
      <c r="F199" s="15">
        <f>TabelaPrincipal[[#This Row],[CUSTO + PERCENTUAL DE ENTRADA]]</f>
        <v>1.92</v>
      </c>
      <c r="G199" s="16">
        <f>TabelaPrincipal[[#This Row],[VALOR TOTAL]]</f>
        <v>192</v>
      </c>
      <c r="H199" s="14"/>
    </row>
    <row r="200" spans="1:8" x14ac:dyDescent="0.25">
      <c r="A200" s="12">
        <f>TabelaPrincipal[[#This Row],[ITEM]]</f>
        <v>448</v>
      </c>
      <c r="B200" s="13" t="str">
        <f>TabelaPrincipal[[#This Row],[DESCRIÇÃO]]</f>
        <v>sistema eletroquímico: alcalina, tensão nominal: 1,5 v</v>
      </c>
      <c r="C200" s="14" t="str">
        <f>TabelaPrincipal[[#This Row],[UND]]</f>
        <v>Unidade</v>
      </c>
      <c r="D200" s="13">
        <f>TabelaPrincipal[[#This Row],[QTD]]</f>
        <v>100</v>
      </c>
      <c r="E200" s="13" t="str">
        <f>TabelaPrincipal[[#This Row],[MARCA]]</f>
        <v>Panasonic</v>
      </c>
      <c r="F200" s="15">
        <f>TabelaPrincipal[[#This Row],[CUSTO + PERCENTUAL DE ENTRADA]]</f>
        <v>4.16</v>
      </c>
      <c r="G200" s="16">
        <f>TabelaPrincipal[[#This Row],[VALOR TOTAL]]</f>
        <v>416</v>
      </c>
      <c r="H200" s="14"/>
    </row>
    <row r="201" spans="1:8" ht="38.25" x14ac:dyDescent="0.25">
      <c r="A201" s="12">
        <f>TabelaPrincipal[[#This Row],[ITEM]]</f>
        <v>449</v>
      </c>
      <c r="B201" s="13" t="str">
        <f>TabelaPrincipal[[#This Row],[DESCRIÇÃO]]</f>
        <v>Pilha recarregável, composição: níquel metal hidreto (nimh), modelo: aa, tensão: 1,5 v, capacidade corrente: 2.300 mah, aplicação: equipamentos eletrônicos</v>
      </c>
      <c r="C201" s="14" t="str">
        <f>TabelaPrincipal[[#This Row],[UND]]</f>
        <v>Unidade</v>
      </c>
      <c r="D201" s="13">
        <f>TabelaPrincipal[[#This Row],[QTD]]</f>
        <v>100</v>
      </c>
      <c r="E201" s="13" t="str">
        <f>TabelaPrincipal[[#This Row],[MARCA]]</f>
        <v>Duracel</v>
      </c>
      <c r="F201" s="15">
        <f>TabelaPrincipal[[#This Row],[CUSTO + PERCENTUAL DE ENTRADA]]</f>
        <v>40.6</v>
      </c>
      <c r="G201" s="16">
        <f>TabelaPrincipal[[#This Row],[VALOR TOTAL]]</f>
        <v>4060</v>
      </c>
      <c r="H201" s="14"/>
    </row>
    <row r="202" spans="1:8" ht="25.5" x14ac:dyDescent="0.25">
      <c r="A202" s="12">
        <f>TabelaPrincipal[[#This Row],[ITEM]]</f>
        <v>450</v>
      </c>
      <c r="B202" s="13" t="str">
        <f>TabelaPrincipal[[#This Row],[DESCRIÇÃO]]</f>
        <v>Pilha, tamanho: pequena, tipo: alcalina, modelo: AAA, tensão: 1,5 v, características adicionais: não recarregável</v>
      </c>
      <c r="C202" s="14" t="str">
        <f>TabelaPrincipal[[#This Row],[UND]]</f>
        <v>Unidade</v>
      </c>
      <c r="D202" s="13">
        <f>TabelaPrincipal[[#This Row],[QTD]]</f>
        <v>100</v>
      </c>
      <c r="E202" s="13" t="str">
        <f>TabelaPrincipal[[#This Row],[MARCA]]</f>
        <v>Panasonic</v>
      </c>
      <c r="F202" s="15">
        <f>TabelaPrincipal[[#This Row],[CUSTO + PERCENTUAL DE ENTRADA]]</f>
        <v>4.83</v>
      </c>
      <c r="G202" s="16">
        <f>TabelaPrincipal[[#This Row],[VALOR TOTAL]]</f>
        <v>483</v>
      </c>
      <c r="H202" s="14"/>
    </row>
    <row r="203" spans="1:8" ht="114.75" x14ac:dyDescent="0.25">
      <c r="A203" s="12">
        <f>TabelaPrincipal[[#This Row],[ITEM]]</f>
        <v>454</v>
      </c>
      <c r="B203" s="13" t="str">
        <f>TabelaPrincipal[[#This Row],[DESCRIÇÃO]]</f>
        <v>Imobilizador de cabeça headblock impermeável. Imobilizador de cabeça (coxim): confeccionado em abs\, resistente a impactos; utilizado em conjuntocomprancha de imobilização; anatômico\, regulagem com velcro\, base com regulagem.
Imobilizador de cabeça (coxim): confeccionado em abs\, resistente a impactos; uti lizado em conjunto com prancha de imobilização; anatômico\, regulagem com velcr o\, base com regulagem.</v>
      </c>
      <c r="C203" s="14" t="str">
        <f>TabelaPrincipal[[#This Row],[UND]]</f>
        <v>Unidade</v>
      </c>
      <c r="D203" s="13">
        <f>TabelaPrincipal[[#This Row],[QTD]]</f>
        <v>20</v>
      </c>
      <c r="E203" s="13" t="str">
        <f>TabelaPrincipal[[#This Row],[MARCA]]</f>
        <v>Head Block</v>
      </c>
      <c r="F203" s="15">
        <f>TabelaPrincipal[[#This Row],[CUSTO + PERCENTUAL DE ENTRADA]]</f>
        <v>159.6</v>
      </c>
      <c r="G203" s="16">
        <f>TabelaPrincipal[[#This Row],[VALOR TOTAL]]</f>
        <v>3192</v>
      </c>
      <c r="H203" s="14"/>
    </row>
    <row r="204" spans="1:8" x14ac:dyDescent="0.25">
      <c r="A204" s="12">
        <f>TabelaPrincipal[[#This Row],[ITEM]]</f>
        <v>456</v>
      </c>
      <c r="B204" s="13" t="str">
        <f>TabelaPrincipal[[#This Row],[DESCRIÇÃO]]</f>
        <v>Termômetro digital infravermelho sem contato</v>
      </c>
      <c r="C204" s="14" t="str">
        <f>TabelaPrincipal[[#This Row],[UND]]</f>
        <v>Unidade</v>
      </c>
      <c r="D204" s="13">
        <f>TabelaPrincipal[[#This Row],[QTD]]</f>
        <v>5</v>
      </c>
      <c r="E204" s="13" t="str">
        <f>TabelaPrincipal[[#This Row],[MARCA]]</f>
        <v>Gtech</v>
      </c>
      <c r="F204" s="15">
        <f>TabelaPrincipal[[#This Row],[CUSTO + PERCENTUAL DE ENTRADA]]</f>
        <v>175.65</v>
      </c>
      <c r="G204" s="16">
        <f>TabelaPrincipal[[#This Row],[VALOR TOTAL]]</f>
        <v>878.25</v>
      </c>
      <c r="H204" s="14"/>
    </row>
    <row r="205" spans="1:8" ht="25.5" x14ac:dyDescent="0.25">
      <c r="A205" s="12">
        <f>TabelaPrincipal[[#This Row],[ITEM]]</f>
        <v>457</v>
      </c>
      <c r="B205" s="13" t="str">
        <f>TabelaPrincipal[[#This Row],[DESCRIÇÃO]]</f>
        <v>Otoscópio, tipo clínico, características adicionais com 5 espéculo reutilizáveis, estojo em nylon</v>
      </c>
      <c r="C205" s="14" t="str">
        <f>TabelaPrincipal[[#This Row],[UND]]</f>
        <v>Unidade</v>
      </c>
      <c r="D205" s="13">
        <f>TabelaPrincipal[[#This Row],[QTD]]</f>
        <v>5</v>
      </c>
      <c r="E205" s="13" t="str">
        <f>TabelaPrincipal[[#This Row],[MARCA]]</f>
        <v>Mikatos</v>
      </c>
      <c r="F205" s="15">
        <f>TabelaPrincipal[[#This Row],[CUSTO + PERCENTUAL DE ENTRADA]]</f>
        <v>966.16</v>
      </c>
      <c r="G205" s="16">
        <f>TabelaPrincipal[[#This Row],[VALOR TOTAL]]</f>
        <v>4830.8</v>
      </c>
      <c r="H205" s="14"/>
    </row>
    <row r="206" spans="1:8" ht="51" x14ac:dyDescent="0.25">
      <c r="A206" s="12">
        <f>TabelaPrincipal[[#This Row],[ITEM]]</f>
        <v>458</v>
      </c>
      <c r="B206" s="13" t="str">
        <f>TabelaPrincipal[[#This Row],[DESCRIÇÃO]]</f>
        <v>Maca de resgate, material: polietileno, tipo: prancha, tamanho: adulto, largura: cerca de 0,40 m, capacidade de carga: até 250 kg, componentes: até 5 cintos de segurança, componentes 01: cinto imobilizador para cabeça</v>
      </c>
      <c r="C206" s="14" t="str">
        <f>TabelaPrincipal[[#This Row],[UND]]</f>
        <v>Unidade</v>
      </c>
      <c r="D206" s="13">
        <f>TabelaPrincipal[[#This Row],[QTD]]</f>
        <v>5</v>
      </c>
      <c r="E206" s="13" t="str">
        <f>TabelaPrincipal[[#This Row],[MARCA]]</f>
        <v>DMZ Medical</v>
      </c>
      <c r="F206" s="15">
        <f>TabelaPrincipal[[#This Row],[CUSTO + PERCENTUAL DE ENTRADA]]</f>
        <v>710.66</v>
      </c>
      <c r="G206" s="16">
        <f>TabelaPrincipal[[#This Row],[VALOR TOTAL]]</f>
        <v>3553.2999999999997</v>
      </c>
      <c r="H206" s="14"/>
    </row>
    <row r="207" spans="1:8" ht="127.5" x14ac:dyDescent="0.25">
      <c r="A207" s="12">
        <f>TabelaPrincipal[[#This Row],[ITEM]]</f>
        <v>461</v>
      </c>
      <c r="B207" s="13" t="str">
        <f>TabelaPrincipal[[#This Row],[DESCRIÇÃO]]</f>
        <v>Glicosímetro (c/ tiras\, lancetas e lancetador) glicosímetro para medição de glicemia capilar (glicosímetrodigital)\, tempo de resultado de teste de 0 a 15segUnidades\, e volume de amostra de até 03 microlitros\, obtidos por capilaridade. O aparelho deve permitir determinação precisa e segura de glicemia em sangue capilar de recém- nascido\, criança\, adultos e pacientes em uso de insulina. O glicosímetro deve acompanhar\, no mínimo: 1 caneta lancetadora\, 50lancetas\, 5 0 tiras de teste e 1 bateria\, compatíveis. Garantia de no mínimo 12 (doze) meses.</v>
      </c>
      <c r="C207" s="14" t="str">
        <f>TabelaPrincipal[[#This Row],[UND]]</f>
        <v>Unidade</v>
      </c>
      <c r="D207" s="13">
        <f>TabelaPrincipal[[#This Row],[QTD]]</f>
        <v>5</v>
      </c>
      <c r="E207" s="13" t="str">
        <f>TabelaPrincipal[[#This Row],[MARCA]]</f>
        <v>Roché</v>
      </c>
      <c r="F207" s="15">
        <f>TabelaPrincipal[[#This Row],[CUSTO + PERCENTUAL DE ENTRADA]]</f>
        <v>110.04</v>
      </c>
      <c r="G207" s="16">
        <f>TabelaPrincipal[[#This Row],[VALOR TOTAL]]</f>
        <v>550.20000000000005</v>
      </c>
      <c r="H207" s="14"/>
    </row>
    <row r="208" spans="1:8" ht="51" x14ac:dyDescent="0.25">
      <c r="A208" s="12">
        <f>TabelaPrincipal[[#This Row],[ITEM]]</f>
        <v>462</v>
      </c>
      <c r="B208" s="13" t="str">
        <f>TabelaPrincipal[[#This Row],[DESCRIÇÃO]]</f>
        <v>Termohigrômetro, tipo: digital, fonte alimentação: bateria 9 v, faixa temperatura: 0 a + 50 °c, faixa medição umidade relativa: 10 a 95 per, resolução: 1% °c. Aplicação: Monitoramento Temperatura e umidade.</v>
      </c>
      <c r="C208" s="14" t="str">
        <f>TabelaPrincipal[[#This Row],[UND]]</f>
        <v>Unidade</v>
      </c>
      <c r="D208" s="13">
        <f>TabelaPrincipal[[#This Row],[QTD]]</f>
        <v>5</v>
      </c>
      <c r="E208" s="13" t="str">
        <f>TabelaPrincipal[[#This Row],[MARCA]]</f>
        <v>Supermed</v>
      </c>
      <c r="F208" s="15">
        <f>TabelaPrincipal[[#This Row],[CUSTO + PERCENTUAL DE ENTRADA]]</f>
        <v>99.65</v>
      </c>
      <c r="G208" s="16">
        <f>TabelaPrincipal[[#This Row],[VALOR TOTAL]]</f>
        <v>498.25</v>
      </c>
      <c r="H208" s="14"/>
    </row>
    <row r="209" spans="1:8" ht="51" x14ac:dyDescent="0.25">
      <c r="A209" s="12">
        <f>TabelaPrincipal[[#This Row],[ITEM]]</f>
        <v>466</v>
      </c>
      <c r="B209" s="13" t="str">
        <f>TabelaPrincipal[[#This Row],[DESCRIÇÃO]]</f>
        <v>Avental hospitalar, tipo: capote cirúrgico, material: sms, tamanho: único, gramatura: cerca de 40 g/cm2, cor: branco, componente: tiras para fixação, característica adicional: manga longa, punho malha.</v>
      </c>
      <c r="C209" s="14" t="str">
        <f>TabelaPrincipal[[#This Row],[UND]]</f>
        <v>Unidade</v>
      </c>
      <c r="D209" s="13">
        <f>TabelaPrincipal[[#This Row],[QTD]]</f>
        <v>500</v>
      </c>
      <c r="E209" s="13" t="str">
        <f>TabelaPrincipal[[#This Row],[MARCA]]</f>
        <v>Maycare</v>
      </c>
      <c r="F209" s="15">
        <f>TabelaPrincipal[[#This Row],[CUSTO + PERCENTUAL DE ENTRADA]]</f>
        <v>10.46</v>
      </c>
      <c r="G209" s="16">
        <f>TabelaPrincipal[[#This Row],[VALOR TOTAL]]</f>
        <v>5230</v>
      </c>
      <c r="H209" s="14"/>
    </row>
    <row r="210" spans="1:8" ht="25.5" x14ac:dyDescent="0.25">
      <c r="A210" s="12">
        <f>TabelaPrincipal[[#This Row],[ITEM]]</f>
        <v>469</v>
      </c>
      <c r="B210" s="13" t="str">
        <f>TabelaPrincipal[[#This Row],[DESCRIÇÃO]]</f>
        <v>Butilbrometo de escopolamina + dipirona solução injetável 4 mg/mL + 500 mg/mL</v>
      </c>
      <c r="C210" s="14" t="str">
        <f>TabelaPrincipal[[#This Row],[UND]]</f>
        <v>Ampola</v>
      </c>
      <c r="D210" s="13">
        <f>TabelaPrincipal[[#This Row],[QTD]]</f>
        <v>200</v>
      </c>
      <c r="E210" s="13" t="str">
        <f>TabelaPrincipal[[#This Row],[MARCA]]</f>
        <v>Hipolabor</v>
      </c>
      <c r="F210" s="15">
        <f>TabelaPrincipal[[#This Row],[CUSTO + PERCENTUAL DE ENTRADA]]</f>
        <v>3.83</v>
      </c>
      <c r="G210" s="16">
        <f>TabelaPrincipal[[#This Row],[VALOR TOTAL]]</f>
        <v>766</v>
      </c>
      <c r="H210" s="14"/>
    </row>
    <row r="211" spans="1:8" x14ac:dyDescent="0.25">
      <c r="A211" s="12">
        <f>TabelaPrincipal[[#This Row],[ITEM]]</f>
        <v>470</v>
      </c>
      <c r="B211" s="13" t="str">
        <f>TabelaPrincipal[[#This Row],[DESCRIÇÃO]]</f>
        <v>Valerato de betametasona 1 mg/g creme dermatológico</v>
      </c>
      <c r="C211" s="14" t="str">
        <f>TabelaPrincipal[[#This Row],[UND]]</f>
        <v>Tubo</v>
      </c>
      <c r="D211" s="13">
        <f>TabelaPrincipal[[#This Row],[QTD]]</f>
        <v>200</v>
      </c>
      <c r="E211" s="13" t="str">
        <f>TabelaPrincipal[[#This Row],[MARCA]]</f>
        <v>Brainfarma</v>
      </c>
      <c r="F211" s="15">
        <f>TabelaPrincipal[[#This Row],[CUSTO + PERCENTUAL DE ENTRADA]]</f>
        <v>10.99</v>
      </c>
      <c r="G211" s="16">
        <f>TabelaPrincipal[[#This Row],[VALOR TOTAL]]</f>
        <v>2198</v>
      </c>
      <c r="H211" s="14"/>
    </row>
    <row r="212" spans="1:8" ht="127.5" x14ac:dyDescent="0.25">
      <c r="A212" s="12">
        <f>TabelaPrincipal[[#This Row],[ITEM]]</f>
        <v>483</v>
      </c>
      <c r="B212" s="13" t="str">
        <f>TabelaPrincipal[[#This Row],[DESCRIÇÃO]]</f>
        <v>Reanimador adulto / Ambu. Reanimador manual, material balão: silicone, capacidade balão: cerca 1,5 L, componente 1: máscara plástico rígido com coxim silicone, tipo válvula: válvula unidirecional pop off cerca 60 CMH2, componente 2: reservatório de oxigênio em plástico c, válvula, componentes 3: entrada de oxigênio e extensor pvc, tamanhos: adulto. Descrição Complementar: Confeccionado em silicone transparente, de alta qualidade. Autolavável. Bolsa reservatório de oxigênio com capacidade mínima de 2,5 litros.</v>
      </c>
      <c r="C212" s="14" t="str">
        <f>TabelaPrincipal[[#This Row],[UND]]</f>
        <v>Unidade</v>
      </c>
      <c r="D212" s="13">
        <f>TabelaPrincipal[[#This Row],[QTD]]</f>
        <v>10</v>
      </c>
      <c r="E212" s="13" t="str">
        <f>TabelaPrincipal[[#This Row],[MARCA]]</f>
        <v>Protec</v>
      </c>
      <c r="F212" s="15">
        <f>TabelaPrincipal[[#This Row],[CUSTO + PERCENTUAL DE ENTRADA]]</f>
        <v>280</v>
      </c>
      <c r="G212" s="16">
        <f>TabelaPrincipal[[#This Row],[VALOR TOTAL]]</f>
        <v>2800</v>
      </c>
      <c r="H212" s="14"/>
    </row>
    <row r="213" spans="1:8" ht="153" x14ac:dyDescent="0.25">
      <c r="A213" s="12">
        <f>TabelaPrincipal[[#This Row],[ITEM]]</f>
        <v>491</v>
      </c>
      <c r="B213" s="13" t="str">
        <f>TabelaPrincipal[[#This Row],[DESCRIÇÃO]]</f>
        <v>Compressa gaze, material: tecido 100% algodão, modelo: cor branca, isenta de impurezas, camadas: 8 camadas, quantidade fios: 13 fios/cm2, largura: 7,50 cm, comprimento: 7,50 cm, dobras: 5 dobras, características adicionais: com fio radiopaco, descartável. Descrição Complementar: não estéril, isenta de resíduo e impurezas e produtos tóxicos, deve promover absorção segura, trama regular e sem desprendimento de fios. Embalagem resistente, segura, de fácil abertura, contendo identificação do produto, validade e lote fácil visualização. Registro no Ministério da Saúde
/ANVISA. (Modelo: CREMER 3M QUALIDADE SIMILAR OU SUPERIOR)</v>
      </c>
      <c r="C213" s="14" t="str">
        <f>TabelaPrincipal[[#This Row],[UND]]</f>
        <v>Pacote com 500
unidades</v>
      </c>
      <c r="D213" s="13">
        <f>TabelaPrincipal[[#This Row],[QTD]]</f>
        <v>20</v>
      </c>
      <c r="E213" s="13" t="str">
        <f>TabelaPrincipal[[#This Row],[MARCA]]</f>
        <v>Amed</v>
      </c>
      <c r="F213" s="15">
        <f>TabelaPrincipal[[#This Row],[CUSTO + PERCENTUAL DE ENTRADA]]</f>
        <v>33.6</v>
      </c>
      <c r="G213" s="16">
        <f>TabelaPrincipal[[#This Row],[VALOR TOTAL]]</f>
        <v>672</v>
      </c>
      <c r="H213" s="14"/>
    </row>
    <row r="214" spans="1:8" ht="140.25" x14ac:dyDescent="0.25">
      <c r="A214" s="12">
        <f>TabelaPrincipal[[#This Row],[ITEM]]</f>
        <v>492</v>
      </c>
      <c r="B214" s="13" t="str">
        <f>TabelaPrincipal[[#This Row],[DESCRIÇÃO]]</f>
        <v>Compressa gaze, material: tecido 100% algodão, tipo: 13 fios, cm2, modelo: cor branca, isenta de impurezas, camadas: 8 camadas, largura: 7,50 cm, comprimento: 7,50 cm, dobras: 5 dobras, características adicionais: estéril, descartável.
Descrição Complementar: 7,50 x 7,50cm quando fechadas e 15 x 30cm quando abertas. Estéril.
Embalagem resistente, segura, de fácil abertura, contendo identificação do produto, validade e lote fácil visualização. Registro no Ministério da Saúde
/ANVISA. (Modelo: CREMER 3M QUALIDADE SIMILAR OU SUPERIOR)</v>
      </c>
      <c r="C214" s="14" t="str">
        <f>TabelaPrincipal[[#This Row],[UND]]</f>
        <v>Pacote com 5 unidades</v>
      </c>
      <c r="D214" s="13">
        <f>TabelaPrincipal[[#This Row],[QTD]]</f>
        <v>500</v>
      </c>
      <c r="E214" s="13" t="str">
        <f>TabelaPrincipal[[#This Row],[MARCA]]</f>
        <v>Cremer</v>
      </c>
      <c r="F214" s="15">
        <f>TabelaPrincipal[[#This Row],[CUSTO + PERCENTUAL DE ENTRADA]]</f>
        <v>1.54</v>
      </c>
      <c r="G214" s="16">
        <f>TabelaPrincipal[[#This Row],[VALOR TOTAL]]</f>
        <v>770</v>
      </c>
      <c r="H214" s="14"/>
    </row>
    <row r="215" spans="1:8" ht="25.5" x14ac:dyDescent="0.25">
      <c r="A215" s="12">
        <f>TabelaPrincipal[[#This Row],[ITEM]]</f>
        <v>511</v>
      </c>
      <c r="B215" s="13" t="str">
        <f>TabelaPrincipal[[#This Row],[DESCRIÇÃO]]</f>
        <v>Paracetamol, apresentação: associado com codeína, dosagem: 500 mg + 30 mg</v>
      </c>
      <c r="C215" s="14" t="str">
        <f>TabelaPrincipal[[#This Row],[UND]]</f>
        <v>Comprimido</v>
      </c>
      <c r="D215" s="13">
        <f>TabelaPrincipal[[#This Row],[QTD]]</f>
        <v>2000</v>
      </c>
      <c r="E215" s="13" t="str">
        <f>TabelaPrincipal[[#This Row],[MARCA]]</f>
        <v>Geolab</v>
      </c>
      <c r="F215" s="15">
        <f>TabelaPrincipal[[#This Row],[CUSTO + PERCENTUAL DE ENTRADA]]</f>
        <v>1.06</v>
      </c>
      <c r="G215" s="16">
        <f>TabelaPrincipal[[#This Row],[VALOR TOTAL]]</f>
        <v>2120</v>
      </c>
      <c r="H215" s="14"/>
    </row>
    <row r="216" spans="1:8" x14ac:dyDescent="0.25">
      <c r="A216" s="12">
        <f>TabelaPrincipal[[#This Row],[ITEM]]</f>
        <v>512</v>
      </c>
      <c r="B216" s="13" t="str">
        <f>TabelaPrincipal[[#This Row],[DESCRIÇÃO]]</f>
        <v>Dexclorfeniramina 2 mg comprimido</v>
      </c>
      <c r="C216" s="14" t="str">
        <f>TabelaPrincipal[[#This Row],[UND]]</f>
        <v>Comprimido</v>
      </c>
      <c r="D216" s="13">
        <f>TabelaPrincipal[[#This Row],[QTD]]</f>
        <v>1000</v>
      </c>
      <c r="E216" s="13" t="str">
        <f>TabelaPrincipal[[#This Row],[MARCA]]</f>
        <v>Geolab</v>
      </c>
      <c r="F216" s="15">
        <f>TabelaPrincipal[[#This Row],[CUSTO + PERCENTUAL DE ENTRADA]]</f>
        <v>0.19</v>
      </c>
      <c r="G216" s="16">
        <f>TabelaPrincipal[[#This Row],[VALOR TOTAL]]</f>
        <v>190</v>
      </c>
      <c r="H216" s="14"/>
    </row>
    <row r="217" spans="1:8" x14ac:dyDescent="0.25">
      <c r="A217" s="12">
        <f>TabelaPrincipal[[#This Row],[ITEM]]</f>
        <v>513</v>
      </c>
      <c r="B217" s="13" t="str">
        <f>TabelaPrincipal[[#This Row],[DESCRIÇÃO]]</f>
        <v>Loratadina 10 mg comprimido</v>
      </c>
      <c r="C217" s="14" t="str">
        <f>TabelaPrincipal[[#This Row],[UND]]</f>
        <v>Comprimido</v>
      </c>
      <c r="D217" s="13">
        <f>TabelaPrincipal[[#This Row],[QTD]]</f>
        <v>3000</v>
      </c>
      <c r="E217" s="13" t="str">
        <f>TabelaPrincipal[[#This Row],[MARCA]]</f>
        <v>Vitamedic</v>
      </c>
      <c r="F217" s="15">
        <f>TabelaPrincipal[[#This Row],[CUSTO + PERCENTUAL DE ENTRADA]]</f>
        <v>0.22</v>
      </c>
      <c r="G217" s="16">
        <f>TabelaPrincipal[[#This Row],[VALOR TOTAL]]</f>
        <v>660</v>
      </c>
      <c r="H217" s="14"/>
    </row>
    <row r="218" spans="1:8" x14ac:dyDescent="0.25">
      <c r="A218" s="12">
        <f>TabelaPrincipal[[#This Row],[ITEM]]</f>
        <v>514</v>
      </c>
      <c r="B218" s="13" t="str">
        <f>TabelaPrincipal[[#This Row],[DESCRIÇÃO]]</f>
        <v>Tramadol 50mg/ml solução injetável</v>
      </c>
      <c r="C218" s="14" t="str">
        <f>TabelaPrincipal[[#This Row],[UND]]</f>
        <v>Ampola 2 ml</v>
      </c>
      <c r="D218" s="13">
        <f>TabelaPrincipal[[#This Row],[QTD]]</f>
        <v>200</v>
      </c>
      <c r="E218" s="13" t="str">
        <f>TabelaPrincipal[[#This Row],[MARCA]]</f>
        <v>Teuto</v>
      </c>
      <c r="F218" s="15">
        <f>TabelaPrincipal[[#This Row],[CUSTO + PERCENTUAL DE ENTRADA]]</f>
        <v>2.52</v>
      </c>
      <c r="G218" s="16">
        <f>TabelaPrincipal[[#This Row],[VALOR TOTAL]]</f>
        <v>504</v>
      </c>
      <c r="H218" s="14"/>
    </row>
    <row r="219" spans="1:8" ht="25.5" x14ac:dyDescent="0.25">
      <c r="A219" s="12">
        <f>TabelaPrincipal[[#This Row],[ITEM]]</f>
        <v>515</v>
      </c>
      <c r="B219" s="13" t="str">
        <f>TabelaPrincipal[[#This Row],[DESCRIÇÃO]]</f>
        <v>Ipratrópio brometo, dosagem: 0,25 mg/ml, uso: solução para inalação</v>
      </c>
      <c r="C219" s="14" t="str">
        <f>TabelaPrincipal[[#This Row],[UND]]</f>
        <v>Frasco 20 mL</v>
      </c>
      <c r="D219" s="13">
        <f>TabelaPrincipal[[#This Row],[QTD]]</f>
        <v>50</v>
      </c>
      <c r="E219" s="13" t="str">
        <f>TabelaPrincipal[[#This Row],[MARCA]]</f>
        <v>Germed</v>
      </c>
      <c r="F219" s="15">
        <f>TabelaPrincipal[[#This Row],[CUSTO + PERCENTUAL DE ENTRADA]]</f>
        <v>5.47</v>
      </c>
      <c r="G219" s="16">
        <f>TabelaPrincipal[[#This Row],[VALOR TOTAL]]</f>
        <v>273.5</v>
      </c>
      <c r="H219" s="14"/>
    </row>
    <row r="220" spans="1:8" x14ac:dyDescent="0.25">
      <c r="A220" s="12">
        <f>TabelaPrincipal[[#This Row],[ITEM]]</f>
        <v>517</v>
      </c>
      <c r="B220" s="13" t="str">
        <f>TabelaPrincipal[[#This Row],[DESCRIÇÃO]]</f>
        <v>Midazolam 1 mg/mL solução injetável</v>
      </c>
      <c r="C220" s="14" t="str">
        <f>TabelaPrincipal[[#This Row],[UND]]</f>
        <v>Ampola 5 ml</v>
      </c>
      <c r="D220" s="13">
        <f>TabelaPrincipal[[#This Row],[QTD]]</f>
        <v>100</v>
      </c>
      <c r="E220" s="13" t="str">
        <f>TabelaPrincipal[[#This Row],[MARCA]]</f>
        <v>Hipolabor</v>
      </c>
      <c r="F220" s="15">
        <f>TabelaPrincipal[[#This Row],[CUSTO + PERCENTUAL DE ENTRADA]]</f>
        <v>6.98</v>
      </c>
      <c r="G220" s="16">
        <f>TabelaPrincipal[[#This Row],[VALOR TOTAL]]</f>
        <v>698</v>
      </c>
      <c r="H220" s="14"/>
    </row>
    <row r="221" spans="1:8" x14ac:dyDescent="0.25">
      <c r="A221" s="12">
        <f>TabelaPrincipal[[#This Row],[ITEM]]</f>
        <v>518</v>
      </c>
      <c r="B221" s="13" t="str">
        <f>TabelaPrincipal[[#This Row],[DESCRIÇÃO]]</f>
        <v>Midazolam 5 mg/mL solução injetável</v>
      </c>
      <c r="C221" s="14" t="str">
        <f>TabelaPrincipal[[#This Row],[UND]]</f>
        <v>Ampola 10 ml</v>
      </c>
      <c r="D221" s="13">
        <f>TabelaPrincipal[[#This Row],[QTD]]</f>
        <v>100</v>
      </c>
      <c r="E221" s="13" t="str">
        <f>TabelaPrincipal[[#This Row],[MARCA]]</f>
        <v>Teuto</v>
      </c>
      <c r="F221" s="15">
        <f>TabelaPrincipal[[#This Row],[CUSTO + PERCENTUAL DE ENTRADA]]</f>
        <v>12.25</v>
      </c>
      <c r="G221" s="16">
        <f>TabelaPrincipal[[#This Row],[VALOR TOTAL]]</f>
        <v>1225</v>
      </c>
      <c r="H221" s="14"/>
    </row>
    <row r="222" spans="1:8" ht="25.5" x14ac:dyDescent="0.25">
      <c r="A222" s="12">
        <f>TabelaPrincipal[[#This Row],[ITEM]]</f>
        <v>519</v>
      </c>
      <c r="B222" s="13" t="str">
        <f>TabelaPrincipal[[#This Row],[DESCRIÇÃO]]</f>
        <v>Fentanila, apresentação: sal citrato, dosagem: 0,05 mg/ml, indicação: solução injetável</v>
      </c>
      <c r="C222" s="14" t="str">
        <f>TabelaPrincipal[[#This Row],[UND]]</f>
        <v>Ampola 10 ml</v>
      </c>
      <c r="D222" s="13">
        <f>TabelaPrincipal[[#This Row],[QTD]]</f>
        <v>100</v>
      </c>
      <c r="E222" s="13" t="str">
        <f>TabelaPrincipal[[#This Row],[MARCA]]</f>
        <v>Hipolabor</v>
      </c>
      <c r="F222" s="15">
        <f>TabelaPrincipal[[#This Row],[CUSTO + PERCENTUAL DE ENTRADA]]</f>
        <v>14.38</v>
      </c>
      <c r="G222" s="16">
        <f>TabelaPrincipal[[#This Row],[VALOR TOTAL]]</f>
        <v>1438</v>
      </c>
      <c r="H222" s="14"/>
    </row>
    <row r="223" spans="1:8" x14ac:dyDescent="0.25">
      <c r="A223" s="12">
        <f>TabelaPrincipal[[#This Row],[ITEM]]</f>
        <v>520</v>
      </c>
      <c r="B223" s="13" t="str">
        <f>TabelaPrincipal[[#This Row],[DESCRIÇÃO]]</f>
        <v>Ondansetrona 2 mg/mL solução injetável</v>
      </c>
      <c r="C223" s="14" t="str">
        <f>TabelaPrincipal[[#This Row],[UND]]</f>
        <v>Ampola 2 ml</v>
      </c>
      <c r="D223" s="13">
        <f>TabelaPrincipal[[#This Row],[QTD]]</f>
        <v>300</v>
      </c>
      <c r="E223" s="13" t="str">
        <f>TabelaPrincipal[[#This Row],[MARCA]]</f>
        <v>Hypofarma</v>
      </c>
      <c r="F223" s="15">
        <f>TabelaPrincipal[[#This Row],[CUSTO + PERCENTUAL DE ENTRADA]]</f>
        <v>2.25</v>
      </c>
      <c r="G223" s="16">
        <f>TabelaPrincipal[[#This Row],[VALOR TOTAL]]</f>
        <v>675</v>
      </c>
      <c r="H223" s="14"/>
    </row>
    <row r="224" spans="1:8" x14ac:dyDescent="0.25">
      <c r="A224" s="12">
        <f>TabelaPrincipal[[#This Row],[ITEM]]</f>
        <v>521</v>
      </c>
      <c r="B224" s="13" t="str">
        <f>TabelaPrincipal[[#This Row],[DESCRIÇÃO]]</f>
        <v>Ondansetrona 4 mg comprimido</v>
      </c>
      <c r="C224" s="14" t="str">
        <f>TabelaPrincipal[[#This Row],[UND]]</f>
        <v>Comprimido</v>
      </c>
      <c r="D224" s="13">
        <f>TabelaPrincipal[[#This Row],[QTD]]</f>
        <v>300</v>
      </c>
      <c r="E224" s="13" t="str">
        <f>TabelaPrincipal[[#This Row],[MARCA]]</f>
        <v>Geolab</v>
      </c>
      <c r="F224" s="15">
        <f>TabelaPrincipal[[#This Row],[CUSTO + PERCENTUAL DE ENTRADA]]</f>
        <v>2.2400000000000002</v>
      </c>
      <c r="G224" s="16">
        <f>TabelaPrincipal[[#This Row],[VALOR TOTAL]]</f>
        <v>672.00000000000011</v>
      </c>
      <c r="H224" s="14"/>
    </row>
    <row r="225" spans="1:8" ht="25.5" x14ac:dyDescent="0.25">
      <c r="A225" s="12">
        <f>TabelaPrincipal[[#This Row],[ITEM]]</f>
        <v>522</v>
      </c>
      <c r="B225" s="13" t="str">
        <f>TabelaPrincipal[[#This Row],[DESCRIÇÃO]]</f>
        <v>Neostigmina metilsulfato, dosagem: 0,5 mg/ml, apresentação: solução injetável</v>
      </c>
      <c r="C225" s="14" t="str">
        <f>TabelaPrincipal[[#This Row],[UND]]</f>
        <v>Ampola</v>
      </c>
      <c r="D225" s="13">
        <f>TabelaPrincipal[[#This Row],[QTD]]</f>
        <v>50</v>
      </c>
      <c r="E225" s="13" t="str">
        <f>TabelaPrincipal[[#This Row],[MARCA]]</f>
        <v>União Química</v>
      </c>
      <c r="F225" s="15">
        <f>TabelaPrincipal[[#This Row],[CUSTO + PERCENTUAL DE ENTRADA]]</f>
        <v>2.27</v>
      </c>
      <c r="G225" s="16">
        <f>TabelaPrincipal[[#This Row],[VALOR TOTAL]]</f>
        <v>113.5</v>
      </c>
      <c r="H225" s="14"/>
    </row>
    <row r="226" spans="1:8" x14ac:dyDescent="0.25">
      <c r="A226" s="12">
        <f>TabelaPrincipal[[#This Row],[ITEM]]</f>
        <v>523</v>
      </c>
      <c r="B226" s="13" t="str">
        <f>TabelaPrincipal[[#This Row],[DESCRIÇÃO]]</f>
        <v>Nitroglicerina, dosagem: 5 mg/ml, aplicação: injetável</v>
      </c>
      <c r="C226" s="14" t="str">
        <f>TabelaPrincipal[[#This Row],[UND]]</f>
        <v>Ampola 5 ml</v>
      </c>
      <c r="D226" s="13">
        <f>TabelaPrincipal[[#This Row],[QTD]]</f>
        <v>50</v>
      </c>
      <c r="E226" s="13" t="str">
        <f>TabelaPrincipal[[#This Row],[MARCA]]</f>
        <v>Cristália</v>
      </c>
      <c r="F226" s="15">
        <f>TabelaPrincipal[[#This Row],[CUSTO + PERCENTUAL DE ENTRADA]]</f>
        <v>50.4</v>
      </c>
      <c r="G226" s="16">
        <f>TabelaPrincipal[[#This Row],[VALOR TOTAL]]</f>
        <v>2520</v>
      </c>
      <c r="H226" s="14"/>
    </row>
    <row r="227" spans="1:8" ht="25.5" x14ac:dyDescent="0.25">
      <c r="A227" s="12">
        <f>TabelaPrincipal[[#This Row],[ITEM]]</f>
        <v>524</v>
      </c>
      <c r="B227" s="13" t="str">
        <f>TabelaPrincipal[[#This Row],[DESCRIÇÃO]]</f>
        <v>Nitroprusseto de sódio, concentração: 25 mg/ml, forma farmacêutica: solução injetável</v>
      </c>
      <c r="C227" s="14" t="str">
        <f>TabelaPrincipal[[#This Row],[UND]]</f>
        <v>Ampola 2 ml</v>
      </c>
      <c r="D227" s="13">
        <f>TabelaPrincipal[[#This Row],[QTD]]</f>
        <v>50</v>
      </c>
      <c r="E227" s="13" t="str">
        <f>TabelaPrincipal[[#This Row],[MARCA]]</f>
        <v>Hypofarma</v>
      </c>
      <c r="F227" s="15">
        <f>TabelaPrincipal[[#This Row],[CUSTO + PERCENTUAL DE ENTRADA]]</f>
        <v>15.56</v>
      </c>
      <c r="G227" s="16">
        <f>TabelaPrincipal[[#This Row],[VALOR TOTAL]]</f>
        <v>778</v>
      </c>
      <c r="H227" s="14"/>
    </row>
    <row r="228" spans="1:8" x14ac:dyDescent="0.25">
      <c r="A228" s="12">
        <f>TabelaPrincipal[[#This Row],[ITEM]]</f>
        <v>525</v>
      </c>
      <c r="B228" s="13" t="str">
        <f>TabelaPrincipal[[#This Row],[DESCRIÇÃO]]</f>
        <v>Bromoprida 10 mg comprimido</v>
      </c>
      <c r="C228" s="14" t="str">
        <f>TabelaPrincipal[[#This Row],[UND]]</f>
        <v>Comprimido</v>
      </c>
      <c r="D228" s="13">
        <f>TabelaPrincipal[[#This Row],[QTD]]</f>
        <v>1000</v>
      </c>
      <c r="E228" s="13" t="str">
        <f>TabelaPrincipal[[#This Row],[MARCA]]</f>
        <v>Legrand</v>
      </c>
      <c r="F228" s="15">
        <f>TabelaPrincipal[[#This Row],[CUSTO + PERCENTUAL DE ENTRADA]]</f>
        <v>0.59</v>
      </c>
      <c r="G228" s="16">
        <f>TabelaPrincipal[[#This Row],[VALOR TOTAL]]</f>
        <v>590</v>
      </c>
      <c r="H228" s="14"/>
    </row>
    <row r="229" spans="1:8" x14ac:dyDescent="0.25">
      <c r="A229" s="12">
        <f>TabelaPrincipal[[#This Row],[ITEM]]</f>
        <v>526</v>
      </c>
      <c r="B229" s="13" t="str">
        <f>TabelaPrincipal[[#This Row],[DESCRIÇÃO]]</f>
        <v>Bromoprida 5 mg/mL solução injetável</v>
      </c>
      <c r="C229" s="14" t="str">
        <f>TabelaPrincipal[[#This Row],[UND]]</f>
        <v>Ampola 2 ml</v>
      </c>
      <c r="D229" s="13">
        <f>TabelaPrincipal[[#This Row],[QTD]]</f>
        <v>100</v>
      </c>
      <c r="E229" s="13" t="str">
        <f>TabelaPrincipal[[#This Row],[MARCA]]</f>
        <v>Hipolabor</v>
      </c>
      <c r="F229" s="15">
        <f>TabelaPrincipal[[#This Row],[CUSTO + PERCENTUAL DE ENTRADA]]</f>
        <v>2.1</v>
      </c>
      <c r="G229" s="16">
        <f>TabelaPrincipal[[#This Row],[VALOR TOTAL]]</f>
        <v>210</v>
      </c>
      <c r="H229" s="14"/>
    </row>
    <row r="230" spans="1:8" ht="51" x14ac:dyDescent="0.25">
      <c r="A230" s="12">
        <f>TabelaPrincipal[[#This Row],[ITEM]]</f>
        <v>527</v>
      </c>
      <c r="B230" s="13" t="str">
        <f>TabelaPrincipal[[#This Row],[DESCRIÇÃO]]</f>
        <v>Salicilato de metila, composição: associada à cânfora, mentol, e ess. deterebentina, concentração: 0,0333 ml + 0,0333 g + 0,0083 g + 0,0833 ml,ml, forma farmacêutica: solução tópica, embalagem: frasco aerossol</v>
      </c>
      <c r="C230" s="14" t="str">
        <f>TabelaPrincipal[[#This Row],[UND]]</f>
        <v>Frasco 120 ml</v>
      </c>
      <c r="D230" s="13">
        <f>TabelaPrincipal[[#This Row],[QTD]]</f>
        <v>300</v>
      </c>
      <c r="E230" s="13" t="str">
        <f>TabelaPrincipal[[#This Row],[MARCA]]</f>
        <v>Neo Química</v>
      </c>
      <c r="F230" s="15">
        <f>TabelaPrincipal[[#This Row],[CUSTO + PERCENTUAL DE ENTRADA]]</f>
        <v>20.93</v>
      </c>
      <c r="G230" s="16">
        <f>TabelaPrincipal[[#This Row],[VALOR TOTAL]]</f>
        <v>6279</v>
      </c>
      <c r="H230" s="14"/>
    </row>
    <row r="231" spans="1:8" ht="38.25" x14ac:dyDescent="0.25">
      <c r="A231" s="12">
        <f>TabelaPrincipal[[#This Row],[ITEM]]</f>
        <v>528</v>
      </c>
      <c r="B231" s="13" t="str">
        <f>TabelaPrincipal[[#This Row],[DESCRIÇÃO]]</f>
        <v>Salicilato de metila, composição: associado à ess. terebentina, cânfora e mentol, concentração: 0,02 ml + 0,05 ml + 30 mg + 5 mg,g, forma farmacêutica: pomada</v>
      </c>
      <c r="C231" s="14" t="str">
        <f>TabelaPrincipal[[#This Row],[UND]]</f>
        <v>Bisnaga 30 g</v>
      </c>
      <c r="D231" s="13">
        <f>TabelaPrincipal[[#This Row],[QTD]]</f>
        <v>300</v>
      </c>
      <c r="E231" s="13" t="str">
        <f>TabelaPrincipal[[#This Row],[MARCA]]</f>
        <v>Neo Química</v>
      </c>
      <c r="F231" s="15">
        <f>TabelaPrincipal[[#This Row],[CUSTO + PERCENTUAL DE ENTRADA]]</f>
        <v>9.65</v>
      </c>
      <c r="G231" s="16">
        <f>TabelaPrincipal[[#This Row],[VALOR TOTAL]]</f>
        <v>2895</v>
      </c>
      <c r="H231" s="14"/>
    </row>
    <row r="232" spans="1:8" x14ac:dyDescent="0.25">
      <c r="A232" s="12">
        <f>TabelaPrincipal[[#This Row],[ITEM]]</f>
        <v>529</v>
      </c>
      <c r="B232" s="13" t="str">
        <f>TabelaPrincipal[[#This Row],[DESCRIÇÃO]]</f>
        <v>Nimesulida 100 mg comprimido</v>
      </c>
      <c r="C232" s="14" t="str">
        <f>TabelaPrincipal[[#This Row],[UND]]</f>
        <v>Comprimido</v>
      </c>
      <c r="D232" s="13">
        <f>TabelaPrincipal[[#This Row],[QTD]]</f>
        <v>500</v>
      </c>
      <c r="E232" s="13" t="str">
        <f>TabelaPrincipal[[#This Row],[MARCA]]</f>
        <v>Globo</v>
      </c>
      <c r="F232" s="15">
        <f>TabelaPrincipal[[#This Row],[CUSTO + PERCENTUAL DE ENTRADA]]</f>
        <v>0.23</v>
      </c>
      <c r="G232" s="16">
        <f>TabelaPrincipal[[#This Row],[VALOR TOTAL]]</f>
        <v>115</v>
      </c>
      <c r="H232" s="14"/>
    </row>
    <row r="233" spans="1:8" ht="25.5" x14ac:dyDescent="0.25">
      <c r="A233" s="12">
        <f>TabelaPrincipal[[#This Row],[ITEM]]</f>
        <v>530</v>
      </c>
      <c r="B233" s="13" t="str">
        <f>TabelaPrincipal[[#This Row],[DESCRIÇÃO]]</f>
        <v>Triancinolona, composição: acetonida, concentração: 1 mg/g, forma farmacêutica: pasta oral</v>
      </c>
      <c r="C233" s="14" t="str">
        <f>TabelaPrincipal[[#This Row],[UND]]</f>
        <v>Bisnaga 10 g</v>
      </c>
      <c r="D233" s="13">
        <f>TabelaPrincipal[[#This Row],[QTD]]</f>
        <v>500</v>
      </c>
      <c r="E233" s="13" t="str">
        <f>TabelaPrincipal[[#This Row],[MARCA]]</f>
        <v>Germed</v>
      </c>
      <c r="F233" s="15">
        <f>TabelaPrincipal[[#This Row],[CUSTO + PERCENTUAL DE ENTRADA]]</f>
        <v>7.78</v>
      </c>
      <c r="G233" s="16">
        <f>TabelaPrincipal[[#This Row],[VALOR TOTAL]]</f>
        <v>3890</v>
      </c>
      <c r="H233" s="14"/>
    </row>
    <row r="234" spans="1:8" ht="38.25" x14ac:dyDescent="0.25">
      <c r="A234" s="12">
        <f>TabelaPrincipal[[#This Row],[ITEM]]</f>
        <v>531</v>
      </c>
      <c r="B234" s="13" t="str">
        <f>TabelaPrincipal[[#This Row],[DESCRIÇÃO]]</f>
        <v>Betametasona, composição: dipropionato, associada ao cetoconazol e neomicina, concentração: 0,5 mg,g + 20 mg/g + 1,5 mg/g, forma farmacêutica: creme</v>
      </c>
      <c r="C234" s="14" t="str">
        <f>TabelaPrincipal[[#This Row],[UND]]</f>
        <v>Bisnaga 30 g</v>
      </c>
      <c r="D234" s="13">
        <f>TabelaPrincipal[[#This Row],[QTD]]</f>
        <v>200</v>
      </c>
      <c r="E234" s="13" t="str">
        <f>TabelaPrincipal[[#This Row],[MARCA]]</f>
        <v>Geolab</v>
      </c>
      <c r="F234" s="15">
        <f>TabelaPrincipal[[#This Row],[CUSTO + PERCENTUAL DE ENTRADA]]</f>
        <v>10.71</v>
      </c>
      <c r="G234" s="16">
        <f>TabelaPrincipal[[#This Row],[VALOR TOTAL]]</f>
        <v>2142</v>
      </c>
      <c r="H234" s="14"/>
    </row>
    <row r="235" spans="1:8" x14ac:dyDescent="0.25">
      <c r="A235" s="12">
        <f>TabelaPrincipal[[#This Row],[ITEM]]</f>
        <v>532</v>
      </c>
      <c r="B235" s="13" t="str">
        <f>TabelaPrincipal[[#This Row],[DESCRIÇÃO]]</f>
        <v>Dipirona sódica 500 mg/mL solução oral, frasco 10 mL</v>
      </c>
      <c r="C235" s="14" t="str">
        <f>TabelaPrincipal[[#This Row],[UND]]</f>
        <v>Frasco 10 mL</v>
      </c>
      <c r="D235" s="13">
        <f>TabelaPrincipal[[#This Row],[QTD]]</f>
        <v>100</v>
      </c>
      <c r="E235" s="13" t="str">
        <f>TabelaPrincipal[[#This Row],[MARCA]]</f>
        <v>Medquímica</v>
      </c>
      <c r="F235" s="15">
        <f>TabelaPrincipal[[#This Row],[CUSTO + PERCENTUAL DE ENTRADA]]</f>
        <v>6.05</v>
      </c>
      <c r="G235" s="16">
        <f>TabelaPrincipal[[#This Row],[VALOR TOTAL]]</f>
        <v>605</v>
      </c>
      <c r="H235" s="14"/>
    </row>
    <row r="236" spans="1:8" x14ac:dyDescent="0.25">
      <c r="A236" s="12">
        <f>TabelaPrincipal[[#This Row],[ITEM]]</f>
        <v>533</v>
      </c>
      <c r="B236" s="13" t="str">
        <f>TabelaPrincipal[[#This Row],[DESCRIÇÃO]]</f>
        <v>Omeprazol 40 mg pó para solução injetável</v>
      </c>
      <c r="C236" s="14" t="str">
        <f>TabelaPrincipal[[#This Row],[UND]]</f>
        <v>Frasco- ampola</v>
      </c>
      <c r="D236" s="13">
        <f>TabelaPrincipal[[#This Row],[QTD]]</f>
        <v>100</v>
      </c>
      <c r="E236" s="13" t="str">
        <f>TabelaPrincipal[[#This Row],[MARCA]]</f>
        <v>Blau</v>
      </c>
      <c r="F236" s="15">
        <f>TabelaPrincipal[[#This Row],[CUSTO + PERCENTUAL DE ENTRADA]]</f>
        <v>46.31</v>
      </c>
      <c r="G236" s="16">
        <f>TabelaPrincipal[[#This Row],[VALOR TOTAL]]</f>
        <v>4631</v>
      </c>
      <c r="H236" s="14"/>
    </row>
    <row r="237" spans="1:8" x14ac:dyDescent="0.25">
      <c r="A237" s="12">
        <f>TabelaPrincipal[[#This Row],[ITEM]]</f>
        <v>534</v>
      </c>
      <c r="B237" s="13" t="str">
        <f>TabelaPrincipal[[#This Row],[DESCRIÇÃO]]</f>
        <v>Cetoconazol 20 mg/g (2%) creme</v>
      </c>
      <c r="C237" s="14" t="str">
        <f>TabelaPrincipal[[#This Row],[UND]]</f>
        <v>Bisnaga 30g</v>
      </c>
      <c r="D237" s="13">
        <f>TabelaPrincipal[[#This Row],[QTD]]</f>
        <v>300</v>
      </c>
      <c r="E237" s="13" t="str">
        <f>TabelaPrincipal[[#This Row],[MARCA]]</f>
        <v>Belfar</v>
      </c>
      <c r="F237" s="15">
        <f>TabelaPrincipal[[#This Row],[CUSTO + PERCENTUAL DE ENTRADA]]</f>
        <v>8.1199999999999992</v>
      </c>
      <c r="G237" s="16">
        <f>TabelaPrincipal[[#This Row],[VALOR TOTAL]]</f>
        <v>2435.9999999999995</v>
      </c>
      <c r="H237" s="14"/>
    </row>
    <row r="238" spans="1:8" x14ac:dyDescent="0.25">
      <c r="A238" s="12">
        <f>TabelaPrincipal[[#This Row],[ITEM]]</f>
        <v>535</v>
      </c>
      <c r="B238" s="13" t="str">
        <f>TabelaPrincipal[[#This Row],[DESCRIÇÃO]]</f>
        <v>Colagenase 0,6 UI/g creme</v>
      </c>
      <c r="C238" s="14" t="str">
        <f>TabelaPrincipal[[#This Row],[UND]]</f>
        <v>Bisnaga 30g</v>
      </c>
      <c r="D238" s="13">
        <f>TabelaPrincipal[[#This Row],[QTD]]</f>
        <v>200</v>
      </c>
      <c r="E238" s="13" t="str">
        <f>TabelaPrincipal[[#This Row],[MARCA]]</f>
        <v>Cristália</v>
      </c>
      <c r="F238" s="15">
        <f>TabelaPrincipal[[#This Row],[CUSTO + PERCENTUAL DE ENTRADA]]</f>
        <v>30.8</v>
      </c>
      <c r="G238" s="16">
        <f>TabelaPrincipal[[#This Row],[VALOR TOTAL]]</f>
        <v>6160</v>
      </c>
      <c r="H238" s="14"/>
    </row>
    <row r="239" spans="1:8" x14ac:dyDescent="0.25">
      <c r="A239" s="12">
        <f>TabelaPrincipal[[#This Row],[ITEM]]</f>
        <v>536</v>
      </c>
      <c r="B239" s="13" t="str">
        <f>TabelaPrincipal[[#This Row],[DESCRIÇÃO]]</f>
        <v>Ácido acetilsalicílico, dosagem:100 mg, tipo uso: tamponado</v>
      </c>
      <c r="C239" s="14" t="str">
        <f>TabelaPrincipal[[#This Row],[UND]]</f>
        <v>Comprimido</v>
      </c>
      <c r="D239" s="13">
        <f>TabelaPrincipal[[#This Row],[QTD]]</f>
        <v>720</v>
      </c>
      <c r="E239" s="13" t="str">
        <f>TabelaPrincipal[[#This Row],[MARCA]]</f>
        <v>EMS</v>
      </c>
      <c r="F239" s="15">
        <f>TabelaPrincipal[[#This Row],[CUSTO + PERCENTUAL DE ENTRADA]]</f>
        <v>1.01</v>
      </c>
      <c r="G239" s="16">
        <f>TabelaPrincipal[[#This Row],[VALOR TOTAL]]</f>
        <v>727.2</v>
      </c>
      <c r="H239" s="14"/>
    </row>
    <row r="240" spans="1:8" ht="25.5" x14ac:dyDescent="0.25">
      <c r="A240" s="12">
        <f>TabelaPrincipal[[#This Row],[ITEM]]</f>
        <v>537</v>
      </c>
      <c r="B240" s="13" t="str">
        <f>TabelaPrincipal[[#This Row],[DESCRIÇÃO]]</f>
        <v>Paracetamol, apresentação: associado com tramadol cloridrato, dosagem:325mg + 37,5mg</v>
      </c>
      <c r="C240" s="14" t="str">
        <f>TabelaPrincipal[[#This Row],[UND]]</f>
        <v>Comprimido</v>
      </c>
      <c r="D240" s="13">
        <f>TabelaPrincipal[[#This Row],[QTD]]</f>
        <v>480</v>
      </c>
      <c r="E240" s="13" t="str">
        <f>TabelaPrincipal[[#This Row],[MARCA]]</f>
        <v>Brainfarma</v>
      </c>
      <c r="F240" s="15">
        <f>TabelaPrincipal[[#This Row],[CUSTO + PERCENTUAL DE ENTRADA]]</f>
        <v>6.45</v>
      </c>
      <c r="G240" s="16">
        <f>TabelaPrincipal[[#This Row],[VALOR TOTAL]]</f>
        <v>3096</v>
      </c>
      <c r="H240" s="14"/>
    </row>
    <row r="241" spans="1:8" x14ac:dyDescent="0.25">
      <c r="A241" s="12">
        <f>TabelaPrincipal[[#This Row],[ITEM]]</f>
        <v>538</v>
      </c>
      <c r="B241" s="13" t="str">
        <f>TabelaPrincipal[[#This Row],[DESCRIÇÃO]]</f>
        <v>Zolpidem, dosagem:10 mg</v>
      </c>
      <c r="C241" s="14" t="str">
        <f>TabelaPrincipal[[#This Row],[UND]]</f>
        <v>Comprimido</v>
      </c>
      <c r="D241" s="13">
        <f>TabelaPrincipal[[#This Row],[QTD]]</f>
        <v>360</v>
      </c>
      <c r="E241" s="13" t="str">
        <f>TabelaPrincipal[[#This Row],[MARCA]]</f>
        <v>Geolab</v>
      </c>
      <c r="F241" s="15">
        <f>TabelaPrincipal[[#This Row],[CUSTO + PERCENTUAL DE ENTRADA]]</f>
        <v>1.24</v>
      </c>
      <c r="G241" s="16">
        <f>TabelaPrincipal[[#This Row],[VALOR TOTAL]]</f>
        <v>446.4</v>
      </c>
      <c r="H241" s="14"/>
    </row>
    <row r="242" spans="1:8" ht="51" x14ac:dyDescent="0.25">
      <c r="A242" s="12">
        <f>TabelaPrincipal[[#This Row],[ITEM]]</f>
        <v>547</v>
      </c>
      <c r="B242" s="13" t="str">
        <f>TabelaPrincipal[[#This Row],[DESCRIÇÃO]]</f>
        <v>Oxímetro, tipo dedo, faixa de medição saturação 1: 0 a 100%, faixa de medição pulso 1: cerca de 20 a 250 bpm, autonomia sistema 1: cerca 24h, alimentação: p ilha. Conforme modelo de referência (apêndice a) ou superior.</v>
      </c>
      <c r="C242" s="14" t="str">
        <f>TabelaPrincipal[[#This Row],[UND]]</f>
        <v>Unidade</v>
      </c>
      <c r="D242" s="13">
        <f>TabelaPrincipal[[#This Row],[QTD]]</f>
        <v>10</v>
      </c>
      <c r="E242" s="13" t="str">
        <f>TabelaPrincipal[[#This Row],[MARCA]]</f>
        <v>Gtech</v>
      </c>
      <c r="F242" s="15">
        <f>TabelaPrincipal[[#This Row],[CUSTO + PERCENTUAL DE ENTRADA]]</f>
        <v>157.76</v>
      </c>
      <c r="G242" s="16">
        <f>TabelaPrincipal[[#This Row],[VALOR TOTAL]]</f>
        <v>1577.6</v>
      </c>
      <c r="H242" s="14"/>
    </row>
    <row r="243" spans="1:8" ht="76.5" x14ac:dyDescent="0.25">
      <c r="A243" s="12">
        <f>TabelaPrincipal[[#This Row],[ITEM]]</f>
        <v>548</v>
      </c>
      <c r="B243" s="13" t="str">
        <f>TabelaPrincipal[[#This Row],[DESCRIÇÃO]]</f>
        <v>Sonda trato digestivo, aplicação: oro ou nasogástrica, modelo: levine, material: pvc, calibre: nº 22, tamanho: longa, comprimento: cerca 120 cm, conector: conector padrão c, tampa, componentes: ponta distal fechada, c, orifícios laterais, esterilidade: estéril, descartável, embalagem: embalagem individual</v>
      </c>
      <c r="C243" s="14" t="str">
        <f>TabelaPrincipal[[#This Row],[UND]]</f>
        <v>Unidade</v>
      </c>
      <c r="D243" s="13">
        <f>TabelaPrincipal[[#This Row],[QTD]]</f>
        <v>10</v>
      </c>
      <c r="E243" s="13" t="str">
        <f>TabelaPrincipal[[#This Row],[MARCA]]</f>
        <v>Medsonda</v>
      </c>
      <c r="F243" s="15">
        <f>TabelaPrincipal[[#This Row],[CUSTO + PERCENTUAL DE ENTRADA]]</f>
        <v>2.5299999999999998</v>
      </c>
      <c r="G243" s="16">
        <f>TabelaPrincipal[[#This Row],[VALOR TOTAL]]</f>
        <v>25.299999999999997</v>
      </c>
      <c r="H243" s="14"/>
    </row>
    <row r="244" spans="1:8" ht="76.5" x14ac:dyDescent="0.25">
      <c r="A244" s="12">
        <f>TabelaPrincipal[[#This Row],[ITEM]]</f>
        <v>549</v>
      </c>
      <c r="B244" s="13" t="str">
        <f>TabelaPrincipal[[#This Row],[DESCRIÇÃO]]</f>
        <v>Sonda trato digestivo, aplicação: oro ou nasogástrica, modelo: levine, material: pvc, calibre: nº 20, tamanho: longa, comprimento: cerca 120 cm, conector: conector padrão c, tampa, componentes: ponta distal fechada, c, orifícios laterais, esterilidade: estéril, descartável, embalagem: embalagem individual</v>
      </c>
      <c r="C244" s="14" t="str">
        <f>TabelaPrincipal[[#This Row],[UND]]</f>
        <v>Unidade</v>
      </c>
      <c r="D244" s="13">
        <f>TabelaPrincipal[[#This Row],[QTD]]</f>
        <v>10</v>
      </c>
      <c r="E244" s="13" t="str">
        <f>TabelaPrincipal[[#This Row],[MARCA]]</f>
        <v>Medsonda</v>
      </c>
      <c r="F244" s="15">
        <f>TabelaPrincipal[[#This Row],[CUSTO + PERCENTUAL DE ENTRADA]]</f>
        <v>1.91</v>
      </c>
      <c r="G244" s="16">
        <f>TabelaPrincipal[[#This Row],[VALOR TOTAL]]</f>
        <v>19.099999999999998</v>
      </c>
      <c r="H244" s="14"/>
    </row>
    <row r="245" spans="1:8" ht="51" x14ac:dyDescent="0.25">
      <c r="A245" s="12">
        <f>TabelaPrincipal[[#This Row],[ITEM]]</f>
        <v>550</v>
      </c>
      <c r="B245" s="13" t="str">
        <f>TabelaPrincipal[[#This Row],[DESCRIÇÃO]]</f>
        <v>calibre: nº 18, tamanho: longa, comprimento: cerca 120 cm, conector: conector padrão c, tampa, componentes: ponta distal fechada, c, orifícios laterais, esterilidade: estéril, descartável, embalagem: embalagem individual</v>
      </c>
      <c r="C245" s="14" t="str">
        <f>TabelaPrincipal[[#This Row],[UND]]</f>
        <v>Unidade</v>
      </c>
      <c r="D245" s="13">
        <f>TabelaPrincipal[[#This Row],[QTD]]</f>
        <v>10</v>
      </c>
      <c r="E245" s="13" t="str">
        <f>TabelaPrincipal[[#This Row],[MARCA]]</f>
        <v>Medsonda</v>
      </c>
      <c r="F245" s="15">
        <f>TabelaPrincipal[[#This Row],[CUSTO + PERCENTUAL DE ENTRADA]]</f>
        <v>2.0299999999999998</v>
      </c>
      <c r="G245" s="16">
        <f>TabelaPrincipal[[#This Row],[VALOR TOTAL]]</f>
        <v>20.299999999999997</v>
      </c>
      <c r="H245" s="14"/>
    </row>
    <row r="246" spans="1:8" ht="76.5" x14ac:dyDescent="0.25">
      <c r="A246" s="12">
        <f>TabelaPrincipal[[#This Row],[ITEM]]</f>
        <v>551</v>
      </c>
      <c r="B246" s="13" t="str">
        <f>TabelaPrincipal[[#This Row],[DESCRIÇÃO]]</f>
        <v>Sonda trato digestivo, aplicação: oro ou nasogástrica, modelo: levine, material: pvc, calibre: nº 16, tamanho: longa, comprimento: cerca 120 cm, conector: conector padrão c, tampa, componentes: ponta distal fechada, c, orifícios laterais, esterilidade: estéril, descartável, embalagem: embalagem individual</v>
      </c>
      <c r="C246" s="14" t="str">
        <f>TabelaPrincipal[[#This Row],[UND]]</f>
        <v>Unidade</v>
      </c>
      <c r="D246" s="13">
        <f>TabelaPrincipal[[#This Row],[QTD]]</f>
        <v>10</v>
      </c>
      <c r="E246" s="13" t="str">
        <f>TabelaPrincipal[[#This Row],[MARCA]]</f>
        <v>Medsonda</v>
      </c>
      <c r="F246" s="15">
        <f>TabelaPrincipal[[#This Row],[CUSTO + PERCENTUAL DE ENTRADA]]</f>
        <v>2.7</v>
      </c>
      <c r="G246" s="16">
        <f>TabelaPrincipal[[#This Row],[VALOR TOTAL]]</f>
        <v>27</v>
      </c>
      <c r="H246" s="14"/>
    </row>
    <row r="247" spans="1:8" ht="76.5" x14ac:dyDescent="0.25">
      <c r="A247" s="12">
        <f>TabelaPrincipal[[#This Row],[ITEM]]</f>
        <v>552</v>
      </c>
      <c r="B247" s="13" t="str">
        <f>TabelaPrincipal[[#This Row],[DESCRIÇÃO]]</f>
        <v>Sonda trato digestivo, aplicação: oro ou nasogástrica, modelo: levine, material: pvc, calibre: nº 14, tamanho: longa, comprimento: cerca 120 cm, conector: conector padrão c, tampa, componentes: ponta distal fechada, c, orifícios laterais, esterilidade: estéril, descartável, embalagem: embalagem individual</v>
      </c>
      <c r="C247" s="14" t="str">
        <f>TabelaPrincipal[[#This Row],[UND]]</f>
        <v>Unidade</v>
      </c>
      <c r="D247" s="13">
        <f>TabelaPrincipal[[#This Row],[QTD]]</f>
        <v>10</v>
      </c>
      <c r="E247" s="13" t="str">
        <f>TabelaPrincipal[[#This Row],[MARCA]]</f>
        <v>Medsonda</v>
      </c>
      <c r="F247" s="15">
        <f>TabelaPrincipal[[#This Row],[CUSTO + PERCENTUAL DE ENTRADA]]</f>
        <v>2.99</v>
      </c>
      <c r="G247" s="16">
        <f>TabelaPrincipal[[#This Row],[VALOR TOTAL]]</f>
        <v>29.900000000000002</v>
      </c>
      <c r="H247" s="14"/>
    </row>
    <row r="248" spans="1:8" ht="76.5" x14ac:dyDescent="0.25">
      <c r="A248" s="12">
        <f>TabelaPrincipal[[#This Row],[ITEM]]</f>
        <v>553</v>
      </c>
      <c r="B248" s="13" t="str">
        <f>TabelaPrincipal[[#This Row],[DESCRIÇÃO]]</f>
        <v>Sonda trato digestivo, aplicação: oro ou nasogástrica, modelo: levine, material: silicone, calibre: nº 12, tamanho: longa, comprimento: cerca 120 cm, conector: conector padrão c, tampa, componentes: ponta distal fechada, c, orifícios laterais, esterilidade: estéril, descartável, embalagem: embalagem individual</v>
      </c>
      <c r="C248" s="14" t="str">
        <f>TabelaPrincipal[[#This Row],[UND]]</f>
        <v>Unidade</v>
      </c>
      <c r="D248" s="13">
        <f>TabelaPrincipal[[#This Row],[QTD]]</f>
        <v>10</v>
      </c>
      <c r="E248" s="13" t="str">
        <f>TabelaPrincipal[[#This Row],[MARCA]]</f>
        <v>Medsonda</v>
      </c>
      <c r="F248" s="15">
        <f>TabelaPrincipal[[#This Row],[CUSTO + PERCENTUAL DE ENTRADA]]</f>
        <v>1.92</v>
      </c>
      <c r="G248" s="16">
        <f>TabelaPrincipal[[#This Row],[VALOR TOTAL]]</f>
        <v>19.2</v>
      </c>
      <c r="H248" s="14"/>
    </row>
    <row r="249" spans="1:8" ht="76.5" x14ac:dyDescent="0.25">
      <c r="A249" s="12">
        <f>TabelaPrincipal[[#This Row],[ITEM]]</f>
        <v>554</v>
      </c>
      <c r="B249" s="13" t="str">
        <f>TabelaPrincipal[[#This Row],[DESCRIÇÃO]]</f>
        <v>Sonda trato digestivo, aplicação: oro ou nasogástrica, modelo: levine, material: silicone, calibre: nº 10, tamanho: longa, comprimento: cerca 120 cm, conector: conector padrão c, tampa, componentes: ponta distal fechada, c, orifícios laterais, esterilidade: estéril, descartável, embalagem: embalagem individual</v>
      </c>
      <c r="C249" s="14" t="str">
        <f>TabelaPrincipal[[#This Row],[UND]]</f>
        <v>Unidade</v>
      </c>
      <c r="D249" s="13">
        <f>TabelaPrincipal[[#This Row],[QTD]]</f>
        <v>10</v>
      </c>
      <c r="E249" s="13" t="str">
        <f>TabelaPrincipal[[#This Row],[MARCA]]</f>
        <v>Medsonda</v>
      </c>
      <c r="F249" s="15">
        <f>TabelaPrincipal[[#This Row],[CUSTO + PERCENTUAL DE ENTRADA]]</f>
        <v>1.87</v>
      </c>
      <c r="G249" s="16">
        <f>TabelaPrincipal[[#This Row],[VALOR TOTAL]]</f>
        <v>18.700000000000003</v>
      </c>
      <c r="H249" s="14"/>
    </row>
    <row r="250" spans="1:8" ht="76.5" x14ac:dyDescent="0.25">
      <c r="A250" s="12">
        <f>TabelaPrincipal[[#This Row],[ITEM]]</f>
        <v>555</v>
      </c>
      <c r="B250" s="13" t="str">
        <f>TabelaPrincipal[[#This Row],[DESCRIÇÃO]]</f>
        <v>Sonda trato digestivo, aplicação: oro ou nasogástrica, modelo: levine, material: silicone, calibre: nº 8, tamanho: longa, comprimento: cerca 100 cm, conector: conector padrão c, tampa, componentes: ponta distal fechada, c, orifícios laterais, esterilidade: estéril, descartável, embalagem: embalagem individual</v>
      </c>
      <c r="C250" s="14" t="str">
        <f>TabelaPrincipal[[#This Row],[UND]]</f>
        <v>Unidade</v>
      </c>
      <c r="D250" s="13">
        <f>TabelaPrincipal[[#This Row],[QTD]]</f>
        <v>10</v>
      </c>
      <c r="E250" s="13" t="str">
        <f>TabelaPrincipal[[#This Row],[MARCA]]</f>
        <v>Medsonda</v>
      </c>
      <c r="F250" s="15">
        <f>TabelaPrincipal[[#This Row],[CUSTO + PERCENTUAL DE ENTRADA]]</f>
        <v>2.17</v>
      </c>
      <c r="G250" s="16">
        <f>TabelaPrincipal[[#This Row],[VALOR TOTAL]]</f>
        <v>21.7</v>
      </c>
      <c r="H250" s="14"/>
    </row>
    <row r="251" spans="1:8" ht="38.25" x14ac:dyDescent="0.25">
      <c r="A251" s="12">
        <f>TabelaPrincipal[[#This Row],[ITEM]]</f>
        <v>556</v>
      </c>
      <c r="B251" s="13" t="str">
        <f>TabelaPrincipal[[#This Row],[DESCRIÇÃO]]</f>
        <v>adicionais: ponta atraumática, orifícios distais lateralizados, tipo embalagem: estéril, embalagem individual. Espessura: nº 16</v>
      </c>
      <c r="C251" s="14" t="str">
        <f>TabelaPrincipal[[#This Row],[UND]]</f>
        <v>Unidade</v>
      </c>
      <c r="D251" s="13">
        <f>TabelaPrincipal[[#This Row],[QTD]]</f>
        <v>10</v>
      </c>
      <c r="E251" s="13" t="str">
        <f>TabelaPrincipal[[#This Row],[MARCA]]</f>
        <v>Biosani</v>
      </c>
      <c r="F251" s="15">
        <f>TabelaPrincipal[[#This Row],[CUSTO + PERCENTUAL DE ENTRADA]]</f>
        <v>4.41</v>
      </c>
      <c r="G251" s="16">
        <f>TabelaPrincipal[[#This Row],[VALOR TOTAL]]</f>
        <v>44.1</v>
      </c>
      <c r="H251" s="14"/>
    </row>
    <row r="252" spans="1:8" ht="51" x14ac:dyDescent="0.25">
      <c r="A252" s="12">
        <f>TabelaPrincipal[[#This Row],[ITEM]]</f>
        <v>557</v>
      </c>
      <c r="B252" s="13" t="str">
        <f>TabelaPrincipal[[#This Row],[DESCRIÇÃO]]</f>
        <v>Cateter aspiração traqueal, material: pvc, atóxico, flexível, tipo uso: descartável, características adicionais: ponta atraumática, orifícios distais lateralizados, tipo embalagem: estéril, embalagem individual. Espessura: nº 14</v>
      </c>
      <c r="C252" s="14" t="str">
        <f>TabelaPrincipal[[#This Row],[UND]]</f>
        <v>Unidade</v>
      </c>
      <c r="D252" s="13">
        <f>TabelaPrincipal[[#This Row],[QTD]]</f>
        <v>10</v>
      </c>
      <c r="E252" s="13" t="str">
        <f>TabelaPrincipal[[#This Row],[MARCA]]</f>
        <v>Biosani</v>
      </c>
      <c r="F252" s="15">
        <f>TabelaPrincipal[[#This Row],[CUSTO + PERCENTUAL DE ENTRADA]]</f>
        <v>1.72</v>
      </c>
      <c r="G252" s="16">
        <f>TabelaPrincipal[[#This Row],[VALOR TOTAL]]</f>
        <v>17.2</v>
      </c>
      <c r="H252" s="14"/>
    </row>
    <row r="253" spans="1:8" ht="51" x14ac:dyDescent="0.25">
      <c r="A253" s="12">
        <f>TabelaPrincipal[[#This Row],[ITEM]]</f>
        <v>558</v>
      </c>
      <c r="B253" s="13" t="str">
        <f>TabelaPrincipal[[#This Row],[DESCRIÇÃO]]</f>
        <v>Cateter aspiração traqueal, material: pvc, atóxico, flexível, tipo uso: descartável, características adicionais: ponta atraumática, orifícios distais lateralizados, tipo embalagem: estéril, embalagem individual. Espessura: nº 12</v>
      </c>
      <c r="C253" s="14" t="str">
        <f>TabelaPrincipal[[#This Row],[UND]]</f>
        <v>Unidade</v>
      </c>
      <c r="D253" s="13">
        <f>TabelaPrincipal[[#This Row],[QTD]]</f>
        <v>10</v>
      </c>
      <c r="E253" s="13" t="str">
        <f>TabelaPrincipal[[#This Row],[MARCA]]</f>
        <v>Biosani</v>
      </c>
      <c r="F253" s="15">
        <f>TabelaPrincipal[[#This Row],[CUSTO + PERCENTUAL DE ENTRADA]]</f>
        <v>1.61</v>
      </c>
      <c r="G253" s="16">
        <f>TabelaPrincipal[[#This Row],[VALOR TOTAL]]</f>
        <v>16.100000000000001</v>
      </c>
      <c r="H253" s="14"/>
    </row>
    <row r="254" spans="1:8" ht="51" x14ac:dyDescent="0.25">
      <c r="A254" s="12">
        <f>TabelaPrincipal[[#This Row],[ITEM]]</f>
        <v>559</v>
      </c>
      <c r="B254" s="13" t="str">
        <f>TabelaPrincipal[[#This Row],[DESCRIÇÃO]]</f>
        <v>Cateter aspiração traqueal, material: pvc, atóxico, flexível, tipo uso: descartável, características adicionais: ponta atraumática, orifícios distais lateralizados, tipo embalagem: estéril, embalagem individual. Espessura: nº 8</v>
      </c>
      <c r="C254" s="14" t="str">
        <f>TabelaPrincipal[[#This Row],[UND]]</f>
        <v>Unidade</v>
      </c>
      <c r="D254" s="13">
        <f>TabelaPrincipal[[#This Row],[QTD]]</f>
        <v>10</v>
      </c>
      <c r="E254" s="13" t="str">
        <f>TabelaPrincipal[[#This Row],[MARCA]]</f>
        <v>Biosani</v>
      </c>
      <c r="F254" s="15">
        <f>TabelaPrincipal[[#This Row],[CUSTO + PERCENTUAL DE ENTRADA]]</f>
        <v>1.69</v>
      </c>
      <c r="G254" s="16">
        <f>TabelaPrincipal[[#This Row],[VALOR TOTAL]]</f>
        <v>16.899999999999999</v>
      </c>
      <c r="H254" s="14"/>
    </row>
    <row r="255" spans="1:8" ht="51" x14ac:dyDescent="0.25">
      <c r="A255" s="12">
        <f>TabelaPrincipal[[#This Row],[ITEM]]</f>
        <v>562</v>
      </c>
      <c r="B255" s="13" t="str">
        <f>TabelaPrincipal[[#This Row],[DESCRIÇÃO]]</f>
        <v>Máscara cirúrgica, material: SMS, camadas: 3 camadas c, dobras, fixação: tiras elásticas, adicional: c, clipe nasal, componentes: filtração de partículas mínima de 95%, esterilidade: uso único</v>
      </c>
      <c r="C255" s="14" t="str">
        <f>TabelaPrincipal[[#This Row],[UND]]</f>
        <v>Unidade</v>
      </c>
      <c r="D255" s="13">
        <f>TabelaPrincipal[[#This Row],[QTD]]</f>
        <v>1000</v>
      </c>
      <c r="E255" s="13" t="str">
        <f>TabelaPrincipal[[#This Row],[MARCA]]</f>
        <v>Byd</v>
      </c>
      <c r="F255" s="15">
        <f>TabelaPrincipal[[#This Row],[CUSTO + PERCENTUAL DE ENTRADA]]</f>
        <v>3.28</v>
      </c>
      <c r="G255" s="16">
        <f>TabelaPrincipal[[#This Row],[VALOR TOTAL]]</f>
        <v>3280</v>
      </c>
      <c r="H255" s="14"/>
    </row>
    <row r="256" spans="1:8" ht="51" x14ac:dyDescent="0.25">
      <c r="A256" s="12">
        <f>TabelaPrincipal[[#This Row],[ITEM]]</f>
        <v>563</v>
      </c>
      <c r="B256" s="13" t="str">
        <f>TabelaPrincipal[[#This Row],[DESCRIÇÃO]]</f>
        <v>Máscara cirúrgica, tipo: não tecido,3 camadas, pregas horizontais, atóxica, tipo fixação: com elástico, características adicionais: clip nasal embutido, hipoalergênica, tipo uso: descartável</v>
      </c>
      <c r="C256" s="14" t="str">
        <f>TabelaPrincipal[[#This Row],[UND]]</f>
        <v>Unidade</v>
      </c>
      <c r="D256" s="13">
        <f>TabelaPrincipal[[#This Row],[QTD]]</f>
        <v>1000</v>
      </c>
      <c r="E256" s="13" t="str">
        <f>TabelaPrincipal[[#This Row],[MARCA]]</f>
        <v>Protec</v>
      </c>
      <c r="F256" s="15">
        <f>TabelaPrincipal[[#This Row],[CUSTO + PERCENTUAL DE ENTRADA]]</f>
        <v>4.9800000000000004</v>
      </c>
      <c r="G256" s="16">
        <f>TabelaPrincipal[[#This Row],[VALOR TOTAL]]</f>
        <v>4980</v>
      </c>
      <c r="H256" s="14"/>
    </row>
    <row r="257" spans="1:8" ht="51" x14ac:dyDescent="0.25">
      <c r="A257" s="12">
        <f>TabelaPrincipal[[#This Row],[ITEM]]</f>
        <v>566</v>
      </c>
      <c r="B257" s="13" t="str">
        <f>TabelaPrincipal[[#This Row],[DESCRIÇÃO]]</f>
        <v>Avental hospitalar, tipo: capote cirúrgico, material: polipropileno, tamanho: g, gramatura cerca de 50 g/cm2, cor: branco, característica adicional: manga longa, esterilidade: estéril, uso único.</v>
      </c>
      <c r="C257" s="14" t="str">
        <f>TabelaPrincipal[[#This Row],[UND]]</f>
        <v>Unidade</v>
      </c>
      <c r="D257" s="13">
        <f>TabelaPrincipal[[#This Row],[QTD]]</f>
        <v>100</v>
      </c>
      <c r="E257" s="13" t="str">
        <f>TabelaPrincipal[[#This Row],[MARCA]]</f>
        <v>Medix</v>
      </c>
      <c r="F257" s="15">
        <f>TabelaPrincipal[[#This Row],[CUSTO + PERCENTUAL DE ENTRADA]]</f>
        <v>17.84</v>
      </c>
      <c r="G257" s="16">
        <f>TabelaPrincipal[[#This Row],[VALOR TOTAL]]</f>
        <v>1784</v>
      </c>
      <c r="H257" s="14"/>
    </row>
    <row r="258" spans="1:8" ht="102" x14ac:dyDescent="0.25">
      <c r="A258" s="12">
        <f>TabelaPrincipal[[#This Row],[ITEM]]</f>
        <v>571</v>
      </c>
      <c r="B258" s="13" t="str">
        <f>TabelaPrincipal[[#This Row],[DESCRIÇÃO]]</f>
        <v>máximos e mínimos da temperatura e da umidade. Visor: triplo, de cristal líquido (LCD) para visualização simultânea da temperatura interna, externa e umidade. Funções: temperatura interna e externa (registro do máximo e do mínimo) e umidade relativa (registro do máximo e mínimo). Temperatura de operação: de 0ºC A 50ºC. Alimentação:pilhas AAA DE 1,5V. peso: 150G (incluindo as pilhas). Alcance do sensor externo: 2 metros.</v>
      </c>
      <c r="C258" s="14" t="str">
        <f>TabelaPrincipal[[#This Row],[UND]]</f>
        <v>Unidade</v>
      </c>
      <c r="D258" s="13">
        <f>TabelaPrincipal[[#This Row],[QTD]]</f>
        <v>3</v>
      </c>
      <c r="E258" s="13" t="str">
        <f>TabelaPrincipal[[#This Row],[MARCA]]</f>
        <v>Incoterm</v>
      </c>
      <c r="F258" s="15">
        <f>TabelaPrincipal[[#This Row],[CUSTO + PERCENTUAL DE ENTRADA]]</f>
        <v>188.55</v>
      </c>
      <c r="G258" s="16">
        <f>TabelaPrincipal[[#This Row],[VALOR TOTAL]]</f>
        <v>565.65000000000009</v>
      </c>
      <c r="H258" s="14"/>
    </row>
    <row r="259" spans="1:8" x14ac:dyDescent="0.25">
      <c r="A259" s="18" t="s">
        <v>7</v>
      </c>
      <c r="B259" s="17"/>
      <c r="C259" s="17"/>
      <c r="D259" s="17"/>
      <c r="E259" s="17"/>
      <c r="F259" s="17"/>
      <c r="G259" s="19">
        <f>SUBTOTAL(109,TabelaProposta[VALOR TOTAL])</f>
        <v>1082221.57</v>
      </c>
      <c r="H259" s="17" t="str">
        <f>Extenso_Valor(TabelaProposta[[#Totals],[VALOR TOTAL]])</f>
        <v>um milhão, oitenta e dois mil, duzentos e vinte e um reais e cinquenta e sete centavos</v>
      </c>
    </row>
  </sheetData>
  <pageMargins left="0.511811024" right="0.511811024" top="0.78740157499999996" bottom="0.78740157499999996" header="0.31496062000000002" footer="0.31496062000000002"/>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8C1D6-CA8D-428D-B3B3-3B5D549A17A0}">
  <dimension ref="A1:F645"/>
  <sheetViews>
    <sheetView zoomScale="85" zoomScaleNormal="85" workbookViewId="0">
      <selection activeCell="E2" sqref="E2"/>
    </sheetView>
  </sheetViews>
  <sheetFormatPr defaultRowHeight="12.75" x14ac:dyDescent="0.25"/>
  <cols>
    <col min="1" max="1" width="5.28515625" style="26" customWidth="1"/>
    <col min="2" max="2" width="45.5703125" style="26" customWidth="1"/>
    <col min="3" max="3" width="21.5703125" style="26" customWidth="1"/>
    <col min="4" max="4" width="7.140625" style="26" bestFit="1" customWidth="1"/>
    <col min="5" max="6" width="20.85546875" style="27" customWidth="1"/>
    <col min="7" max="16384" width="9.140625" style="27"/>
  </cols>
  <sheetData>
    <row r="1" spans="1:6" s="31" customFormat="1" ht="24" x14ac:dyDescent="0.25">
      <c r="A1" s="28" t="s">
        <v>17</v>
      </c>
      <c r="B1" s="30" t="s">
        <v>5</v>
      </c>
      <c r="C1" s="28" t="s">
        <v>18</v>
      </c>
      <c r="D1" s="30" t="s">
        <v>19</v>
      </c>
      <c r="E1" s="30" t="s">
        <v>798</v>
      </c>
      <c r="F1" s="30" t="s">
        <v>799</v>
      </c>
    </row>
    <row r="2" spans="1:6" x14ac:dyDescent="0.25">
      <c r="A2" s="26">
        <v>1</v>
      </c>
      <c r="B2" s="26" t="s">
        <v>20</v>
      </c>
      <c r="C2" s="26" t="s">
        <v>21</v>
      </c>
      <c r="D2" s="26">
        <v>100</v>
      </c>
      <c r="E2" s="32">
        <v>26.85</v>
      </c>
      <c r="F2" s="32">
        <v>2685</v>
      </c>
    </row>
    <row r="3" spans="1:6" x14ac:dyDescent="0.25">
      <c r="A3" s="26">
        <v>2</v>
      </c>
      <c r="B3" s="26" t="s">
        <v>22</v>
      </c>
      <c r="C3" s="26" t="s">
        <v>23</v>
      </c>
      <c r="D3" s="26">
        <v>300</v>
      </c>
      <c r="E3" s="32">
        <v>44.02</v>
      </c>
      <c r="F3" s="32">
        <v>13206</v>
      </c>
    </row>
    <row r="4" spans="1:6" x14ac:dyDescent="0.25">
      <c r="A4" s="26">
        <v>3</v>
      </c>
      <c r="B4" s="26" t="s">
        <v>24</v>
      </c>
      <c r="C4" s="26" t="s">
        <v>25</v>
      </c>
      <c r="D4" s="26">
        <v>100</v>
      </c>
      <c r="E4" s="32">
        <v>23.83</v>
      </c>
      <c r="F4" s="32">
        <v>2383</v>
      </c>
    </row>
    <row r="5" spans="1:6" x14ac:dyDescent="0.25">
      <c r="A5" s="26">
        <v>4</v>
      </c>
      <c r="B5" s="26" t="s">
        <v>26</v>
      </c>
      <c r="C5" s="26" t="s">
        <v>27</v>
      </c>
      <c r="D5" s="26">
        <v>1000</v>
      </c>
      <c r="E5" s="32">
        <v>60.82</v>
      </c>
      <c r="F5" s="32">
        <v>60820</v>
      </c>
    </row>
    <row r="6" spans="1:6" x14ac:dyDescent="0.25">
      <c r="A6" s="26">
        <v>5</v>
      </c>
      <c r="B6" s="26" t="s">
        <v>28</v>
      </c>
      <c r="C6" s="26" t="s">
        <v>29</v>
      </c>
      <c r="D6" s="26">
        <v>1000</v>
      </c>
      <c r="E6" s="32">
        <v>42.53</v>
      </c>
      <c r="F6" s="32">
        <v>42530</v>
      </c>
    </row>
    <row r="7" spans="1:6" x14ac:dyDescent="0.25">
      <c r="A7" s="26">
        <v>6</v>
      </c>
      <c r="B7" s="26" t="s">
        <v>30</v>
      </c>
      <c r="C7" s="26" t="s">
        <v>31</v>
      </c>
      <c r="D7" s="26">
        <v>1000</v>
      </c>
      <c r="E7" s="32">
        <v>0.95</v>
      </c>
      <c r="F7" s="32">
        <v>950</v>
      </c>
    </row>
    <row r="8" spans="1:6" x14ac:dyDescent="0.25">
      <c r="A8" s="26">
        <v>7</v>
      </c>
      <c r="B8" s="26" t="s">
        <v>32</v>
      </c>
      <c r="C8" s="26" t="s">
        <v>33</v>
      </c>
      <c r="D8" s="26">
        <v>1600</v>
      </c>
      <c r="E8" s="32">
        <v>18.53</v>
      </c>
      <c r="F8" s="32">
        <v>29648</v>
      </c>
    </row>
    <row r="9" spans="1:6" x14ac:dyDescent="0.25">
      <c r="A9" s="26">
        <v>8</v>
      </c>
      <c r="B9" s="26" t="s">
        <v>34</v>
      </c>
      <c r="C9" s="26" t="s">
        <v>35</v>
      </c>
      <c r="D9" s="26">
        <v>1280</v>
      </c>
      <c r="E9" s="32">
        <v>1.89</v>
      </c>
      <c r="F9" s="32">
        <v>2419.1999999999998</v>
      </c>
    </row>
    <row r="10" spans="1:6" x14ac:dyDescent="0.25">
      <c r="A10" s="26">
        <v>9</v>
      </c>
      <c r="B10" s="26" t="s">
        <v>36</v>
      </c>
      <c r="C10" s="26" t="s">
        <v>31</v>
      </c>
      <c r="D10" s="26">
        <v>500</v>
      </c>
      <c r="E10" s="32">
        <v>0.93</v>
      </c>
      <c r="F10" s="32">
        <v>465</v>
      </c>
    </row>
    <row r="11" spans="1:6" x14ac:dyDescent="0.25">
      <c r="A11" s="26">
        <v>10</v>
      </c>
      <c r="B11" s="26" t="s">
        <v>37</v>
      </c>
      <c r="C11" s="26" t="s">
        <v>38</v>
      </c>
      <c r="D11" s="26">
        <v>300</v>
      </c>
      <c r="E11" s="32">
        <v>3.76</v>
      </c>
      <c r="F11" s="32">
        <v>1128</v>
      </c>
    </row>
    <row r="12" spans="1:6" x14ac:dyDescent="0.25">
      <c r="A12" s="26">
        <v>11</v>
      </c>
      <c r="B12" s="26" t="s">
        <v>39</v>
      </c>
      <c r="C12" s="26" t="s">
        <v>31</v>
      </c>
      <c r="D12" s="26">
        <v>2000</v>
      </c>
      <c r="E12" s="32">
        <v>1.1100000000000001</v>
      </c>
      <c r="F12" s="32">
        <v>2220</v>
      </c>
    </row>
    <row r="13" spans="1:6" x14ac:dyDescent="0.25">
      <c r="A13" s="26">
        <v>12</v>
      </c>
      <c r="B13" s="26" t="s">
        <v>40</v>
      </c>
      <c r="C13" s="26" t="s">
        <v>41</v>
      </c>
      <c r="D13" s="26">
        <v>150</v>
      </c>
      <c r="E13" s="32">
        <v>6.42</v>
      </c>
      <c r="F13" s="32">
        <v>963</v>
      </c>
    </row>
    <row r="14" spans="1:6" x14ac:dyDescent="0.25">
      <c r="A14" s="26">
        <v>13</v>
      </c>
      <c r="B14" s="26" t="s">
        <v>42</v>
      </c>
      <c r="C14" s="26" t="s">
        <v>41</v>
      </c>
      <c r="D14" s="26">
        <v>200</v>
      </c>
      <c r="E14" s="32">
        <v>14.47</v>
      </c>
      <c r="F14" s="32">
        <v>2894</v>
      </c>
    </row>
    <row r="15" spans="1:6" x14ac:dyDescent="0.25">
      <c r="A15" s="26">
        <v>14</v>
      </c>
      <c r="B15" s="26" t="s">
        <v>43</v>
      </c>
      <c r="C15" s="26" t="s">
        <v>41</v>
      </c>
      <c r="D15" s="26">
        <v>250</v>
      </c>
      <c r="E15" s="32">
        <v>4.18</v>
      </c>
      <c r="F15" s="32">
        <v>1045</v>
      </c>
    </row>
    <row r="16" spans="1:6" x14ac:dyDescent="0.25">
      <c r="A16" s="26">
        <v>15</v>
      </c>
      <c r="B16" s="26" t="s">
        <v>44</v>
      </c>
      <c r="C16" s="26" t="s">
        <v>31</v>
      </c>
      <c r="D16" s="26">
        <v>1500</v>
      </c>
      <c r="E16" s="32">
        <v>3.15</v>
      </c>
      <c r="F16" s="32">
        <v>4725</v>
      </c>
    </row>
    <row r="17" spans="1:6" x14ac:dyDescent="0.25">
      <c r="A17" s="26">
        <v>16</v>
      </c>
      <c r="B17" s="26" t="s">
        <v>45</v>
      </c>
      <c r="C17" s="26" t="s">
        <v>46</v>
      </c>
      <c r="D17" s="26">
        <v>600</v>
      </c>
      <c r="E17" s="32">
        <v>1.39</v>
      </c>
      <c r="F17" s="32">
        <v>834</v>
      </c>
    </row>
    <row r="18" spans="1:6" x14ac:dyDescent="0.25">
      <c r="A18" s="26">
        <v>17</v>
      </c>
      <c r="B18" s="26" t="s">
        <v>47</v>
      </c>
      <c r="C18" s="26" t="s">
        <v>21</v>
      </c>
      <c r="D18" s="26">
        <v>200</v>
      </c>
      <c r="E18" s="32">
        <v>7.94</v>
      </c>
      <c r="F18" s="32">
        <v>1588</v>
      </c>
    </row>
    <row r="19" spans="1:6" x14ac:dyDescent="0.25">
      <c r="A19" s="26">
        <v>18</v>
      </c>
      <c r="B19" s="26" t="s">
        <v>48</v>
      </c>
      <c r="C19" s="26" t="s">
        <v>21</v>
      </c>
      <c r="D19" s="26">
        <v>250</v>
      </c>
      <c r="E19" s="32">
        <v>16.96</v>
      </c>
      <c r="F19" s="32">
        <v>4240</v>
      </c>
    </row>
    <row r="20" spans="1:6" x14ac:dyDescent="0.25">
      <c r="A20" s="26">
        <v>19</v>
      </c>
      <c r="B20" s="26" t="s">
        <v>49</v>
      </c>
      <c r="C20" s="26" t="s">
        <v>31</v>
      </c>
      <c r="D20" s="26">
        <v>1120</v>
      </c>
      <c r="E20" s="32">
        <v>0.93</v>
      </c>
      <c r="F20" s="32">
        <v>1041.5999999999999</v>
      </c>
    </row>
    <row r="21" spans="1:6" x14ac:dyDescent="0.25">
      <c r="A21" s="26">
        <v>20</v>
      </c>
      <c r="B21" s="26" t="s">
        <v>50</v>
      </c>
      <c r="C21" s="26" t="s">
        <v>46</v>
      </c>
      <c r="D21" s="26">
        <v>400</v>
      </c>
      <c r="E21" s="32">
        <v>1.27</v>
      </c>
      <c r="F21" s="32">
        <v>508</v>
      </c>
    </row>
    <row r="22" spans="1:6" x14ac:dyDescent="0.25">
      <c r="A22" s="26">
        <v>21</v>
      </c>
      <c r="B22" s="26" t="s">
        <v>51</v>
      </c>
      <c r="C22" s="26" t="s">
        <v>46</v>
      </c>
      <c r="D22" s="26">
        <v>400</v>
      </c>
      <c r="E22" s="32">
        <v>1.39</v>
      </c>
      <c r="F22" s="32">
        <v>556</v>
      </c>
    </row>
    <row r="23" spans="1:6" x14ac:dyDescent="0.25">
      <c r="A23" s="26">
        <v>22</v>
      </c>
      <c r="B23" s="26" t="s">
        <v>52</v>
      </c>
      <c r="C23" s="26" t="s">
        <v>53</v>
      </c>
      <c r="D23" s="26">
        <v>500</v>
      </c>
      <c r="E23" s="32">
        <v>2.04</v>
      </c>
      <c r="F23" s="32">
        <v>1020</v>
      </c>
    </row>
    <row r="24" spans="1:6" x14ac:dyDescent="0.25">
      <c r="A24" s="26">
        <v>23</v>
      </c>
      <c r="B24" s="26" t="s">
        <v>54</v>
      </c>
      <c r="C24" s="26" t="s">
        <v>31</v>
      </c>
      <c r="D24" s="26">
        <v>15000</v>
      </c>
      <c r="E24" s="32">
        <v>0.24</v>
      </c>
      <c r="F24" s="32">
        <v>3600</v>
      </c>
    </row>
    <row r="25" spans="1:6" x14ac:dyDescent="0.25">
      <c r="A25" s="26">
        <v>24</v>
      </c>
      <c r="B25" s="26" t="s">
        <v>55</v>
      </c>
      <c r="C25" s="26" t="s">
        <v>56</v>
      </c>
      <c r="D25" s="26">
        <v>400</v>
      </c>
      <c r="E25" s="32">
        <v>0.92</v>
      </c>
      <c r="F25" s="32">
        <v>368</v>
      </c>
    </row>
    <row r="26" spans="1:6" x14ac:dyDescent="0.25">
      <c r="A26" s="26">
        <v>25</v>
      </c>
      <c r="B26" s="26" t="s">
        <v>57</v>
      </c>
      <c r="C26" s="26" t="s">
        <v>31</v>
      </c>
      <c r="D26" s="26">
        <v>10000</v>
      </c>
      <c r="E26" s="32">
        <v>0.91</v>
      </c>
      <c r="F26" s="32">
        <v>9100</v>
      </c>
    </row>
    <row r="27" spans="1:6" x14ac:dyDescent="0.25">
      <c r="A27" s="26">
        <v>26</v>
      </c>
      <c r="B27" s="26" t="s">
        <v>58</v>
      </c>
      <c r="C27" s="26" t="s">
        <v>46</v>
      </c>
      <c r="D27" s="26">
        <v>500</v>
      </c>
      <c r="E27" s="32">
        <v>4.8</v>
      </c>
      <c r="F27" s="32">
        <v>2400</v>
      </c>
    </row>
    <row r="28" spans="1:6" x14ac:dyDescent="0.25">
      <c r="A28" s="26">
        <v>27</v>
      </c>
      <c r="B28" s="26" t="s">
        <v>59</v>
      </c>
      <c r="C28" s="26" t="s">
        <v>60</v>
      </c>
      <c r="D28" s="26">
        <v>150</v>
      </c>
      <c r="E28" s="32">
        <v>2.63</v>
      </c>
      <c r="F28" s="32">
        <v>394.5</v>
      </c>
    </row>
    <row r="29" spans="1:6" x14ac:dyDescent="0.25">
      <c r="A29" s="26">
        <v>28</v>
      </c>
      <c r="B29" s="26" t="s">
        <v>61</v>
      </c>
      <c r="C29" s="26" t="s">
        <v>62</v>
      </c>
      <c r="D29" s="26">
        <v>40</v>
      </c>
      <c r="E29" s="32">
        <v>17.75</v>
      </c>
      <c r="F29" s="32">
        <v>710</v>
      </c>
    </row>
    <row r="30" spans="1:6" x14ac:dyDescent="0.25">
      <c r="A30" s="26">
        <v>29</v>
      </c>
      <c r="B30" s="26" t="s">
        <v>63</v>
      </c>
      <c r="C30" s="26" t="s">
        <v>60</v>
      </c>
      <c r="D30" s="26">
        <v>200</v>
      </c>
      <c r="E30" s="32">
        <v>2.2999999999999998</v>
      </c>
      <c r="F30" s="32">
        <v>460</v>
      </c>
    </row>
    <row r="31" spans="1:6" x14ac:dyDescent="0.25">
      <c r="A31" s="26">
        <v>30</v>
      </c>
      <c r="B31" s="26" t="s">
        <v>64</v>
      </c>
      <c r="C31" s="26" t="s">
        <v>60</v>
      </c>
      <c r="D31" s="26">
        <v>200</v>
      </c>
      <c r="E31" s="32">
        <v>2.79</v>
      </c>
      <c r="F31" s="32">
        <v>558</v>
      </c>
    </row>
    <row r="32" spans="1:6" x14ac:dyDescent="0.25">
      <c r="A32" s="26">
        <v>31</v>
      </c>
      <c r="B32" s="26" t="s">
        <v>65</v>
      </c>
      <c r="C32" s="26" t="s">
        <v>66</v>
      </c>
      <c r="D32" s="26">
        <v>1500</v>
      </c>
      <c r="E32" s="32">
        <v>19.16</v>
      </c>
      <c r="F32" s="32">
        <v>28740</v>
      </c>
    </row>
    <row r="33" spans="1:6" x14ac:dyDescent="0.25">
      <c r="A33" s="26">
        <v>32</v>
      </c>
      <c r="B33" s="26" t="s">
        <v>65</v>
      </c>
      <c r="C33" s="26" t="s">
        <v>67</v>
      </c>
      <c r="D33" s="26">
        <v>50</v>
      </c>
      <c r="E33" s="32">
        <v>30.75</v>
      </c>
      <c r="F33" s="32">
        <v>1537.5</v>
      </c>
    </row>
    <row r="34" spans="1:6" x14ac:dyDescent="0.25">
      <c r="A34" s="26">
        <v>33</v>
      </c>
      <c r="B34" s="26" t="s">
        <v>68</v>
      </c>
      <c r="C34" s="26" t="s">
        <v>31</v>
      </c>
      <c r="D34" s="26">
        <v>1000</v>
      </c>
      <c r="E34" s="32">
        <v>0.5</v>
      </c>
      <c r="F34" s="32">
        <v>500</v>
      </c>
    </row>
    <row r="35" spans="1:6" x14ac:dyDescent="0.25">
      <c r="A35" s="26">
        <v>34</v>
      </c>
      <c r="B35" s="26" t="s">
        <v>69</v>
      </c>
      <c r="C35" s="26" t="s">
        <v>31</v>
      </c>
      <c r="D35" s="26">
        <v>1000</v>
      </c>
      <c r="E35" s="32">
        <v>1.79</v>
      </c>
      <c r="F35" s="32">
        <v>1790</v>
      </c>
    </row>
    <row r="36" spans="1:6" x14ac:dyDescent="0.25">
      <c r="A36" s="26">
        <v>35</v>
      </c>
      <c r="B36" s="26" t="s">
        <v>70</v>
      </c>
      <c r="C36" s="26" t="s">
        <v>71</v>
      </c>
      <c r="D36" s="26">
        <v>80</v>
      </c>
      <c r="E36" s="32">
        <v>15.26</v>
      </c>
      <c r="F36" s="32">
        <v>1220.8</v>
      </c>
    </row>
    <row r="37" spans="1:6" x14ac:dyDescent="0.25">
      <c r="A37" s="26">
        <v>36</v>
      </c>
      <c r="B37" s="26" t="s">
        <v>72</v>
      </c>
      <c r="C37" s="26" t="s">
        <v>31</v>
      </c>
      <c r="D37" s="26">
        <v>1750</v>
      </c>
      <c r="E37" s="32">
        <v>2.19</v>
      </c>
      <c r="F37" s="32">
        <v>3832.5</v>
      </c>
    </row>
    <row r="38" spans="1:6" x14ac:dyDescent="0.25">
      <c r="A38" s="26">
        <v>37</v>
      </c>
      <c r="B38" s="26" t="s">
        <v>73</v>
      </c>
      <c r="C38" s="26" t="s">
        <v>74</v>
      </c>
      <c r="D38" s="26">
        <v>120</v>
      </c>
      <c r="E38" s="32">
        <v>29.01</v>
      </c>
      <c r="F38" s="32">
        <v>3481.2</v>
      </c>
    </row>
    <row r="39" spans="1:6" x14ac:dyDescent="0.25">
      <c r="A39" s="26">
        <v>38</v>
      </c>
      <c r="B39" s="26" t="s">
        <v>75</v>
      </c>
      <c r="C39" s="26" t="s">
        <v>76</v>
      </c>
      <c r="D39" s="26">
        <v>100</v>
      </c>
      <c r="E39" s="32">
        <v>3.62</v>
      </c>
      <c r="F39" s="32">
        <v>362</v>
      </c>
    </row>
    <row r="40" spans="1:6" x14ac:dyDescent="0.25">
      <c r="A40" s="26">
        <v>39</v>
      </c>
      <c r="B40" s="26" t="s">
        <v>77</v>
      </c>
      <c r="C40" s="26" t="s">
        <v>31</v>
      </c>
      <c r="D40" s="26">
        <v>1568</v>
      </c>
      <c r="E40" s="32">
        <v>0.89</v>
      </c>
      <c r="F40" s="32">
        <v>1395.52</v>
      </c>
    </row>
    <row r="41" spans="1:6" x14ac:dyDescent="0.25">
      <c r="A41" s="26">
        <v>40</v>
      </c>
      <c r="B41" s="26" t="s">
        <v>78</v>
      </c>
      <c r="C41" s="26" t="s">
        <v>33</v>
      </c>
      <c r="D41" s="26">
        <v>14000</v>
      </c>
      <c r="E41" s="32">
        <v>0.53</v>
      </c>
      <c r="F41" s="32">
        <v>7420</v>
      </c>
    </row>
    <row r="42" spans="1:6" x14ac:dyDescent="0.25">
      <c r="A42" s="26">
        <v>41</v>
      </c>
      <c r="B42" s="26" t="s">
        <v>79</v>
      </c>
      <c r="C42" s="26" t="s">
        <v>31</v>
      </c>
      <c r="D42" s="26">
        <v>10000</v>
      </c>
      <c r="E42" s="32">
        <v>0.78</v>
      </c>
      <c r="F42" s="32">
        <v>7800</v>
      </c>
    </row>
    <row r="43" spans="1:6" x14ac:dyDescent="0.25">
      <c r="A43" s="26">
        <v>42</v>
      </c>
      <c r="B43" s="26" t="s">
        <v>80</v>
      </c>
      <c r="C43" s="26" t="s">
        <v>31</v>
      </c>
      <c r="D43" s="26">
        <v>6000</v>
      </c>
      <c r="E43" s="32">
        <v>0.78</v>
      </c>
      <c r="F43" s="32">
        <v>4680</v>
      </c>
    </row>
    <row r="44" spans="1:6" x14ac:dyDescent="0.25">
      <c r="A44" s="26">
        <v>43</v>
      </c>
      <c r="B44" s="26" t="s">
        <v>81</v>
      </c>
      <c r="C44" s="26" t="s">
        <v>31</v>
      </c>
      <c r="D44" s="26">
        <v>500</v>
      </c>
      <c r="E44" s="32">
        <v>0.38</v>
      </c>
      <c r="F44" s="32">
        <v>190</v>
      </c>
    </row>
    <row r="45" spans="1:6" x14ac:dyDescent="0.25">
      <c r="A45" s="26">
        <v>44</v>
      </c>
      <c r="B45" s="26" t="s">
        <v>82</v>
      </c>
      <c r="C45" s="26" t="s">
        <v>35</v>
      </c>
      <c r="D45" s="26">
        <v>2000</v>
      </c>
      <c r="E45" s="32">
        <v>3.25</v>
      </c>
      <c r="F45" s="32">
        <v>6500</v>
      </c>
    </row>
    <row r="46" spans="1:6" x14ac:dyDescent="0.25">
      <c r="A46" s="26">
        <v>45</v>
      </c>
      <c r="B46" s="26" t="s">
        <v>83</v>
      </c>
      <c r="C46" s="26" t="s">
        <v>21</v>
      </c>
      <c r="D46" s="26">
        <v>500</v>
      </c>
      <c r="E46" s="32">
        <v>17.84</v>
      </c>
      <c r="F46" s="32">
        <v>8920</v>
      </c>
    </row>
    <row r="47" spans="1:6" x14ac:dyDescent="0.25">
      <c r="A47" s="26">
        <v>46</v>
      </c>
      <c r="B47" s="26" t="s">
        <v>84</v>
      </c>
      <c r="C47" s="26" t="s">
        <v>31</v>
      </c>
      <c r="D47" s="26">
        <v>1000</v>
      </c>
      <c r="E47" s="32">
        <v>0.28000000000000003</v>
      </c>
      <c r="F47" s="32">
        <v>280</v>
      </c>
    </row>
    <row r="48" spans="1:6" x14ac:dyDescent="0.25">
      <c r="A48" s="26">
        <v>47</v>
      </c>
      <c r="B48" s="26" t="s">
        <v>85</v>
      </c>
      <c r="C48" s="26" t="s">
        <v>46</v>
      </c>
      <c r="D48" s="26">
        <v>2000</v>
      </c>
      <c r="E48" s="32">
        <v>8.06</v>
      </c>
      <c r="F48" s="32">
        <v>16120</v>
      </c>
    </row>
    <row r="49" spans="1:6" x14ac:dyDescent="0.25">
      <c r="A49" s="26">
        <v>48</v>
      </c>
      <c r="B49" s="26" t="s">
        <v>86</v>
      </c>
      <c r="C49" s="26" t="s">
        <v>71</v>
      </c>
      <c r="D49" s="26">
        <v>200</v>
      </c>
      <c r="E49" s="32">
        <v>8.76</v>
      </c>
      <c r="F49" s="32">
        <v>1752</v>
      </c>
    </row>
    <row r="50" spans="1:6" x14ac:dyDescent="0.25">
      <c r="A50" s="26">
        <v>49</v>
      </c>
      <c r="B50" s="26" t="s">
        <v>87</v>
      </c>
      <c r="C50" s="26" t="s">
        <v>33</v>
      </c>
      <c r="D50" s="26">
        <v>12000</v>
      </c>
      <c r="E50" s="32">
        <v>2.2400000000000002</v>
      </c>
      <c r="F50" s="32">
        <v>26880</v>
      </c>
    </row>
    <row r="51" spans="1:6" x14ac:dyDescent="0.25">
      <c r="A51" s="26">
        <v>50</v>
      </c>
      <c r="B51" s="26" t="s">
        <v>88</v>
      </c>
      <c r="C51" s="26" t="s">
        <v>89</v>
      </c>
      <c r="D51" s="26">
        <v>600</v>
      </c>
      <c r="E51" s="32">
        <v>2.94</v>
      </c>
      <c r="F51" s="32">
        <v>1764</v>
      </c>
    </row>
    <row r="52" spans="1:6" x14ac:dyDescent="0.25">
      <c r="A52" s="26">
        <v>51</v>
      </c>
      <c r="B52" s="26" t="s">
        <v>90</v>
      </c>
      <c r="C52" s="26" t="s">
        <v>91</v>
      </c>
      <c r="D52" s="26">
        <v>500</v>
      </c>
      <c r="E52" s="32">
        <v>7.01</v>
      </c>
      <c r="F52" s="32">
        <v>3505</v>
      </c>
    </row>
    <row r="53" spans="1:6" x14ac:dyDescent="0.25">
      <c r="A53" s="26">
        <v>52</v>
      </c>
      <c r="B53" s="26" t="s">
        <v>92</v>
      </c>
      <c r="C53" s="26" t="s">
        <v>93</v>
      </c>
      <c r="D53" s="26">
        <v>500</v>
      </c>
      <c r="E53" s="32">
        <v>17.75</v>
      </c>
      <c r="F53" s="32">
        <v>8875</v>
      </c>
    </row>
    <row r="54" spans="1:6" x14ac:dyDescent="0.25">
      <c r="A54" s="26">
        <v>53</v>
      </c>
      <c r="B54" s="26" t="s">
        <v>94</v>
      </c>
      <c r="C54" s="26" t="s">
        <v>95</v>
      </c>
      <c r="D54" s="26">
        <v>50</v>
      </c>
      <c r="E54" s="32">
        <v>19.350000000000001</v>
      </c>
      <c r="F54" s="32">
        <v>967.5</v>
      </c>
    </row>
    <row r="55" spans="1:6" x14ac:dyDescent="0.25">
      <c r="A55" s="26">
        <v>54</v>
      </c>
      <c r="B55" s="26" t="s">
        <v>96</v>
      </c>
      <c r="C55" s="26" t="s">
        <v>95</v>
      </c>
      <c r="D55" s="26">
        <v>50</v>
      </c>
      <c r="E55" s="32">
        <v>14.48</v>
      </c>
      <c r="F55" s="32">
        <v>724</v>
      </c>
    </row>
    <row r="56" spans="1:6" x14ac:dyDescent="0.25">
      <c r="A56" s="26">
        <v>55</v>
      </c>
      <c r="B56" s="26" t="s">
        <v>97</v>
      </c>
      <c r="C56" s="26" t="s">
        <v>95</v>
      </c>
      <c r="D56" s="26">
        <v>50</v>
      </c>
      <c r="E56" s="32">
        <v>17.54</v>
      </c>
      <c r="F56" s="32">
        <v>877</v>
      </c>
    </row>
    <row r="57" spans="1:6" x14ac:dyDescent="0.25">
      <c r="A57" s="26">
        <v>56</v>
      </c>
      <c r="B57" s="26" t="s">
        <v>98</v>
      </c>
      <c r="C57" s="26" t="s">
        <v>95</v>
      </c>
      <c r="D57" s="26">
        <v>100</v>
      </c>
      <c r="E57" s="32">
        <v>16.52</v>
      </c>
      <c r="F57" s="32">
        <v>1652</v>
      </c>
    </row>
    <row r="58" spans="1:6" x14ac:dyDescent="0.25">
      <c r="A58" s="26">
        <v>57</v>
      </c>
      <c r="B58" s="26" t="s">
        <v>99</v>
      </c>
      <c r="C58" s="26" t="s">
        <v>100</v>
      </c>
      <c r="D58" s="26">
        <v>200</v>
      </c>
      <c r="E58" s="32">
        <v>1.91</v>
      </c>
      <c r="F58" s="32">
        <v>382</v>
      </c>
    </row>
    <row r="59" spans="1:6" x14ac:dyDescent="0.25">
      <c r="A59" s="26">
        <v>58</v>
      </c>
      <c r="B59" s="26" t="s">
        <v>101</v>
      </c>
      <c r="C59" s="26" t="s">
        <v>100</v>
      </c>
      <c r="D59" s="26">
        <v>200</v>
      </c>
      <c r="E59" s="32">
        <v>1.46</v>
      </c>
      <c r="F59" s="32">
        <v>292</v>
      </c>
    </row>
    <row r="60" spans="1:6" x14ac:dyDescent="0.25">
      <c r="A60" s="26">
        <v>59</v>
      </c>
      <c r="B60" s="26" t="s">
        <v>102</v>
      </c>
      <c r="C60" s="26" t="s">
        <v>100</v>
      </c>
      <c r="D60" s="26">
        <v>1000</v>
      </c>
      <c r="E60" s="32">
        <v>1.55</v>
      </c>
      <c r="F60" s="32">
        <v>1550</v>
      </c>
    </row>
    <row r="61" spans="1:6" x14ac:dyDescent="0.25">
      <c r="A61" s="26">
        <v>60</v>
      </c>
      <c r="B61" s="26" t="s">
        <v>103</v>
      </c>
      <c r="C61" s="26" t="s">
        <v>100</v>
      </c>
      <c r="D61" s="26">
        <v>1000</v>
      </c>
      <c r="E61" s="32">
        <v>3.05</v>
      </c>
      <c r="F61" s="32">
        <v>3050</v>
      </c>
    </row>
    <row r="62" spans="1:6" x14ac:dyDescent="0.25">
      <c r="A62" s="26">
        <v>61</v>
      </c>
      <c r="B62" s="26" t="s">
        <v>104</v>
      </c>
      <c r="C62" s="26" t="s">
        <v>100</v>
      </c>
      <c r="D62" s="26">
        <v>20</v>
      </c>
      <c r="E62" s="32">
        <v>40.909999999999997</v>
      </c>
      <c r="F62" s="32">
        <v>818.2</v>
      </c>
    </row>
    <row r="63" spans="1:6" x14ac:dyDescent="0.25">
      <c r="A63" s="26">
        <v>62</v>
      </c>
      <c r="B63" s="26" t="s">
        <v>105</v>
      </c>
      <c r="C63" s="26" t="s">
        <v>100</v>
      </c>
      <c r="D63" s="26">
        <v>20</v>
      </c>
      <c r="E63" s="32">
        <v>5.0999999999999996</v>
      </c>
      <c r="F63" s="32">
        <v>102</v>
      </c>
    </row>
    <row r="64" spans="1:6" x14ac:dyDescent="0.25">
      <c r="A64" s="26">
        <v>63</v>
      </c>
      <c r="B64" s="26" t="s">
        <v>106</v>
      </c>
      <c r="C64" s="26" t="s">
        <v>100</v>
      </c>
      <c r="D64" s="26">
        <v>500</v>
      </c>
      <c r="E64" s="32">
        <v>1.55</v>
      </c>
      <c r="F64" s="32">
        <v>775</v>
      </c>
    </row>
    <row r="65" spans="1:6" x14ac:dyDescent="0.25">
      <c r="A65" s="26">
        <v>64</v>
      </c>
      <c r="B65" s="26" t="s">
        <v>107</v>
      </c>
      <c r="C65" s="26" t="s">
        <v>100</v>
      </c>
      <c r="D65" s="26">
        <v>1000</v>
      </c>
      <c r="E65" s="32">
        <v>9.6199999999999992</v>
      </c>
      <c r="F65" s="32">
        <v>9620</v>
      </c>
    </row>
    <row r="66" spans="1:6" x14ac:dyDescent="0.25">
      <c r="A66" s="26">
        <v>65</v>
      </c>
      <c r="B66" s="26" t="s">
        <v>108</v>
      </c>
      <c r="C66" s="26" t="s">
        <v>100</v>
      </c>
      <c r="D66" s="26">
        <v>200</v>
      </c>
      <c r="E66" s="32">
        <v>1.01</v>
      </c>
      <c r="F66" s="32">
        <v>202</v>
      </c>
    </row>
    <row r="67" spans="1:6" x14ac:dyDescent="0.25">
      <c r="A67" s="26">
        <v>66</v>
      </c>
      <c r="B67" s="26" t="s">
        <v>109</v>
      </c>
      <c r="C67" s="26" t="s">
        <v>100</v>
      </c>
      <c r="D67" s="26">
        <v>200</v>
      </c>
      <c r="E67" s="32">
        <v>0.96</v>
      </c>
      <c r="F67" s="32">
        <v>192</v>
      </c>
    </row>
    <row r="68" spans="1:6" x14ac:dyDescent="0.25">
      <c r="A68" s="26">
        <v>67</v>
      </c>
      <c r="B68" s="26" t="s">
        <v>110</v>
      </c>
      <c r="C68" s="26" t="s">
        <v>111</v>
      </c>
      <c r="D68" s="26">
        <v>50</v>
      </c>
      <c r="E68" s="32">
        <v>9.98</v>
      </c>
      <c r="F68" s="32">
        <v>499</v>
      </c>
    </row>
    <row r="69" spans="1:6" x14ac:dyDescent="0.25">
      <c r="A69" s="26">
        <v>68</v>
      </c>
      <c r="B69" s="26" t="s">
        <v>112</v>
      </c>
      <c r="C69" s="26" t="s">
        <v>100</v>
      </c>
      <c r="D69" s="26">
        <v>20</v>
      </c>
      <c r="E69" s="32">
        <v>115.63</v>
      </c>
      <c r="F69" s="32">
        <v>2312.6</v>
      </c>
    </row>
    <row r="70" spans="1:6" x14ac:dyDescent="0.25">
      <c r="A70" s="26">
        <v>69</v>
      </c>
      <c r="B70" s="26" t="s">
        <v>113</v>
      </c>
      <c r="C70" s="26" t="s">
        <v>114</v>
      </c>
      <c r="D70" s="26">
        <v>48</v>
      </c>
      <c r="E70" s="32">
        <v>66.25</v>
      </c>
      <c r="F70" s="32">
        <v>3180</v>
      </c>
    </row>
    <row r="71" spans="1:6" x14ac:dyDescent="0.25">
      <c r="A71" s="26">
        <v>70</v>
      </c>
      <c r="B71" s="26" t="s">
        <v>115</v>
      </c>
      <c r="C71" s="26" t="s">
        <v>116</v>
      </c>
      <c r="D71" s="26">
        <v>24</v>
      </c>
      <c r="E71" s="32">
        <v>198.52</v>
      </c>
      <c r="F71" s="32">
        <v>4764.4799999999996</v>
      </c>
    </row>
    <row r="72" spans="1:6" x14ac:dyDescent="0.25">
      <c r="A72" s="26">
        <v>71</v>
      </c>
      <c r="B72" s="26" t="s">
        <v>117</v>
      </c>
      <c r="C72" s="26" t="s">
        <v>118</v>
      </c>
      <c r="D72" s="26">
        <v>30</v>
      </c>
      <c r="E72" s="32">
        <v>19.649999999999999</v>
      </c>
      <c r="F72" s="32">
        <v>589.5</v>
      </c>
    </row>
    <row r="73" spans="1:6" x14ac:dyDescent="0.25">
      <c r="A73" s="26">
        <v>72</v>
      </c>
      <c r="B73" s="26" t="s">
        <v>119</v>
      </c>
      <c r="C73" s="26" t="s">
        <v>100</v>
      </c>
      <c r="D73" s="26">
        <v>1000</v>
      </c>
      <c r="E73" s="32">
        <v>5.91</v>
      </c>
      <c r="F73" s="32">
        <v>5910</v>
      </c>
    </row>
    <row r="74" spans="1:6" x14ac:dyDescent="0.25">
      <c r="A74" s="26">
        <v>73</v>
      </c>
      <c r="B74" s="26" t="s">
        <v>120</v>
      </c>
      <c r="C74" s="26" t="s">
        <v>121</v>
      </c>
      <c r="D74" s="26">
        <v>100</v>
      </c>
      <c r="E74" s="32">
        <v>1.92</v>
      </c>
      <c r="F74" s="32">
        <v>192</v>
      </c>
    </row>
    <row r="75" spans="1:6" x14ac:dyDescent="0.25">
      <c r="A75" s="26">
        <v>74</v>
      </c>
      <c r="B75" s="26" t="s">
        <v>122</v>
      </c>
      <c r="C75" s="26" t="s">
        <v>100</v>
      </c>
      <c r="D75" s="26">
        <v>200</v>
      </c>
      <c r="E75" s="32">
        <v>2.42</v>
      </c>
      <c r="F75" s="32">
        <v>484</v>
      </c>
    </row>
    <row r="76" spans="1:6" x14ac:dyDescent="0.25">
      <c r="A76" s="26">
        <v>75</v>
      </c>
      <c r="B76" s="26" t="s">
        <v>123</v>
      </c>
      <c r="C76" s="26" t="s">
        <v>100</v>
      </c>
      <c r="D76" s="26">
        <v>200</v>
      </c>
      <c r="E76" s="32">
        <v>32.85</v>
      </c>
      <c r="F76" s="32">
        <v>6570</v>
      </c>
    </row>
    <row r="77" spans="1:6" x14ac:dyDescent="0.25">
      <c r="A77" s="26">
        <v>76</v>
      </c>
      <c r="B77" s="26" t="s">
        <v>124</v>
      </c>
      <c r="C77" s="26" t="s">
        <v>100</v>
      </c>
      <c r="D77" s="26">
        <v>200</v>
      </c>
      <c r="E77" s="32">
        <v>2.4500000000000002</v>
      </c>
      <c r="F77" s="32">
        <v>490</v>
      </c>
    </row>
    <row r="78" spans="1:6" x14ac:dyDescent="0.25">
      <c r="A78" s="26">
        <v>77</v>
      </c>
      <c r="B78" s="26" t="s">
        <v>125</v>
      </c>
      <c r="C78" s="26" t="s">
        <v>100</v>
      </c>
      <c r="D78" s="26">
        <v>200</v>
      </c>
      <c r="E78" s="32">
        <v>15.88</v>
      </c>
      <c r="F78" s="32">
        <v>3176</v>
      </c>
    </row>
    <row r="79" spans="1:6" x14ac:dyDescent="0.25">
      <c r="A79" s="26">
        <v>78</v>
      </c>
      <c r="B79" s="26" t="s">
        <v>126</v>
      </c>
      <c r="C79" s="26" t="s">
        <v>100</v>
      </c>
      <c r="D79" s="26">
        <v>10</v>
      </c>
      <c r="E79" s="32">
        <v>78.8</v>
      </c>
      <c r="F79" s="32">
        <v>788</v>
      </c>
    </row>
    <row r="80" spans="1:6" x14ac:dyDescent="0.25">
      <c r="A80" s="26">
        <v>79</v>
      </c>
      <c r="B80" s="26" t="s">
        <v>127</v>
      </c>
      <c r="C80" s="26" t="s">
        <v>128</v>
      </c>
      <c r="D80" s="26">
        <v>100</v>
      </c>
      <c r="E80" s="32">
        <v>190.49</v>
      </c>
      <c r="F80" s="32">
        <v>19049</v>
      </c>
    </row>
    <row r="81" spans="1:6" x14ac:dyDescent="0.25">
      <c r="A81" s="26">
        <v>80</v>
      </c>
      <c r="B81" s="26" t="s">
        <v>129</v>
      </c>
      <c r="C81" s="26" t="s">
        <v>100</v>
      </c>
      <c r="D81" s="26">
        <v>20</v>
      </c>
      <c r="E81" s="32">
        <v>114.29</v>
      </c>
      <c r="F81" s="32">
        <v>2285.8000000000002</v>
      </c>
    </row>
    <row r="82" spans="1:6" x14ac:dyDescent="0.25">
      <c r="A82" s="26">
        <v>81</v>
      </c>
      <c r="B82" s="26" t="s">
        <v>130</v>
      </c>
      <c r="C82" s="26" t="s">
        <v>100</v>
      </c>
      <c r="D82" s="26">
        <v>2</v>
      </c>
      <c r="E82" s="32">
        <v>9007.33</v>
      </c>
      <c r="F82" s="32">
        <v>18014.66</v>
      </c>
    </row>
    <row r="83" spans="1:6" x14ac:dyDescent="0.25">
      <c r="A83" s="26">
        <v>82</v>
      </c>
      <c r="B83" s="26" t="s">
        <v>131</v>
      </c>
      <c r="C83" s="26" t="s">
        <v>100</v>
      </c>
      <c r="D83" s="26">
        <v>10</v>
      </c>
      <c r="E83" s="32">
        <v>175.65</v>
      </c>
      <c r="F83" s="32">
        <v>1756.5</v>
      </c>
    </row>
    <row r="84" spans="1:6" x14ac:dyDescent="0.25">
      <c r="A84" s="26">
        <v>83</v>
      </c>
      <c r="B84" s="26" t="s">
        <v>132</v>
      </c>
      <c r="C84" s="26" t="s">
        <v>100</v>
      </c>
      <c r="D84" s="26">
        <v>5</v>
      </c>
      <c r="E84" s="32">
        <v>966.16</v>
      </c>
      <c r="F84" s="32">
        <v>4830.8</v>
      </c>
    </row>
    <row r="85" spans="1:6" x14ac:dyDescent="0.25">
      <c r="A85" s="26">
        <v>84</v>
      </c>
      <c r="B85" s="26" t="s">
        <v>133</v>
      </c>
      <c r="C85" s="26" t="s">
        <v>100</v>
      </c>
      <c r="D85" s="26">
        <v>10</v>
      </c>
      <c r="E85" s="32">
        <v>710.66</v>
      </c>
      <c r="F85" s="32">
        <v>7106.6</v>
      </c>
    </row>
    <row r="86" spans="1:6" x14ac:dyDescent="0.25">
      <c r="A86" s="26">
        <v>85</v>
      </c>
      <c r="B86" s="26" t="s">
        <v>134</v>
      </c>
      <c r="C86" s="26" t="s">
        <v>100</v>
      </c>
      <c r="D86" s="26">
        <v>5</v>
      </c>
      <c r="E86" s="32">
        <v>286.45999999999998</v>
      </c>
      <c r="F86" s="32">
        <v>1432.3</v>
      </c>
    </row>
    <row r="87" spans="1:6" x14ac:dyDescent="0.25">
      <c r="A87" s="26">
        <v>86</v>
      </c>
      <c r="B87" s="26" t="s">
        <v>135</v>
      </c>
      <c r="C87" s="26" t="s">
        <v>100</v>
      </c>
      <c r="D87" s="26">
        <v>4</v>
      </c>
      <c r="E87" s="32">
        <v>1614.4</v>
      </c>
      <c r="F87" s="32">
        <v>6457.6</v>
      </c>
    </row>
    <row r="88" spans="1:6" x14ac:dyDescent="0.25">
      <c r="A88" s="26">
        <v>87</v>
      </c>
      <c r="B88" s="26" t="s">
        <v>136</v>
      </c>
      <c r="C88" s="26" t="s">
        <v>100</v>
      </c>
      <c r="D88" s="26">
        <v>2</v>
      </c>
      <c r="E88" s="32">
        <v>4273.76</v>
      </c>
      <c r="F88" s="32">
        <v>8547.52</v>
      </c>
    </row>
    <row r="89" spans="1:6" x14ac:dyDescent="0.25">
      <c r="A89" s="26">
        <v>88</v>
      </c>
      <c r="B89" s="26" t="s">
        <v>137</v>
      </c>
      <c r="C89" s="26" t="s">
        <v>100</v>
      </c>
      <c r="D89" s="26">
        <v>10</v>
      </c>
      <c r="E89" s="32">
        <v>110.04</v>
      </c>
      <c r="F89" s="32">
        <v>1100.4000000000001</v>
      </c>
    </row>
    <row r="90" spans="1:6" x14ac:dyDescent="0.25">
      <c r="A90" s="26">
        <v>89</v>
      </c>
      <c r="B90" s="26" t="s">
        <v>138</v>
      </c>
      <c r="C90" s="26" t="s">
        <v>100</v>
      </c>
      <c r="D90" s="26">
        <v>10</v>
      </c>
      <c r="E90" s="32">
        <v>99.65</v>
      </c>
      <c r="F90" s="32">
        <v>996.5</v>
      </c>
    </row>
    <row r="91" spans="1:6" x14ac:dyDescent="0.25">
      <c r="A91" s="26">
        <v>90</v>
      </c>
      <c r="B91" s="26" t="s">
        <v>139</v>
      </c>
      <c r="C91" s="26" t="s">
        <v>140</v>
      </c>
      <c r="D91" s="26">
        <v>5</v>
      </c>
      <c r="E91" s="32">
        <v>84.14</v>
      </c>
      <c r="F91" s="32">
        <v>420.7</v>
      </c>
    </row>
    <row r="92" spans="1:6" x14ac:dyDescent="0.25">
      <c r="A92" s="26">
        <v>91</v>
      </c>
      <c r="B92" s="26" t="s">
        <v>141</v>
      </c>
      <c r="C92" s="26" t="s">
        <v>140</v>
      </c>
      <c r="D92" s="26">
        <v>10</v>
      </c>
      <c r="E92" s="32">
        <v>52.61</v>
      </c>
      <c r="F92" s="32">
        <v>526.1</v>
      </c>
    </row>
    <row r="93" spans="1:6" x14ac:dyDescent="0.25">
      <c r="A93" s="26">
        <v>92</v>
      </c>
      <c r="B93" s="26" t="s">
        <v>142</v>
      </c>
      <c r="C93" s="26" t="s">
        <v>143</v>
      </c>
      <c r="D93" s="26">
        <v>500</v>
      </c>
      <c r="E93" s="32">
        <v>153.6</v>
      </c>
      <c r="F93" s="32">
        <v>76800</v>
      </c>
    </row>
    <row r="94" spans="1:6" x14ac:dyDescent="0.25">
      <c r="A94" s="26">
        <v>93</v>
      </c>
      <c r="B94" s="26" t="s">
        <v>144</v>
      </c>
      <c r="C94" s="26" t="s">
        <v>143</v>
      </c>
      <c r="D94" s="26">
        <v>950</v>
      </c>
      <c r="E94" s="32">
        <v>71.2</v>
      </c>
      <c r="F94" s="32">
        <v>67640</v>
      </c>
    </row>
    <row r="95" spans="1:6" x14ac:dyDescent="0.25">
      <c r="A95" s="26">
        <v>94</v>
      </c>
      <c r="B95" s="26" t="s">
        <v>145</v>
      </c>
      <c r="C95" s="26" t="s">
        <v>143</v>
      </c>
      <c r="D95" s="26">
        <v>1500</v>
      </c>
      <c r="E95" s="32">
        <v>45.96</v>
      </c>
      <c r="F95" s="32">
        <v>68940</v>
      </c>
    </row>
    <row r="96" spans="1:6" x14ac:dyDescent="0.25">
      <c r="A96" s="26">
        <v>95</v>
      </c>
      <c r="B96" s="26" t="s">
        <v>146</v>
      </c>
      <c r="C96" s="26" t="s">
        <v>143</v>
      </c>
      <c r="D96" s="26">
        <v>2000</v>
      </c>
      <c r="E96" s="32">
        <v>38.04</v>
      </c>
      <c r="F96" s="32">
        <v>76080</v>
      </c>
    </row>
    <row r="97" spans="1:6" x14ac:dyDescent="0.25">
      <c r="A97" s="26">
        <v>96</v>
      </c>
      <c r="B97" s="26" t="s">
        <v>147</v>
      </c>
      <c r="C97" s="26" t="s">
        <v>143</v>
      </c>
      <c r="D97" s="26">
        <v>600</v>
      </c>
      <c r="E97" s="32">
        <v>130.31</v>
      </c>
      <c r="F97" s="32">
        <v>78186</v>
      </c>
    </row>
    <row r="98" spans="1:6" x14ac:dyDescent="0.25">
      <c r="A98" s="26">
        <v>97</v>
      </c>
      <c r="B98" s="26" t="s">
        <v>148</v>
      </c>
      <c r="C98" s="26" t="s">
        <v>143</v>
      </c>
      <c r="D98" s="26">
        <v>2000</v>
      </c>
      <c r="E98" s="32">
        <v>5.08</v>
      </c>
      <c r="F98" s="32">
        <v>10160</v>
      </c>
    </row>
    <row r="99" spans="1:6" x14ac:dyDescent="0.25">
      <c r="A99" s="26">
        <v>98</v>
      </c>
      <c r="B99" s="26" t="s">
        <v>149</v>
      </c>
      <c r="C99" s="26" t="s">
        <v>31</v>
      </c>
      <c r="D99" s="26">
        <v>720</v>
      </c>
      <c r="E99" s="32">
        <v>11.05</v>
      </c>
      <c r="F99" s="32">
        <v>7956</v>
      </c>
    </row>
    <row r="100" spans="1:6" x14ac:dyDescent="0.25">
      <c r="A100" s="26">
        <v>99</v>
      </c>
      <c r="B100" s="26" t="s">
        <v>150</v>
      </c>
      <c r="C100" s="26" t="s">
        <v>100</v>
      </c>
      <c r="D100" s="26">
        <v>500</v>
      </c>
      <c r="E100" s="32">
        <v>10.46</v>
      </c>
      <c r="F100" s="32">
        <v>5230</v>
      </c>
    </row>
    <row r="101" spans="1:6" x14ac:dyDescent="0.25">
      <c r="A101" s="26">
        <v>100</v>
      </c>
      <c r="B101" s="26" t="s">
        <v>151</v>
      </c>
      <c r="C101" s="26" t="s">
        <v>152</v>
      </c>
      <c r="D101" s="26">
        <v>300</v>
      </c>
      <c r="E101" s="32">
        <v>73.430000000000007</v>
      </c>
      <c r="F101" s="32">
        <v>22029</v>
      </c>
    </row>
    <row r="102" spans="1:6" x14ac:dyDescent="0.25">
      <c r="A102" s="26">
        <v>101</v>
      </c>
      <c r="B102" s="26" t="s">
        <v>153</v>
      </c>
      <c r="C102" s="26" t="s">
        <v>152</v>
      </c>
      <c r="D102" s="26">
        <v>150</v>
      </c>
      <c r="E102" s="32">
        <v>76.78</v>
      </c>
      <c r="F102" s="32">
        <v>11517</v>
      </c>
    </row>
    <row r="103" spans="1:6" x14ac:dyDescent="0.25">
      <c r="A103" s="26">
        <v>102</v>
      </c>
      <c r="B103" s="26" t="s">
        <v>154</v>
      </c>
      <c r="C103" s="26" t="s">
        <v>152</v>
      </c>
      <c r="D103" s="26">
        <v>150</v>
      </c>
      <c r="E103" s="32">
        <v>61.02</v>
      </c>
      <c r="F103" s="32">
        <v>9153</v>
      </c>
    </row>
    <row r="104" spans="1:6" x14ac:dyDescent="0.25">
      <c r="A104" s="26">
        <v>103</v>
      </c>
      <c r="B104" s="26" t="s">
        <v>155</v>
      </c>
      <c r="C104" s="26" t="s">
        <v>152</v>
      </c>
      <c r="D104" s="26">
        <v>300</v>
      </c>
      <c r="E104" s="32">
        <v>70.28</v>
      </c>
      <c r="F104" s="32">
        <v>21084</v>
      </c>
    </row>
    <row r="105" spans="1:6" x14ac:dyDescent="0.25">
      <c r="A105" s="26">
        <v>104</v>
      </c>
      <c r="B105" s="26" t="s">
        <v>156</v>
      </c>
      <c r="C105" s="26" t="s">
        <v>100</v>
      </c>
      <c r="D105" s="26">
        <v>500</v>
      </c>
      <c r="E105" s="32">
        <v>44.75</v>
      </c>
      <c r="F105" s="32">
        <v>22375</v>
      </c>
    </row>
    <row r="106" spans="1:6" x14ac:dyDescent="0.25">
      <c r="A106" s="26">
        <v>105</v>
      </c>
      <c r="B106" s="26" t="s">
        <v>157</v>
      </c>
      <c r="C106" s="26" t="s">
        <v>100</v>
      </c>
      <c r="D106" s="26">
        <v>10</v>
      </c>
      <c r="E106" s="32">
        <v>31.99</v>
      </c>
      <c r="F106" s="32">
        <v>319.89999999999998</v>
      </c>
    </row>
    <row r="107" spans="1:6" x14ac:dyDescent="0.25">
      <c r="A107" s="26">
        <v>106</v>
      </c>
      <c r="B107" s="26" t="s">
        <v>158</v>
      </c>
      <c r="C107" s="26" t="s">
        <v>100</v>
      </c>
      <c r="D107" s="26">
        <v>10</v>
      </c>
      <c r="E107" s="32">
        <v>28.69</v>
      </c>
      <c r="F107" s="32">
        <v>286.89999999999998</v>
      </c>
    </row>
    <row r="108" spans="1:6" x14ac:dyDescent="0.25">
      <c r="A108" s="26">
        <v>107</v>
      </c>
      <c r="B108" s="26" t="s">
        <v>159</v>
      </c>
      <c r="C108" s="26" t="s">
        <v>100</v>
      </c>
      <c r="D108" s="26">
        <v>10</v>
      </c>
      <c r="E108" s="32">
        <v>149.51</v>
      </c>
      <c r="F108" s="32">
        <v>1495.1</v>
      </c>
    </row>
    <row r="109" spans="1:6" x14ac:dyDescent="0.25">
      <c r="A109" s="26">
        <v>108</v>
      </c>
      <c r="B109" s="26" t="s">
        <v>160</v>
      </c>
      <c r="C109" s="26" t="s">
        <v>100</v>
      </c>
      <c r="D109" s="26">
        <v>200</v>
      </c>
      <c r="E109" s="32">
        <v>4.12</v>
      </c>
      <c r="F109" s="32">
        <v>824</v>
      </c>
    </row>
    <row r="110" spans="1:6" x14ac:dyDescent="0.25">
      <c r="A110" s="26">
        <v>109</v>
      </c>
      <c r="B110" s="26" t="s">
        <v>161</v>
      </c>
      <c r="C110" s="26" t="s">
        <v>162</v>
      </c>
      <c r="D110" s="26">
        <v>80</v>
      </c>
      <c r="E110" s="32">
        <v>859.45</v>
      </c>
      <c r="F110" s="32">
        <v>68756</v>
      </c>
    </row>
    <row r="111" spans="1:6" x14ac:dyDescent="0.25">
      <c r="A111" s="26">
        <v>110</v>
      </c>
      <c r="B111" s="26" t="s">
        <v>163</v>
      </c>
      <c r="C111" s="26" t="s">
        <v>41</v>
      </c>
      <c r="D111" s="26">
        <v>500</v>
      </c>
      <c r="E111" s="32">
        <v>3.83</v>
      </c>
      <c r="F111" s="32">
        <v>1915</v>
      </c>
    </row>
    <row r="112" spans="1:6" x14ac:dyDescent="0.25">
      <c r="A112" s="26">
        <v>111</v>
      </c>
      <c r="B112" s="26" t="s">
        <v>164</v>
      </c>
      <c r="C112" s="26" t="s">
        <v>165</v>
      </c>
      <c r="D112" s="26">
        <v>300</v>
      </c>
      <c r="E112" s="32">
        <v>7.98</v>
      </c>
      <c r="F112" s="32">
        <v>2394</v>
      </c>
    </row>
    <row r="113" spans="1:6" x14ac:dyDescent="0.25">
      <c r="A113" s="26">
        <v>112</v>
      </c>
      <c r="B113" s="26" t="s">
        <v>166</v>
      </c>
      <c r="C113" s="26" t="s">
        <v>31</v>
      </c>
      <c r="D113" s="26">
        <v>1440</v>
      </c>
      <c r="E113" s="32">
        <v>1.37</v>
      </c>
      <c r="F113" s="32">
        <v>1972.8</v>
      </c>
    </row>
    <row r="114" spans="1:6" x14ac:dyDescent="0.25">
      <c r="A114" s="26">
        <v>113</v>
      </c>
      <c r="B114" s="26" t="s">
        <v>167</v>
      </c>
      <c r="C114" s="26" t="s">
        <v>31</v>
      </c>
      <c r="D114" s="26">
        <v>1440</v>
      </c>
      <c r="E114" s="32">
        <v>3.87</v>
      </c>
      <c r="F114" s="32">
        <v>5572.8</v>
      </c>
    </row>
    <row r="115" spans="1:6" x14ac:dyDescent="0.25">
      <c r="A115" s="26">
        <v>114</v>
      </c>
      <c r="B115" s="26" t="s">
        <v>168</v>
      </c>
      <c r="C115" s="26" t="s">
        <v>31</v>
      </c>
      <c r="D115" s="26">
        <v>1440</v>
      </c>
      <c r="E115" s="32">
        <v>2.57</v>
      </c>
      <c r="F115" s="32">
        <v>3700.8</v>
      </c>
    </row>
    <row r="116" spans="1:6" x14ac:dyDescent="0.25">
      <c r="A116" s="26">
        <v>115</v>
      </c>
      <c r="B116" s="26" t="s">
        <v>169</v>
      </c>
      <c r="C116" s="26" t="s">
        <v>100</v>
      </c>
      <c r="D116" s="26">
        <v>5</v>
      </c>
      <c r="E116" s="32">
        <v>9840.34</v>
      </c>
      <c r="F116" s="32">
        <v>49201.7</v>
      </c>
    </row>
    <row r="117" spans="1:6" x14ac:dyDescent="0.25">
      <c r="A117" s="26">
        <v>116</v>
      </c>
      <c r="B117" s="26" t="s">
        <v>170</v>
      </c>
      <c r="C117" s="26" t="s">
        <v>100</v>
      </c>
      <c r="D117" s="26">
        <v>3</v>
      </c>
      <c r="E117" s="32">
        <v>4077.49</v>
      </c>
      <c r="F117" s="32">
        <v>12232.47</v>
      </c>
    </row>
    <row r="118" spans="1:6" x14ac:dyDescent="0.25">
      <c r="A118" s="26">
        <v>117</v>
      </c>
      <c r="B118" s="26" t="s">
        <v>171</v>
      </c>
      <c r="C118" s="26" t="s">
        <v>100</v>
      </c>
      <c r="D118" s="26">
        <v>4</v>
      </c>
      <c r="E118" s="32">
        <v>1450.45</v>
      </c>
      <c r="F118" s="32">
        <v>5801.8</v>
      </c>
    </row>
    <row r="119" spans="1:6" x14ac:dyDescent="0.25">
      <c r="A119" s="26">
        <v>118</v>
      </c>
      <c r="B119" s="26" t="s">
        <v>172</v>
      </c>
      <c r="C119" s="26" t="s">
        <v>100</v>
      </c>
      <c r="D119" s="26">
        <v>4</v>
      </c>
      <c r="E119" s="32">
        <v>1967.35</v>
      </c>
      <c r="F119" s="32">
        <v>7869.4</v>
      </c>
    </row>
    <row r="120" spans="1:6" x14ac:dyDescent="0.25">
      <c r="A120" s="26">
        <v>119</v>
      </c>
      <c r="B120" s="26" t="s">
        <v>173</v>
      </c>
      <c r="C120" s="26" t="s">
        <v>100</v>
      </c>
      <c r="D120" s="26">
        <v>4</v>
      </c>
      <c r="E120" s="32">
        <v>1123.1600000000001</v>
      </c>
      <c r="F120" s="32">
        <v>4492.6400000000003</v>
      </c>
    </row>
    <row r="121" spans="1:6" x14ac:dyDescent="0.25">
      <c r="A121" s="26">
        <v>120</v>
      </c>
      <c r="B121" s="26" t="s">
        <v>174</v>
      </c>
      <c r="C121" s="26" t="s">
        <v>100</v>
      </c>
      <c r="D121" s="26">
        <v>6</v>
      </c>
      <c r="E121" s="32">
        <v>790.47</v>
      </c>
      <c r="F121" s="32">
        <v>4742.82</v>
      </c>
    </row>
    <row r="122" spans="1:6" x14ac:dyDescent="0.25">
      <c r="A122" s="26">
        <v>121</v>
      </c>
      <c r="B122" s="26" t="s">
        <v>175</v>
      </c>
      <c r="C122" s="26" t="s">
        <v>100</v>
      </c>
      <c r="D122" s="26">
        <v>3</v>
      </c>
      <c r="E122" s="32">
        <v>2430.08</v>
      </c>
      <c r="F122" s="32">
        <v>7290.24</v>
      </c>
    </row>
    <row r="123" spans="1:6" x14ac:dyDescent="0.25">
      <c r="A123" s="26">
        <v>122</v>
      </c>
      <c r="B123" s="26" t="s">
        <v>176</v>
      </c>
      <c r="C123" s="26" t="s">
        <v>100</v>
      </c>
      <c r="D123" s="26">
        <v>15</v>
      </c>
      <c r="E123" s="32">
        <v>611.24</v>
      </c>
      <c r="F123" s="32">
        <v>9168.6</v>
      </c>
    </row>
    <row r="124" spans="1:6" x14ac:dyDescent="0.25">
      <c r="A124" s="26">
        <v>123</v>
      </c>
      <c r="B124" s="26" t="s">
        <v>177</v>
      </c>
      <c r="C124" s="26" t="s">
        <v>100</v>
      </c>
      <c r="D124" s="26">
        <v>20</v>
      </c>
      <c r="E124" s="32">
        <v>194.49</v>
      </c>
      <c r="F124" s="32">
        <v>3889.8</v>
      </c>
    </row>
    <row r="125" spans="1:6" x14ac:dyDescent="0.25">
      <c r="A125" s="26">
        <v>124</v>
      </c>
      <c r="B125" s="26" t="s">
        <v>178</v>
      </c>
      <c r="C125" s="26" t="s">
        <v>100</v>
      </c>
      <c r="D125" s="26">
        <v>5</v>
      </c>
      <c r="E125" s="32">
        <v>948.84</v>
      </c>
      <c r="F125" s="32">
        <v>4744.2</v>
      </c>
    </row>
    <row r="126" spans="1:6" x14ac:dyDescent="0.25">
      <c r="A126" s="26">
        <v>125</v>
      </c>
      <c r="B126" s="26" t="s">
        <v>179</v>
      </c>
      <c r="C126" s="26" t="s">
        <v>100</v>
      </c>
      <c r="D126" s="26">
        <v>10</v>
      </c>
      <c r="E126" s="32">
        <v>6.96</v>
      </c>
      <c r="F126" s="32">
        <v>69.599999999999994</v>
      </c>
    </row>
    <row r="127" spans="1:6" x14ac:dyDescent="0.25">
      <c r="A127" s="26">
        <v>126</v>
      </c>
      <c r="B127" s="26" t="s">
        <v>180</v>
      </c>
      <c r="C127" s="26" t="s">
        <v>100</v>
      </c>
      <c r="D127" s="26">
        <v>300</v>
      </c>
      <c r="E127" s="32">
        <v>8.44</v>
      </c>
      <c r="F127" s="32">
        <v>2532</v>
      </c>
    </row>
    <row r="128" spans="1:6" x14ac:dyDescent="0.25">
      <c r="A128" s="26">
        <v>127</v>
      </c>
      <c r="B128" s="26" t="s">
        <v>181</v>
      </c>
      <c r="C128" s="26" t="s">
        <v>100</v>
      </c>
      <c r="D128" s="26">
        <v>10</v>
      </c>
      <c r="E128" s="32">
        <v>250.46</v>
      </c>
      <c r="F128" s="32">
        <v>2504.6</v>
      </c>
    </row>
    <row r="129" spans="1:6" x14ac:dyDescent="0.25">
      <c r="A129" s="26">
        <v>128</v>
      </c>
      <c r="B129" s="26" t="s">
        <v>182</v>
      </c>
      <c r="C129" s="26" t="s">
        <v>183</v>
      </c>
      <c r="D129" s="26">
        <v>500</v>
      </c>
      <c r="E129" s="32">
        <v>20.65</v>
      </c>
      <c r="F129" s="32">
        <v>10325</v>
      </c>
    </row>
    <row r="130" spans="1:6" x14ac:dyDescent="0.25">
      <c r="A130" s="26">
        <v>129</v>
      </c>
      <c r="B130" s="26" t="s">
        <v>184</v>
      </c>
      <c r="C130" s="26" t="s">
        <v>183</v>
      </c>
      <c r="D130" s="26">
        <v>400</v>
      </c>
      <c r="E130" s="32">
        <v>44.78</v>
      </c>
      <c r="F130" s="32">
        <v>17912</v>
      </c>
    </row>
    <row r="131" spans="1:6" x14ac:dyDescent="0.25">
      <c r="A131" s="26">
        <v>130</v>
      </c>
      <c r="B131" s="26" t="s">
        <v>185</v>
      </c>
      <c r="C131" s="26" t="s">
        <v>183</v>
      </c>
      <c r="D131" s="26">
        <v>500</v>
      </c>
      <c r="E131" s="32">
        <v>21.2</v>
      </c>
      <c r="F131" s="32">
        <v>10600</v>
      </c>
    </row>
    <row r="132" spans="1:6" x14ac:dyDescent="0.25">
      <c r="A132" s="26">
        <v>131</v>
      </c>
      <c r="B132" s="26" t="s">
        <v>186</v>
      </c>
      <c r="C132" s="26" t="s">
        <v>100</v>
      </c>
      <c r="D132" s="26">
        <v>3</v>
      </c>
      <c r="E132" s="32">
        <v>198.87</v>
      </c>
      <c r="F132" s="32">
        <v>596.61</v>
      </c>
    </row>
    <row r="133" spans="1:6" x14ac:dyDescent="0.25">
      <c r="A133" s="26">
        <v>132</v>
      </c>
      <c r="B133" s="26" t="s">
        <v>187</v>
      </c>
      <c r="C133" s="26" t="s">
        <v>100</v>
      </c>
      <c r="D133" s="26">
        <v>3</v>
      </c>
      <c r="E133" s="32">
        <v>153.27000000000001</v>
      </c>
      <c r="F133" s="32">
        <v>459.81</v>
      </c>
    </row>
    <row r="134" spans="1:6" x14ac:dyDescent="0.25">
      <c r="A134" s="26">
        <v>133</v>
      </c>
      <c r="B134" s="26" t="s">
        <v>188</v>
      </c>
      <c r="C134" s="26" t="s">
        <v>100</v>
      </c>
      <c r="D134" s="26">
        <v>10</v>
      </c>
      <c r="E134" s="32">
        <v>105.35</v>
      </c>
      <c r="F134" s="32">
        <v>1053.5</v>
      </c>
    </row>
    <row r="135" spans="1:6" x14ac:dyDescent="0.25">
      <c r="A135" s="26">
        <v>134</v>
      </c>
      <c r="B135" s="26" t="s">
        <v>189</v>
      </c>
      <c r="C135" s="26" t="s">
        <v>100</v>
      </c>
      <c r="D135" s="26">
        <v>50</v>
      </c>
      <c r="E135" s="32">
        <v>19.22</v>
      </c>
      <c r="F135" s="32">
        <v>961</v>
      </c>
    </row>
    <row r="136" spans="1:6" x14ac:dyDescent="0.25">
      <c r="A136" s="26">
        <v>135</v>
      </c>
      <c r="B136" s="26" t="s">
        <v>190</v>
      </c>
      <c r="C136" s="26" t="s">
        <v>100</v>
      </c>
      <c r="D136" s="26">
        <v>5</v>
      </c>
      <c r="E136" s="32">
        <v>178.24</v>
      </c>
      <c r="F136" s="32">
        <v>891.2</v>
      </c>
    </row>
    <row r="137" spans="1:6" x14ac:dyDescent="0.25">
      <c r="A137" s="26">
        <v>136</v>
      </c>
      <c r="B137" s="26" t="s">
        <v>191</v>
      </c>
      <c r="C137" s="26" t="s">
        <v>100</v>
      </c>
      <c r="D137" s="26">
        <v>5</v>
      </c>
      <c r="E137" s="32">
        <v>183.98</v>
      </c>
      <c r="F137" s="32">
        <v>919.9</v>
      </c>
    </row>
    <row r="138" spans="1:6" x14ac:dyDescent="0.25">
      <c r="A138" s="26">
        <v>137</v>
      </c>
      <c r="B138" s="26" t="s">
        <v>192</v>
      </c>
      <c r="C138" s="26" t="s">
        <v>100</v>
      </c>
      <c r="D138" s="26">
        <v>5</v>
      </c>
      <c r="E138" s="32">
        <v>178.49</v>
      </c>
      <c r="F138" s="32">
        <v>892.45</v>
      </c>
    </row>
    <row r="139" spans="1:6" x14ac:dyDescent="0.25">
      <c r="A139" s="26">
        <v>138</v>
      </c>
      <c r="B139" s="26" t="s">
        <v>193</v>
      </c>
      <c r="C139" s="26" t="s">
        <v>194</v>
      </c>
      <c r="D139" s="26">
        <v>30</v>
      </c>
      <c r="E139" s="32">
        <v>30.11</v>
      </c>
      <c r="F139" s="32">
        <v>903.3</v>
      </c>
    </row>
    <row r="140" spans="1:6" x14ac:dyDescent="0.25">
      <c r="A140" s="26">
        <v>139</v>
      </c>
      <c r="B140" s="26" t="s">
        <v>195</v>
      </c>
      <c r="C140" s="26" t="s">
        <v>196</v>
      </c>
      <c r="D140" s="26">
        <v>1000</v>
      </c>
      <c r="E140" s="32">
        <v>1.54</v>
      </c>
      <c r="F140" s="32">
        <v>1540</v>
      </c>
    </row>
    <row r="141" spans="1:6" x14ac:dyDescent="0.25">
      <c r="A141" s="26">
        <v>140</v>
      </c>
      <c r="B141" s="26" t="s">
        <v>197</v>
      </c>
      <c r="C141" s="26" t="s">
        <v>198</v>
      </c>
      <c r="D141" s="26">
        <v>10</v>
      </c>
      <c r="E141" s="32">
        <v>1031.8399999999999</v>
      </c>
      <c r="F141" s="32">
        <v>10318.4</v>
      </c>
    </row>
    <row r="142" spans="1:6" x14ac:dyDescent="0.25">
      <c r="A142" s="26">
        <v>141</v>
      </c>
      <c r="B142" s="26" t="s">
        <v>199</v>
      </c>
      <c r="C142" s="26" t="s">
        <v>198</v>
      </c>
      <c r="D142" s="26">
        <v>10</v>
      </c>
      <c r="E142" s="32">
        <v>1265.54</v>
      </c>
      <c r="F142" s="32">
        <v>12655.4</v>
      </c>
    </row>
    <row r="143" spans="1:6" x14ac:dyDescent="0.25">
      <c r="A143" s="26">
        <v>142</v>
      </c>
      <c r="B143" s="26" t="s">
        <v>200</v>
      </c>
      <c r="C143" s="26" t="s">
        <v>198</v>
      </c>
      <c r="D143" s="26">
        <v>20</v>
      </c>
      <c r="E143" s="32">
        <v>1283.76</v>
      </c>
      <c r="F143" s="32">
        <v>25675.200000000001</v>
      </c>
    </row>
    <row r="144" spans="1:6" x14ac:dyDescent="0.25">
      <c r="A144" s="26">
        <v>143</v>
      </c>
      <c r="B144" s="26" t="s">
        <v>201</v>
      </c>
      <c r="C144" s="26" t="s">
        <v>100</v>
      </c>
      <c r="D144" s="26">
        <v>3</v>
      </c>
      <c r="E144" s="32">
        <v>1299.24</v>
      </c>
      <c r="F144" s="32">
        <v>3897.72</v>
      </c>
    </row>
    <row r="145" spans="1:6" x14ac:dyDescent="0.25">
      <c r="A145" s="26">
        <v>144</v>
      </c>
      <c r="B145" s="26" t="s">
        <v>202</v>
      </c>
      <c r="C145" s="26" t="s">
        <v>100</v>
      </c>
      <c r="D145" s="26">
        <v>3</v>
      </c>
      <c r="E145" s="32">
        <v>1472</v>
      </c>
      <c r="F145" s="32">
        <v>4416</v>
      </c>
    </row>
    <row r="146" spans="1:6" x14ac:dyDescent="0.25">
      <c r="A146" s="26">
        <v>145</v>
      </c>
      <c r="B146" s="26" t="s">
        <v>203</v>
      </c>
      <c r="C146" s="26" t="s">
        <v>100</v>
      </c>
      <c r="D146" s="26">
        <v>6</v>
      </c>
      <c r="E146" s="32">
        <v>3313.77</v>
      </c>
      <c r="F146" s="32">
        <v>19882.62</v>
      </c>
    </row>
    <row r="147" spans="1:6" x14ac:dyDescent="0.25">
      <c r="A147" s="26">
        <v>146</v>
      </c>
      <c r="B147" s="26" t="s">
        <v>204</v>
      </c>
      <c r="C147" s="26" t="s">
        <v>100</v>
      </c>
      <c r="D147" s="26">
        <v>500</v>
      </c>
      <c r="E147" s="32">
        <v>4.99</v>
      </c>
      <c r="F147" s="32">
        <v>2495</v>
      </c>
    </row>
    <row r="148" spans="1:6" x14ac:dyDescent="0.25">
      <c r="A148" s="26">
        <v>147</v>
      </c>
      <c r="B148" s="26" t="s">
        <v>205</v>
      </c>
      <c r="C148" s="26" t="s">
        <v>100</v>
      </c>
      <c r="D148" s="26">
        <v>10</v>
      </c>
      <c r="E148" s="32">
        <v>25.45</v>
      </c>
      <c r="F148" s="32">
        <v>254.5</v>
      </c>
    </row>
    <row r="149" spans="1:6" x14ac:dyDescent="0.25">
      <c r="A149" s="26">
        <v>148</v>
      </c>
      <c r="B149" s="26" t="s">
        <v>206</v>
      </c>
      <c r="C149" s="26" t="s">
        <v>100</v>
      </c>
      <c r="D149" s="26">
        <v>10</v>
      </c>
      <c r="E149" s="32">
        <v>48.23</v>
      </c>
      <c r="F149" s="32">
        <v>482.3</v>
      </c>
    </row>
    <row r="150" spans="1:6" x14ac:dyDescent="0.25">
      <c r="A150" s="26">
        <v>149</v>
      </c>
      <c r="B150" s="26" t="s">
        <v>207</v>
      </c>
      <c r="C150" s="26" t="s">
        <v>100</v>
      </c>
      <c r="D150" s="26">
        <v>10</v>
      </c>
      <c r="E150" s="32">
        <v>55.97</v>
      </c>
      <c r="F150" s="32">
        <v>559.70000000000005</v>
      </c>
    </row>
    <row r="151" spans="1:6" x14ac:dyDescent="0.25">
      <c r="A151" s="26">
        <v>150</v>
      </c>
      <c r="B151" s="26" t="s">
        <v>208</v>
      </c>
      <c r="C151" s="26" t="s">
        <v>100</v>
      </c>
      <c r="D151" s="26">
        <v>5</v>
      </c>
      <c r="E151" s="32">
        <v>163.74</v>
      </c>
      <c r="F151" s="32">
        <v>818.7</v>
      </c>
    </row>
    <row r="152" spans="1:6" x14ac:dyDescent="0.25">
      <c r="A152" s="26">
        <v>151</v>
      </c>
      <c r="B152" s="26" t="s">
        <v>209</v>
      </c>
      <c r="C152" s="26" t="s">
        <v>100</v>
      </c>
      <c r="D152" s="26">
        <v>5</v>
      </c>
      <c r="E152" s="32">
        <v>180.31</v>
      </c>
      <c r="F152" s="32">
        <v>901.55</v>
      </c>
    </row>
    <row r="153" spans="1:6" x14ac:dyDescent="0.25">
      <c r="A153" s="26">
        <v>152</v>
      </c>
      <c r="B153" s="26" t="s">
        <v>210</v>
      </c>
      <c r="C153" s="26" t="s">
        <v>100</v>
      </c>
      <c r="D153" s="26">
        <v>5</v>
      </c>
      <c r="E153" s="32">
        <v>176.84</v>
      </c>
      <c r="F153" s="32">
        <v>884.2</v>
      </c>
    </row>
    <row r="154" spans="1:6" x14ac:dyDescent="0.25">
      <c r="A154" s="26">
        <v>153</v>
      </c>
      <c r="B154" s="26" t="s">
        <v>211</v>
      </c>
      <c r="C154" s="26" t="s">
        <v>100</v>
      </c>
      <c r="D154" s="26">
        <v>10</v>
      </c>
      <c r="E154" s="32">
        <v>59.46</v>
      </c>
      <c r="F154" s="32">
        <v>594.6</v>
      </c>
    </row>
    <row r="155" spans="1:6" x14ac:dyDescent="0.25">
      <c r="A155" s="26">
        <v>154</v>
      </c>
      <c r="B155" s="26" t="s">
        <v>212</v>
      </c>
      <c r="C155" s="26" t="s">
        <v>100</v>
      </c>
      <c r="D155" s="26">
        <v>10</v>
      </c>
      <c r="E155" s="32">
        <v>102.67</v>
      </c>
      <c r="F155" s="32">
        <v>1026.7</v>
      </c>
    </row>
    <row r="156" spans="1:6" x14ac:dyDescent="0.25">
      <c r="A156" s="26">
        <v>155</v>
      </c>
      <c r="B156" s="26" t="s">
        <v>213</v>
      </c>
      <c r="C156" s="26" t="s">
        <v>100</v>
      </c>
      <c r="D156" s="26">
        <v>10</v>
      </c>
      <c r="E156" s="32">
        <v>75.2</v>
      </c>
      <c r="F156" s="32">
        <v>752</v>
      </c>
    </row>
    <row r="157" spans="1:6" x14ac:dyDescent="0.25">
      <c r="A157" s="26">
        <v>156</v>
      </c>
      <c r="B157" s="26" t="s">
        <v>214</v>
      </c>
      <c r="C157" s="26" t="s">
        <v>100</v>
      </c>
      <c r="D157" s="26">
        <v>10</v>
      </c>
      <c r="E157" s="32">
        <v>697.57</v>
      </c>
      <c r="F157" s="32">
        <v>6975.7</v>
      </c>
    </row>
    <row r="158" spans="1:6" x14ac:dyDescent="0.25">
      <c r="A158" s="26">
        <v>157</v>
      </c>
      <c r="B158" s="26" t="s">
        <v>215</v>
      </c>
      <c r="C158" s="26" t="s">
        <v>100</v>
      </c>
      <c r="D158" s="26">
        <v>6</v>
      </c>
      <c r="E158" s="32">
        <v>3084.42</v>
      </c>
      <c r="F158" s="32">
        <v>18506.52</v>
      </c>
    </row>
    <row r="159" spans="1:6" x14ac:dyDescent="0.25">
      <c r="A159" s="26">
        <v>158</v>
      </c>
      <c r="B159" s="26" t="s">
        <v>216</v>
      </c>
      <c r="C159" s="26" t="s">
        <v>100</v>
      </c>
      <c r="D159" s="26">
        <v>5</v>
      </c>
      <c r="E159" s="32">
        <v>292.55</v>
      </c>
      <c r="F159" s="32">
        <v>1462.75</v>
      </c>
    </row>
    <row r="160" spans="1:6" x14ac:dyDescent="0.25">
      <c r="A160" s="26">
        <v>159</v>
      </c>
      <c r="B160" s="26" t="s">
        <v>217</v>
      </c>
      <c r="C160" s="26" t="s">
        <v>100</v>
      </c>
      <c r="D160" s="26">
        <v>20</v>
      </c>
      <c r="E160" s="32">
        <v>228.58</v>
      </c>
      <c r="F160" s="32">
        <v>4571.6000000000004</v>
      </c>
    </row>
    <row r="161" spans="1:6" x14ac:dyDescent="0.25">
      <c r="A161" s="26">
        <v>160</v>
      </c>
      <c r="B161" s="26" t="s">
        <v>218</v>
      </c>
      <c r="C161" s="26" t="s">
        <v>100</v>
      </c>
      <c r="D161" s="26">
        <v>8</v>
      </c>
      <c r="E161" s="32">
        <v>1355.04</v>
      </c>
      <c r="F161" s="32">
        <v>10840.32</v>
      </c>
    </row>
    <row r="162" spans="1:6" x14ac:dyDescent="0.25">
      <c r="A162" s="26">
        <v>161</v>
      </c>
      <c r="B162" s="26" t="s">
        <v>219</v>
      </c>
      <c r="C162" s="26" t="s">
        <v>100</v>
      </c>
      <c r="D162" s="26">
        <v>8</v>
      </c>
      <c r="E162" s="32">
        <v>962.84</v>
      </c>
      <c r="F162" s="32">
        <v>7702.72</v>
      </c>
    </row>
    <row r="163" spans="1:6" x14ac:dyDescent="0.25">
      <c r="A163" s="26">
        <v>162</v>
      </c>
      <c r="B163" s="26" t="s">
        <v>220</v>
      </c>
      <c r="C163" s="26" t="s">
        <v>100</v>
      </c>
      <c r="D163" s="26">
        <v>2</v>
      </c>
      <c r="E163" s="32">
        <v>3207.88</v>
      </c>
      <c r="F163" s="32">
        <v>6415.76</v>
      </c>
    </row>
    <row r="164" spans="1:6" x14ac:dyDescent="0.25">
      <c r="A164" s="26">
        <v>163</v>
      </c>
      <c r="B164" s="26" t="s">
        <v>221</v>
      </c>
      <c r="C164" s="26" t="s">
        <v>222</v>
      </c>
      <c r="D164" s="26">
        <v>800</v>
      </c>
      <c r="E164" s="32">
        <v>2.9</v>
      </c>
      <c r="F164" s="32">
        <v>2320</v>
      </c>
    </row>
    <row r="165" spans="1:6" x14ac:dyDescent="0.25">
      <c r="A165" s="26">
        <v>164</v>
      </c>
      <c r="B165" s="26" t="s">
        <v>223</v>
      </c>
      <c r="C165" s="26" t="s">
        <v>224</v>
      </c>
      <c r="D165" s="26">
        <v>400</v>
      </c>
      <c r="E165" s="32">
        <v>3.53</v>
      </c>
      <c r="F165" s="32">
        <v>1412</v>
      </c>
    </row>
    <row r="166" spans="1:6" x14ac:dyDescent="0.25">
      <c r="A166" s="26">
        <v>165</v>
      </c>
      <c r="B166" s="26" t="s">
        <v>225</v>
      </c>
      <c r="C166" s="26" t="s">
        <v>46</v>
      </c>
      <c r="D166" s="26">
        <v>1000</v>
      </c>
      <c r="E166" s="32">
        <v>0.63</v>
      </c>
      <c r="F166" s="32">
        <v>630</v>
      </c>
    </row>
    <row r="167" spans="1:6" x14ac:dyDescent="0.25">
      <c r="A167" s="26">
        <v>166</v>
      </c>
      <c r="B167" s="26" t="s">
        <v>226</v>
      </c>
      <c r="C167" s="26" t="s">
        <v>31</v>
      </c>
      <c r="D167" s="26">
        <v>2400</v>
      </c>
      <c r="E167" s="32">
        <v>1.06</v>
      </c>
      <c r="F167" s="32">
        <v>2544</v>
      </c>
    </row>
    <row r="168" spans="1:6" x14ac:dyDescent="0.25">
      <c r="A168" s="26">
        <v>167</v>
      </c>
      <c r="B168" s="26" t="s">
        <v>227</v>
      </c>
      <c r="C168" s="26" t="s">
        <v>31</v>
      </c>
      <c r="D168" s="26">
        <v>4000</v>
      </c>
      <c r="E168" s="32">
        <v>0.19</v>
      </c>
      <c r="F168" s="32">
        <v>760</v>
      </c>
    </row>
    <row r="169" spans="1:6" x14ac:dyDescent="0.25">
      <c r="A169" s="26">
        <v>168</v>
      </c>
      <c r="B169" s="26" t="s">
        <v>228</v>
      </c>
      <c r="C169" s="26" t="s">
        <v>31</v>
      </c>
      <c r="D169" s="26">
        <v>10000</v>
      </c>
      <c r="E169" s="32">
        <v>0.22</v>
      </c>
      <c r="F169" s="32">
        <v>2200</v>
      </c>
    </row>
    <row r="170" spans="1:6" x14ac:dyDescent="0.25">
      <c r="A170" s="26">
        <v>169</v>
      </c>
      <c r="B170" s="26" t="s">
        <v>229</v>
      </c>
      <c r="C170" s="26" t="s">
        <v>56</v>
      </c>
      <c r="D170" s="26">
        <v>250</v>
      </c>
      <c r="E170" s="32">
        <v>2.4300000000000002</v>
      </c>
      <c r="F170" s="32">
        <v>607.5</v>
      </c>
    </row>
    <row r="171" spans="1:6" x14ac:dyDescent="0.25">
      <c r="A171" s="26">
        <v>170</v>
      </c>
      <c r="B171" s="26" t="s">
        <v>230</v>
      </c>
      <c r="C171" s="26" t="s">
        <v>46</v>
      </c>
      <c r="D171" s="26">
        <v>200</v>
      </c>
      <c r="E171" s="32">
        <v>0.61</v>
      </c>
      <c r="F171" s="32">
        <v>122</v>
      </c>
    </row>
    <row r="172" spans="1:6" x14ac:dyDescent="0.25">
      <c r="A172" s="26">
        <v>171</v>
      </c>
      <c r="B172" s="26" t="s">
        <v>231</v>
      </c>
      <c r="C172" s="26" t="s">
        <v>232</v>
      </c>
      <c r="D172" s="26">
        <v>100</v>
      </c>
      <c r="E172" s="32">
        <v>2.41</v>
      </c>
      <c r="F172" s="32">
        <v>241</v>
      </c>
    </row>
    <row r="173" spans="1:6" x14ac:dyDescent="0.25">
      <c r="A173" s="26">
        <v>172</v>
      </c>
      <c r="B173" s="26" t="s">
        <v>233</v>
      </c>
      <c r="C173" s="26" t="s">
        <v>232</v>
      </c>
      <c r="D173" s="26">
        <v>100</v>
      </c>
      <c r="E173" s="32">
        <v>7.74</v>
      </c>
      <c r="F173" s="32">
        <v>774</v>
      </c>
    </row>
    <row r="174" spans="1:6" x14ac:dyDescent="0.25">
      <c r="A174" s="26">
        <v>173</v>
      </c>
      <c r="B174" s="26" t="s">
        <v>234</v>
      </c>
      <c r="C174" s="26" t="s">
        <v>67</v>
      </c>
      <c r="D174" s="26">
        <v>120</v>
      </c>
      <c r="E174" s="32">
        <v>10.74</v>
      </c>
      <c r="F174" s="32">
        <v>1288.8</v>
      </c>
    </row>
    <row r="175" spans="1:6" x14ac:dyDescent="0.25">
      <c r="A175" s="26">
        <v>174</v>
      </c>
      <c r="B175" s="26" t="s">
        <v>235</v>
      </c>
      <c r="C175" s="26" t="s">
        <v>236</v>
      </c>
      <c r="D175" s="26">
        <v>200</v>
      </c>
      <c r="E175" s="32">
        <v>5.69</v>
      </c>
      <c r="F175" s="32">
        <v>1138</v>
      </c>
    </row>
    <row r="176" spans="1:6" x14ac:dyDescent="0.25">
      <c r="A176" s="26">
        <v>175</v>
      </c>
      <c r="B176" s="26" t="s">
        <v>237</v>
      </c>
      <c r="C176" s="26" t="s">
        <v>236</v>
      </c>
      <c r="D176" s="26">
        <v>200</v>
      </c>
      <c r="E176" s="32">
        <v>5.34</v>
      </c>
      <c r="F176" s="32">
        <v>1068</v>
      </c>
    </row>
    <row r="177" spans="1:6" x14ac:dyDescent="0.25">
      <c r="A177" s="26">
        <v>176</v>
      </c>
      <c r="B177" s="26" t="s">
        <v>238</v>
      </c>
      <c r="C177" s="26" t="s">
        <v>41</v>
      </c>
      <c r="D177" s="26">
        <v>100</v>
      </c>
      <c r="E177" s="32">
        <v>12.51</v>
      </c>
      <c r="F177" s="32">
        <v>1251</v>
      </c>
    </row>
    <row r="178" spans="1:6" x14ac:dyDescent="0.25">
      <c r="A178" s="26">
        <v>177</v>
      </c>
      <c r="B178" s="26" t="s">
        <v>239</v>
      </c>
      <c r="C178" s="26" t="s">
        <v>21</v>
      </c>
      <c r="D178" s="26">
        <v>200</v>
      </c>
      <c r="E178" s="32">
        <v>10.98</v>
      </c>
      <c r="F178" s="32">
        <v>2196</v>
      </c>
    </row>
    <row r="179" spans="1:6" x14ac:dyDescent="0.25">
      <c r="A179" s="26">
        <v>178</v>
      </c>
      <c r="B179" s="26" t="s">
        <v>240</v>
      </c>
      <c r="C179" s="26" t="s">
        <v>38</v>
      </c>
      <c r="D179" s="26">
        <v>100</v>
      </c>
      <c r="E179" s="32">
        <v>6.98</v>
      </c>
      <c r="F179" s="32">
        <v>698</v>
      </c>
    </row>
    <row r="180" spans="1:6" x14ac:dyDescent="0.25">
      <c r="A180" s="26">
        <v>179</v>
      </c>
      <c r="B180" s="26" t="s">
        <v>241</v>
      </c>
      <c r="C180" s="26" t="s">
        <v>46</v>
      </c>
      <c r="D180" s="26">
        <v>500</v>
      </c>
      <c r="E180" s="32">
        <v>12.25</v>
      </c>
      <c r="F180" s="32">
        <v>6125</v>
      </c>
    </row>
    <row r="181" spans="1:6" x14ac:dyDescent="0.25">
      <c r="A181" s="26">
        <v>180</v>
      </c>
      <c r="B181" s="26" t="s">
        <v>242</v>
      </c>
      <c r="C181" s="26" t="s">
        <v>46</v>
      </c>
      <c r="D181" s="26">
        <v>500</v>
      </c>
      <c r="E181" s="32">
        <v>14.38</v>
      </c>
      <c r="F181" s="32">
        <v>7190</v>
      </c>
    </row>
    <row r="182" spans="1:6" x14ac:dyDescent="0.25">
      <c r="A182" s="26">
        <v>181</v>
      </c>
      <c r="B182" s="26" t="s">
        <v>243</v>
      </c>
      <c r="C182" s="26" t="s">
        <v>56</v>
      </c>
      <c r="D182" s="26">
        <v>200</v>
      </c>
      <c r="E182" s="32">
        <v>2.25</v>
      </c>
      <c r="F182" s="32">
        <v>450</v>
      </c>
    </row>
    <row r="183" spans="1:6" x14ac:dyDescent="0.25">
      <c r="A183" s="26">
        <v>182</v>
      </c>
      <c r="B183" s="26" t="s">
        <v>244</v>
      </c>
      <c r="C183" s="26" t="s">
        <v>31</v>
      </c>
      <c r="D183" s="26">
        <v>3000</v>
      </c>
      <c r="E183" s="32">
        <v>2.2400000000000002</v>
      </c>
      <c r="F183" s="32">
        <v>6720</v>
      </c>
    </row>
    <row r="184" spans="1:6" x14ac:dyDescent="0.25">
      <c r="A184" s="26">
        <v>183</v>
      </c>
      <c r="B184" s="26" t="s">
        <v>245</v>
      </c>
      <c r="C184" s="26" t="s">
        <v>41</v>
      </c>
      <c r="D184" s="26">
        <v>200</v>
      </c>
      <c r="E184" s="32">
        <v>2.16</v>
      </c>
      <c r="F184" s="32">
        <v>432</v>
      </c>
    </row>
    <row r="185" spans="1:6" x14ac:dyDescent="0.25">
      <c r="A185" s="26">
        <v>184</v>
      </c>
      <c r="B185" s="26" t="s">
        <v>246</v>
      </c>
      <c r="C185" s="26" t="s">
        <v>41</v>
      </c>
      <c r="D185" s="26">
        <v>50</v>
      </c>
      <c r="E185" s="32">
        <v>12.16</v>
      </c>
      <c r="F185" s="32">
        <v>608</v>
      </c>
    </row>
    <row r="186" spans="1:6" x14ac:dyDescent="0.25">
      <c r="A186" s="26">
        <v>185</v>
      </c>
      <c r="B186" s="26" t="s">
        <v>247</v>
      </c>
      <c r="C186" s="26" t="s">
        <v>41</v>
      </c>
      <c r="D186" s="26">
        <v>100</v>
      </c>
      <c r="E186" s="32">
        <v>2.27</v>
      </c>
      <c r="F186" s="32">
        <v>227</v>
      </c>
    </row>
    <row r="187" spans="1:6" x14ac:dyDescent="0.25">
      <c r="A187" s="26">
        <v>186</v>
      </c>
      <c r="B187" s="26" t="s">
        <v>248</v>
      </c>
      <c r="C187" s="26" t="s">
        <v>38</v>
      </c>
      <c r="D187" s="26">
        <v>50</v>
      </c>
      <c r="E187" s="32">
        <v>41.91</v>
      </c>
      <c r="F187" s="32">
        <v>2095.5</v>
      </c>
    </row>
    <row r="188" spans="1:6" x14ac:dyDescent="0.25">
      <c r="A188" s="26">
        <v>187</v>
      </c>
      <c r="B188" s="26" t="s">
        <v>249</v>
      </c>
      <c r="C188" s="26" t="s">
        <v>56</v>
      </c>
      <c r="D188" s="26">
        <v>50</v>
      </c>
      <c r="E188" s="32">
        <v>15.56</v>
      </c>
      <c r="F188" s="32">
        <v>778</v>
      </c>
    </row>
    <row r="189" spans="1:6" x14ac:dyDescent="0.25">
      <c r="A189" s="26">
        <v>188</v>
      </c>
      <c r="B189" s="26" t="s">
        <v>250</v>
      </c>
      <c r="C189" s="26" t="s">
        <v>31</v>
      </c>
      <c r="D189" s="26">
        <v>2500</v>
      </c>
      <c r="E189" s="32">
        <v>0.38</v>
      </c>
      <c r="F189" s="32">
        <v>950</v>
      </c>
    </row>
    <row r="190" spans="1:6" x14ac:dyDescent="0.25">
      <c r="A190" s="26">
        <v>189</v>
      </c>
      <c r="B190" s="26" t="s">
        <v>251</v>
      </c>
      <c r="C190" s="26" t="s">
        <v>56</v>
      </c>
      <c r="D190" s="26">
        <v>100</v>
      </c>
      <c r="E190" s="32">
        <v>1.9</v>
      </c>
      <c r="F190" s="32">
        <v>190</v>
      </c>
    </row>
    <row r="191" spans="1:6" x14ac:dyDescent="0.25">
      <c r="A191" s="26">
        <v>190</v>
      </c>
      <c r="B191" s="26" t="s">
        <v>252</v>
      </c>
      <c r="C191" s="26" t="s">
        <v>56</v>
      </c>
      <c r="D191" s="26">
        <v>2000</v>
      </c>
      <c r="E191" s="32">
        <v>2.4300000000000002</v>
      </c>
      <c r="F191" s="32">
        <v>4860</v>
      </c>
    </row>
    <row r="192" spans="1:6" x14ac:dyDescent="0.25">
      <c r="A192" s="26">
        <v>191</v>
      </c>
      <c r="B192" s="26" t="s">
        <v>253</v>
      </c>
      <c r="C192" s="26" t="s">
        <v>67</v>
      </c>
      <c r="D192" s="26">
        <v>200</v>
      </c>
      <c r="E192" s="32">
        <v>32.47</v>
      </c>
      <c r="F192" s="32">
        <v>6494</v>
      </c>
    </row>
    <row r="193" spans="1:6" x14ac:dyDescent="0.25">
      <c r="A193" s="26">
        <v>192</v>
      </c>
      <c r="B193" s="26" t="s">
        <v>254</v>
      </c>
      <c r="C193" s="26" t="s">
        <v>255</v>
      </c>
      <c r="D193" s="26">
        <v>200</v>
      </c>
      <c r="E193" s="32">
        <v>139.97</v>
      </c>
      <c r="F193" s="32">
        <v>27994</v>
      </c>
    </row>
    <row r="194" spans="1:6" x14ac:dyDescent="0.25">
      <c r="A194" s="26">
        <v>193</v>
      </c>
      <c r="B194" s="26" t="s">
        <v>256</v>
      </c>
      <c r="C194" s="26" t="s">
        <v>255</v>
      </c>
      <c r="D194" s="26">
        <v>200</v>
      </c>
      <c r="E194" s="32">
        <v>120.71</v>
      </c>
      <c r="F194" s="32">
        <v>24142</v>
      </c>
    </row>
    <row r="195" spans="1:6" x14ac:dyDescent="0.25">
      <c r="A195" s="26">
        <v>194</v>
      </c>
      <c r="B195" s="26" t="s">
        <v>257</v>
      </c>
      <c r="C195" s="26" t="s">
        <v>258</v>
      </c>
      <c r="D195" s="26">
        <v>300</v>
      </c>
      <c r="E195" s="32">
        <v>29.04</v>
      </c>
      <c r="F195" s="32">
        <v>8712</v>
      </c>
    </row>
    <row r="196" spans="1:6" x14ac:dyDescent="0.25">
      <c r="A196" s="26">
        <v>195</v>
      </c>
      <c r="B196" s="26" t="s">
        <v>259</v>
      </c>
      <c r="C196" s="26" t="s">
        <v>260</v>
      </c>
      <c r="D196" s="26">
        <v>100</v>
      </c>
      <c r="E196" s="32">
        <v>9.16</v>
      </c>
      <c r="F196" s="32">
        <v>916</v>
      </c>
    </row>
    <row r="197" spans="1:6" x14ac:dyDescent="0.25">
      <c r="A197" s="26">
        <v>196</v>
      </c>
      <c r="B197" s="26" t="s">
        <v>261</v>
      </c>
      <c r="C197" s="26" t="s">
        <v>71</v>
      </c>
      <c r="D197" s="26">
        <v>2000</v>
      </c>
      <c r="E197" s="32">
        <v>15.69</v>
      </c>
      <c r="F197" s="32">
        <v>31380</v>
      </c>
    </row>
    <row r="198" spans="1:6" x14ac:dyDescent="0.25">
      <c r="A198" s="26">
        <v>197</v>
      </c>
      <c r="B198" s="26" t="s">
        <v>262</v>
      </c>
      <c r="C198" s="26" t="s">
        <v>263</v>
      </c>
      <c r="D198" s="26">
        <v>2000</v>
      </c>
      <c r="E198" s="32">
        <v>9.65</v>
      </c>
      <c r="F198" s="32">
        <v>19300</v>
      </c>
    </row>
    <row r="199" spans="1:6" x14ac:dyDescent="0.25">
      <c r="A199" s="26">
        <v>198</v>
      </c>
      <c r="B199" s="26" t="s">
        <v>264</v>
      </c>
      <c r="C199" s="26" t="s">
        <v>31</v>
      </c>
      <c r="D199" s="26">
        <v>12000</v>
      </c>
      <c r="E199" s="32">
        <v>0.23</v>
      </c>
      <c r="F199" s="32">
        <v>2760</v>
      </c>
    </row>
    <row r="200" spans="1:6" x14ac:dyDescent="0.25">
      <c r="A200" s="26">
        <v>199</v>
      </c>
      <c r="B200" s="26" t="s">
        <v>265</v>
      </c>
      <c r="C200" s="26" t="s">
        <v>266</v>
      </c>
      <c r="D200" s="26">
        <v>1000</v>
      </c>
      <c r="E200" s="32">
        <v>7.78</v>
      </c>
      <c r="F200" s="32">
        <v>7780</v>
      </c>
    </row>
    <row r="201" spans="1:6" x14ac:dyDescent="0.25">
      <c r="A201" s="26">
        <v>200</v>
      </c>
      <c r="B201" s="26" t="s">
        <v>267</v>
      </c>
      <c r="C201" s="26" t="s">
        <v>263</v>
      </c>
      <c r="D201" s="26">
        <v>1000</v>
      </c>
      <c r="E201" s="32">
        <v>10.71</v>
      </c>
      <c r="F201" s="32">
        <v>10710</v>
      </c>
    </row>
    <row r="202" spans="1:6" x14ac:dyDescent="0.25">
      <c r="A202" s="26">
        <v>201</v>
      </c>
      <c r="B202" s="26" t="s">
        <v>268</v>
      </c>
      <c r="C202" s="26" t="s">
        <v>269</v>
      </c>
      <c r="D202" s="26">
        <v>60</v>
      </c>
      <c r="E202" s="32">
        <v>145.01</v>
      </c>
      <c r="F202" s="32">
        <v>8700.6</v>
      </c>
    </row>
    <row r="203" spans="1:6" x14ac:dyDescent="0.25">
      <c r="A203" s="26">
        <v>202</v>
      </c>
      <c r="B203" s="26" t="s">
        <v>270</v>
      </c>
      <c r="C203" s="26" t="s">
        <v>271</v>
      </c>
      <c r="D203" s="26">
        <v>480</v>
      </c>
      <c r="E203" s="32">
        <v>158.66999999999999</v>
      </c>
      <c r="F203" s="32">
        <v>76161.600000000006</v>
      </c>
    </row>
    <row r="204" spans="1:6" x14ac:dyDescent="0.25">
      <c r="A204" s="26">
        <v>203</v>
      </c>
      <c r="B204" s="26" t="s">
        <v>272</v>
      </c>
      <c r="C204" s="26" t="s">
        <v>35</v>
      </c>
      <c r="D204" s="26">
        <v>720</v>
      </c>
      <c r="E204" s="32">
        <v>13.26</v>
      </c>
      <c r="F204" s="32">
        <v>9547.2000000000007</v>
      </c>
    </row>
    <row r="205" spans="1:6" x14ac:dyDescent="0.25">
      <c r="A205" s="26">
        <v>204</v>
      </c>
      <c r="B205" s="26" t="s">
        <v>273</v>
      </c>
      <c r="C205" s="26" t="s">
        <v>162</v>
      </c>
      <c r="D205" s="26">
        <v>100</v>
      </c>
      <c r="E205" s="32">
        <v>687.07</v>
      </c>
      <c r="F205" s="32">
        <v>68707</v>
      </c>
    </row>
    <row r="206" spans="1:6" x14ac:dyDescent="0.25">
      <c r="A206" s="26">
        <v>205</v>
      </c>
      <c r="B206" s="26" t="s">
        <v>274</v>
      </c>
      <c r="C206" s="26" t="s">
        <v>33</v>
      </c>
      <c r="D206" s="26">
        <v>2400</v>
      </c>
      <c r="E206" s="32">
        <v>4.5999999999999996</v>
      </c>
      <c r="F206" s="32">
        <v>11040</v>
      </c>
    </row>
    <row r="207" spans="1:6" x14ac:dyDescent="0.25">
      <c r="A207" s="26">
        <v>206</v>
      </c>
      <c r="B207" s="26" t="s">
        <v>275</v>
      </c>
      <c r="C207" s="26" t="s">
        <v>276</v>
      </c>
      <c r="D207" s="26">
        <v>100</v>
      </c>
      <c r="E207" s="32">
        <v>6.05</v>
      </c>
      <c r="F207" s="32">
        <v>605</v>
      </c>
    </row>
    <row r="208" spans="1:6" x14ac:dyDescent="0.25">
      <c r="A208" s="26">
        <v>207</v>
      </c>
      <c r="B208" s="26" t="s">
        <v>277</v>
      </c>
      <c r="C208" s="26" t="s">
        <v>21</v>
      </c>
      <c r="D208" s="26">
        <v>150</v>
      </c>
      <c r="E208" s="32">
        <v>46.31</v>
      </c>
      <c r="F208" s="32">
        <v>6946.5</v>
      </c>
    </row>
    <row r="209" spans="1:6" x14ac:dyDescent="0.25">
      <c r="A209" s="26">
        <v>208</v>
      </c>
      <c r="B209" s="26" t="s">
        <v>278</v>
      </c>
      <c r="C209" s="26" t="s">
        <v>279</v>
      </c>
      <c r="D209" s="26">
        <v>320</v>
      </c>
      <c r="E209" s="32">
        <v>8.0299999999999994</v>
      </c>
      <c r="F209" s="32">
        <v>2569.6</v>
      </c>
    </row>
    <row r="210" spans="1:6" x14ac:dyDescent="0.25">
      <c r="A210" s="26">
        <v>209</v>
      </c>
      <c r="B210" s="26" t="s">
        <v>280</v>
      </c>
      <c r="C210" s="26" t="s">
        <v>279</v>
      </c>
      <c r="D210" s="26">
        <v>220</v>
      </c>
      <c r="E210" s="32">
        <v>27.22</v>
      </c>
      <c r="F210" s="32">
        <v>5988.4</v>
      </c>
    </row>
    <row r="211" spans="1:6" x14ac:dyDescent="0.25">
      <c r="A211" s="26">
        <v>210</v>
      </c>
      <c r="B211" s="26" t="s">
        <v>281</v>
      </c>
      <c r="C211" s="26" t="s">
        <v>33</v>
      </c>
      <c r="D211" s="26">
        <v>1800</v>
      </c>
      <c r="E211" s="32">
        <v>3.05</v>
      </c>
      <c r="F211" s="32">
        <v>5490</v>
      </c>
    </row>
    <row r="212" spans="1:6" x14ac:dyDescent="0.25">
      <c r="A212" s="26">
        <v>211</v>
      </c>
      <c r="B212" s="26" t="s">
        <v>282</v>
      </c>
      <c r="C212" s="26" t="s">
        <v>31</v>
      </c>
      <c r="D212" s="26">
        <v>1440</v>
      </c>
      <c r="E212" s="32">
        <v>2.64</v>
      </c>
      <c r="F212" s="32">
        <v>3801.6</v>
      </c>
    </row>
    <row r="213" spans="1:6" x14ac:dyDescent="0.25">
      <c r="A213" s="26">
        <v>212</v>
      </c>
      <c r="B213" s="26" t="s">
        <v>283</v>
      </c>
      <c r="C213" s="26" t="s">
        <v>31</v>
      </c>
      <c r="D213" s="26">
        <v>1440</v>
      </c>
      <c r="E213" s="32">
        <v>1.1399999999999999</v>
      </c>
      <c r="F213" s="32">
        <v>1641.6</v>
      </c>
    </row>
    <row r="214" spans="1:6" x14ac:dyDescent="0.25">
      <c r="A214" s="26">
        <v>213</v>
      </c>
      <c r="B214" s="26" t="s">
        <v>284</v>
      </c>
      <c r="C214" s="26" t="s">
        <v>31</v>
      </c>
      <c r="D214" s="26">
        <v>1440</v>
      </c>
      <c r="E214" s="32">
        <v>4.0599999999999996</v>
      </c>
      <c r="F214" s="32">
        <v>5846.4</v>
      </c>
    </row>
    <row r="215" spans="1:6" x14ac:dyDescent="0.25">
      <c r="A215" s="26">
        <v>214</v>
      </c>
      <c r="B215" s="26" t="s">
        <v>285</v>
      </c>
      <c r="C215" s="26" t="s">
        <v>31</v>
      </c>
      <c r="D215" s="26">
        <v>960</v>
      </c>
      <c r="E215" s="32">
        <v>6.45</v>
      </c>
      <c r="F215" s="32">
        <v>6192</v>
      </c>
    </row>
    <row r="216" spans="1:6" x14ac:dyDescent="0.25">
      <c r="A216" s="26">
        <v>215</v>
      </c>
      <c r="B216" s="26" t="s">
        <v>286</v>
      </c>
      <c r="C216" s="26" t="s">
        <v>31</v>
      </c>
      <c r="D216" s="26">
        <v>1440</v>
      </c>
      <c r="E216" s="32">
        <v>2.85</v>
      </c>
      <c r="F216" s="32">
        <v>4104</v>
      </c>
    </row>
    <row r="217" spans="1:6" x14ac:dyDescent="0.25">
      <c r="A217" s="26">
        <v>216</v>
      </c>
      <c r="B217" s="26" t="s">
        <v>287</v>
      </c>
      <c r="C217" s="26" t="s">
        <v>31</v>
      </c>
      <c r="D217" s="26">
        <v>1440</v>
      </c>
      <c r="E217" s="32">
        <v>3.34</v>
      </c>
      <c r="F217" s="32">
        <v>4809.6000000000004</v>
      </c>
    </row>
    <row r="218" spans="1:6" x14ac:dyDescent="0.25">
      <c r="A218" s="26">
        <v>217</v>
      </c>
      <c r="B218" s="26" t="s">
        <v>288</v>
      </c>
      <c r="C218" s="26" t="s">
        <v>31</v>
      </c>
      <c r="D218" s="26">
        <v>1440</v>
      </c>
      <c r="E218" s="32">
        <v>1.24</v>
      </c>
      <c r="F218" s="32">
        <v>1785.6</v>
      </c>
    </row>
    <row r="219" spans="1:6" x14ac:dyDescent="0.25">
      <c r="A219" s="26">
        <v>218</v>
      </c>
      <c r="B219" s="26" t="s">
        <v>289</v>
      </c>
      <c r="C219" s="26" t="s">
        <v>100</v>
      </c>
      <c r="D219" s="26">
        <v>10</v>
      </c>
      <c r="E219" s="32">
        <v>18.940000000000001</v>
      </c>
      <c r="F219" s="32">
        <v>189.4</v>
      </c>
    </row>
    <row r="220" spans="1:6" x14ac:dyDescent="0.25">
      <c r="A220" s="26">
        <v>219</v>
      </c>
      <c r="B220" s="26" t="s">
        <v>290</v>
      </c>
      <c r="C220" s="26" t="s">
        <v>100</v>
      </c>
      <c r="D220" s="26">
        <v>10</v>
      </c>
      <c r="E220" s="32">
        <v>31.08</v>
      </c>
      <c r="F220" s="32">
        <v>310.8</v>
      </c>
    </row>
    <row r="221" spans="1:6" x14ac:dyDescent="0.25">
      <c r="A221" s="26">
        <v>220</v>
      </c>
      <c r="B221" s="26" t="s">
        <v>291</v>
      </c>
      <c r="C221" s="26" t="s">
        <v>100</v>
      </c>
      <c r="D221" s="26">
        <v>10</v>
      </c>
      <c r="E221" s="32">
        <v>23.79</v>
      </c>
      <c r="F221" s="32">
        <v>237.9</v>
      </c>
    </row>
    <row r="222" spans="1:6" x14ac:dyDescent="0.25">
      <c r="A222" s="26">
        <v>221</v>
      </c>
      <c r="B222" s="26" t="s">
        <v>292</v>
      </c>
      <c r="C222" s="26" t="s">
        <v>100</v>
      </c>
      <c r="D222" s="26">
        <v>10</v>
      </c>
      <c r="E222" s="32">
        <v>16.12</v>
      </c>
      <c r="F222" s="32">
        <v>161.19999999999999</v>
      </c>
    </row>
    <row r="223" spans="1:6" x14ac:dyDescent="0.25">
      <c r="A223" s="26">
        <v>222</v>
      </c>
      <c r="B223" s="26" t="s">
        <v>293</v>
      </c>
      <c r="C223" s="26" t="s">
        <v>100</v>
      </c>
      <c r="D223" s="26">
        <v>10</v>
      </c>
      <c r="E223" s="32">
        <v>28.2</v>
      </c>
      <c r="F223" s="32">
        <v>282</v>
      </c>
    </row>
    <row r="224" spans="1:6" x14ac:dyDescent="0.25">
      <c r="A224" s="26">
        <v>223</v>
      </c>
      <c r="B224" s="26" t="s">
        <v>294</v>
      </c>
      <c r="C224" s="26" t="s">
        <v>100</v>
      </c>
      <c r="D224" s="26">
        <v>10</v>
      </c>
      <c r="E224" s="32">
        <v>100.81</v>
      </c>
      <c r="F224" s="32">
        <v>1008.1</v>
      </c>
    </row>
    <row r="225" spans="1:6" x14ac:dyDescent="0.25">
      <c r="A225" s="26">
        <v>224</v>
      </c>
      <c r="B225" s="26" t="s">
        <v>295</v>
      </c>
      <c r="C225" s="26" t="s">
        <v>100</v>
      </c>
      <c r="D225" s="26">
        <v>20</v>
      </c>
      <c r="E225" s="32">
        <v>359.22</v>
      </c>
      <c r="F225" s="32">
        <v>7184.4</v>
      </c>
    </row>
    <row r="226" spans="1:6" x14ac:dyDescent="0.25">
      <c r="A226" s="26">
        <v>225</v>
      </c>
      <c r="B226" s="26" t="s">
        <v>296</v>
      </c>
      <c r="C226" s="26" t="s">
        <v>297</v>
      </c>
      <c r="D226" s="26">
        <v>10</v>
      </c>
      <c r="E226" s="32">
        <v>77.540000000000006</v>
      </c>
      <c r="F226" s="32">
        <v>775.4</v>
      </c>
    </row>
    <row r="227" spans="1:6" x14ac:dyDescent="0.25">
      <c r="A227" s="26">
        <v>226</v>
      </c>
      <c r="B227" s="26" t="s">
        <v>298</v>
      </c>
      <c r="C227" s="26" t="s">
        <v>100</v>
      </c>
      <c r="D227" s="26">
        <v>20</v>
      </c>
      <c r="E227" s="32">
        <v>157.76</v>
      </c>
      <c r="F227" s="32">
        <v>3155.2</v>
      </c>
    </row>
    <row r="228" spans="1:6" x14ac:dyDescent="0.25">
      <c r="A228" s="26">
        <v>227</v>
      </c>
      <c r="B228" s="26" t="s">
        <v>299</v>
      </c>
      <c r="C228" s="26" t="s">
        <v>100</v>
      </c>
      <c r="D228" s="26">
        <v>20</v>
      </c>
      <c r="E228" s="32">
        <v>2.5299999999999998</v>
      </c>
      <c r="F228" s="32">
        <v>50.6</v>
      </c>
    </row>
    <row r="229" spans="1:6" x14ac:dyDescent="0.25">
      <c r="A229" s="26">
        <v>228</v>
      </c>
      <c r="B229" s="26" t="s">
        <v>300</v>
      </c>
      <c r="C229" s="26" t="s">
        <v>100</v>
      </c>
      <c r="D229" s="26">
        <v>20</v>
      </c>
      <c r="E229" s="32">
        <v>1.91</v>
      </c>
      <c r="F229" s="32">
        <v>38.200000000000003</v>
      </c>
    </row>
    <row r="230" spans="1:6" x14ac:dyDescent="0.25">
      <c r="A230" s="26">
        <v>229</v>
      </c>
      <c r="B230" s="26" t="s">
        <v>301</v>
      </c>
      <c r="C230" s="26" t="s">
        <v>100</v>
      </c>
      <c r="D230" s="26">
        <v>20</v>
      </c>
      <c r="E230" s="32">
        <v>2.0299999999999998</v>
      </c>
      <c r="F230" s="32">
        <v>40.6</v>
      </c>
    </row>
    <row r="231" spans="1:6" x14ac:dyDescent="0.25">
      <c r="A231" s="26">
        <v>230</v>
      </c>
      <c r="B231" s="26" t="s">
        <v>302</v>
      </c>
      <c r="C231" s="26" t="s">
        <v>100</v>
      </c>
      <c r="D231" s="26">
        <v>20</v>
      </c>
      <c r="E231" s="32">
        <v>2.7</v>
      </c>
      <c r="F231" s="32">
        <v>54</v>
      </c>
    </row>
    <row r="232" spans="1:6" x14ac:dyDescent="0.25">
      <c r="A232" s="26">
        <v>231</v>
      </c>
      <c r="B232" s="26" t="s">
        <v>303</v>
      </c>
      <c r="C232" s="26" t="s">
        <v>100</v>
      </c>
      <c r="D232" s="26">
        <v>20</v>
      </c>
      <c r="E232" s="32">
        <v>2.99</v>
      </c>
      <c r="F232" s="32">
        <v>59.8</v>
      </c>
    </row>
    <row r="233" spans="1:6" x14ac:dyDescent="0.25">
      <c r="A233" s="26">
        <v>232</v>
      </c>
      <c r="B233" s="26" t="s">
        <v>304</v>
      </c>
      <c r="C233" s="26" t="s">
        <v>100</v>
      </c>
      <c r="D233" s="26">
        <v>20</v>
      </c>
      <c r="E233" s="32">
        <v>1.92</v>
      </c>
      <c r="F233" s="32">
        <v>38.4</v>
      </c>
    </row>
    <row r="234" spans="1:6" x14ac:dyDescent="0.25">
      <c r="A234" s="26">
        <v>233</v>
      </c>
      <c r="B234" s="26" t="s">
        <v>305</v>
      </c>
      <c r="C234" s="26" t="s">
        <v>100</v>
      </c>
      <c r="D234" s="26">
        <v>20</v>
      </c>
      <c r="E234" s="32">
        <v>1.87</v>
      </c>
      <c r="F234" s="32">
        <v>37.4</v>
      </c>
    </row>
    <row r="235" spans="1:6" x14ac:dyDescent="0.25">
      <c r="A235" s="26">
        <v>234</v>
      </c>
      <c r="B235" s="26" t="s">
        <v>306</v>
      </c>
      <c r="C235" s="26" t="s">
        <v>100</v>
      </c>
      <c r="D235" s="26">
        <v>20</v>
      </c>
      <c r="E235" s="32">
        <v>2.17</v>
      </c>
      <c r="F235" s="32">
        <v>43.4</v>
      </c>
    </row>
    <row r="236" spans="1:6" x14ac:dyDescent="0.25">
      <c r="A236" s="26">
        <v>235</v>
      </c>
      <c r="B236" s="26" t="s">
        <v>307</v>
      </c>
      <c r="C236" s="26" t="s">
        <v>100</v>
      </c>
      <c r="D236" s="26">
        <v>20</v>
      </c>
      <c r="E236" s="32">
        <v>4.41</v>
      </c>
      <c r="F236" s="32">
        <v>88.2</v>
      </c>
    </row>
    <row r="237" spans="1:6" x14ac:dyDescent="0.25">
      <c r="A237" s="26">
        <v>236</v>
      </c>
      <c r="B237" s="26" t="s">
        <v>308</v>
      </c>
      <c r="C237" s="26" t="s">
        <v>100</v>
      </c>
      <c r="D237" s="26">
        <v>20</v>
      </c>
      <c r="E237" s="32">
        <v>1.72</v>
      </c>
      <c r="F237" s="32">
        <v>34.4</v>
      </c>
    </row>
    <row r="238" spans="1:6" x14ac:dyDescent="0.25">
      <c r="A238" s="26">
        <v>237</v>
      </c>
      <c r="B238" s="26" t="s">
        <v>309</v>
      </c>
      <c r="C238" s="26" t="s">
        <v>100</v>
      </c>
      <c r="D238" s="26">
        <v>20</v>
      </c>
      <c r="E238" s="32">
        <v>1.61</v>
      </c>
      <c r="F238" s="32">
        <v>32.200000000000003</v>
      </c>
    </row>
    <row r="239" spans="1:6" x14ac:dyDescent="0.25">
      <c r="A239" s="26">
        <v>238</v>
      </c>
      <c r="B239" s="26" t="s">
        <v>310</v>
      </c>
      <c r="C239" s="26" t="s">
        <v>100</v>
      </c>
      <c r="D239" s="26">
        <v>20</v>
      </c>
      <c r="E239" s="32">
        <v>1.69</v>
      </c>
      <c r="F239" s="32">
        <v>33.799999999999997</v>
      </c>
    </row>
    <row r="240" spans="1:6" x14ac:dyDescent="0.25">
      <c r="A240" s="26">
        <v>239</v>
      </c>
      <c r="B240" s="26" t="s">
        <v>311</v>
      </c>
      <c r="C240" s="26" t="s">
        <v>100</v>
      </c>
      <c r="D240" s="26">
        <v>100</v>
      </c>
      <c r="E240" s="32">
        <v>5.76</v>
      </c>
      <c r="F240" s="32">
        <v>576</v>
      </c>
    </row>
    <row r="241" spans="1:6" x14ac:dyDescent="0.25">
      <c r="A241" s="26">
        <v>240</v>
      </c>
      <c r="B241" s="26" t="s">
        <v>312</v>
      </c>
      <c r="C241" s="26" t="s">
        <v>100</v>
      </c>
      <c r="D241" s="26">
        <v>200</v>
      </c>
      <c r="E241" s="32">
        <v>6.53</v>
      </c>
      <c r="F241" s="32">
        <v>1306</v>
      </c>
    </row>
    <row r="242" spans="1:6" x14ac:dyDescent="0.25">
      <c r="A242" s="26">
        <v>241</v>
      </c>
      <c r="B242" s="26" t="s">
        <v>313</v>
      </c>
      <c r="C242" s="26" t="s">
        <v>100</v>
      </c>
      <c r="D242" s="26">
        <v>1000</v>
      </c>
      <c r="E242" s="32">
        <v>3.28</v>
      </c>
      <c r="F242" s="32">
        <v>3280</v>
      </c>
    </row>
    <row r="243" spans="1:6" x14ac:dyDescent="0.25">
      <c r="A243" s="26">
        <v>242</v>
      </c>
      <c r="B243" s="26" t="s">
        <v>314</v>
      </c>
      <c r="C243" s="26" t="s">
        <v>100</v>
      </c>
      <c r="D243" s="26">
        <v>1000</v>
      </c>
      <c r="E243" s="32">
        <v>4.9800000000000004</v>
      </c>
      <c r="F243" s="32">
        <v>4980</v>
      </c>
    </row>
    <row r="244" spans="1:6" x14ac:dyDescent="0.25">
      <c r="A244" s="26">
        <v>243</v>
      </c>
      <c r="B244" s="26" t="s">
        <v>315</v>
      </c>
      <c r="C244" s="26" t="s">
        <v>100</v>
      </c>
      <c r="D244" s="26">
        <v>200</v>
      </c>
      <c r="E244" s="32">
        <v>7.23</v>
      </c>
      <c r="F244" s="32">
        <v>1446</v>
      </c>
    </row>
    <row r="245" spans="1:6" x14ac:dyDescent="0.25">
      <c r="A245" s="26">
        <v>244</v>
      </c>
      <c r="B245" s="26" t="s">
        <v>316</v>
      </c>
      <c r="C245" s="26" t="s">
        <v>100</v>
      </c>
      <c r="D245" s="26">
        <v>200</v>
      </c>
      <c r="E245" s="32">
        <v>5.99</v>
      </c>
      <c r="F245" s="32">
        <v>1198</v>
      </c>
    </row>
    <row r="246" spans="1:6" x14ac:dyDescent="0.25">
      <c r="A246" s="26">
        <v>245</v>
      </c>
      <c r="B246" s="26" t="s">
        <v>317</v>
      </c>
      <c r="C246" s="26" t="s">
        <v>100</v>
      </c>
      <c r="D246" s="26">
        <v>500</v>
      </c>
      <c r="E246" s="32">
        <v>17.84</v>
      </c>
      <c r="F246" s="32">
        <v>8920</v>
      </c>
    </row>
    <row r="247" spans="1:6" x14ac:dyDescent="0.25">
      <c r="A247" s="26">
        <v>246</v>
      </c>
      <c r="B247" s="26" t="s">
        <v>318</v>
      </c>
      <c r="C247" s="26" t="s">
        <v>100</v>
      </c>
      <c r="D247" s="26">
        <v>4000</v>
      </c>
      <c r="E247" s="32">
        <v>0.96</v>
      </c>
      <c r="F247" s="32">
        <v>3840</v>
      </c>
    </row>
    <row r="248" spans="1:6" x14ac:dyDescent="0.25">
      <c r="A248" s="26">
        <v>247</v>
      </c>
      <c r="B248" s="26" t="s">
        <v>319</v>
      </c>
      <c r="C248" s="26" t="s">
        <v>100</v>
      </c>
      <c r="D248" s="26">
        <v>4000</v>
      </c>
      <c r="E248" s="32">
        <v>1.22</v>
      </c>
      <c r="F248" s="32">
        <v>4880</v>
      </c>
    </row>
    <row r="249" spans="1:6" x14ac:dyDescent="0.25">
      <c r="A249" s="26">
        <v>248</v>
      </c>
      <c r="B249" s="26" t="s">
        <v>320</v>
      </c>
      <c r="C249" s="26" t="s">
        <v>321</v>
      </c>
      <c r="D249" s="26">
        <v>5</v>
      </c>
      <c r="E249" s="32">
        <v>26.05</v>
      </c>
      <c r="F249" s="32">
        <v>130.25</v>
      </c>
    </row>
    <row r="250" spans="1:6" x14ac:dyDescent="0.25">
      <c r="A250" s="26">
        <v>249</v>
      </c>
      <c r="B250" s="26" t="s">
        <v>322</v>
      </c>
      <c r="C250" s="26" t="s">
        <v>323</v>
      </c>
      <c r="D250" s="26">
        <v>6</v>
      </c>
      <c r="E250" s="32">
        <v>100.45</v>
      </c>
      <c r="F250" s="32">
        <v>602.70000000000005</v>
      </c>
    </row>
    <row r="251" spans="1:6" x14ac:dyDescent="0.25">
      <c r="A251" s="26">
        <v>250</v>
      </c>
      <c r="B251" s="26" t="s">
        <v>324</v>
      </c>
      <c r="C251" s="26" t="s">
        <v>100</v>
      </c>
      <c r="D251" s="26">
        <v>1500</v>
      </c>
      <c r="E251" s="32">
        <v>0.49</v>
      </c>
      <c r="F251" s="32">
        <v>735</v>
      </c>
    </row>
    <row r="252" spans="1:6" x14ac:dyDescent="0.25">
      <c r="A252" s="26">
        <v>251</v>
      </c>
      <c r="B252" s="26" t="s">
        <v>325</v>
      </c>
      <c r="C252" s="26" t="s">
        <v>100</v>
      </c>
      <c r="D252" s="26">
        <v>2500</v>
      </c>
      <c r="E252" s="32">
        <v>0.87</v>
      </c>
      <c r="F252" s="32">
        <v>2175</v>
      </c>
    </row>
    <row r="253" spans="1:6" x14ac:dyDescent="0.25">
      <c r="A253" s="26">
        <v>252</v>
      </c>
      <c r="B253" s="26" t="s">
        <v>326</v>
      </c>
      <c r="C253" s="26" t="s">
        <v>100</v>
      </c>
      <c r="D253" s="26">
        <v>700</v>
      </c>
      <c r="E253" s="32">
        <v>0.9</v>
      </c>
      <c r="F253" s="32">
        <v>630</v>
      </c>
    </row>
    <row r="254" spans="1:6" x14ac:dyDescent="0.25">
      <c r="A254" s="26">
        <v>253</v>
      </c>
      <c r="B254" s="26" t="s">
        <v>327</v>
      </c>
      <c r="C254" s="26" t="s">
        <v>321</v>
      </c>
      <c r="D254" s="26">
        <v>6</v>
      </c>
      <c r="E254" s="32">
        <v>46.28</v>
      </c>
      <c r="F254" s="32">
        <v>277.68</v>
      </c>
    </row>
    <row r="255" spans="1:6" x14ac:dyDescent="0.25">
      <c r="A255" s="26">
        <v>254</v>
      </c>
      <c r="B255" s="26" t="s">
        <v>328</v>
      </c>
      <c r="C255" s="26" t="s">
        <v>329</v>
      </c>
      <c r="D255" s="26">
        <v>6</v>
      </c>
      <c r="E255" s="32">
        <v>73.78</v>
      </c>
      <c r="F255" s="32">
        <v>442.68</v>
      </c>
    </row>
    <row r="256" spans="1:6" x14ac:dyDescent="0.25">
      <c r="A256" s="26">
        <v>255</v>
      </c>
      <c r="B256" s="26" t="s">
        <v>330</v>
      </c>
      <c r="C256" s="26" t="s">
        <v>331</v>
      </c>
      <c r="D256" s="26">
        <v>15</v>
      </c>
      <c r="E256" s="32">
        <v>20.12</v>
      </c>
      <c r="F256" s="32">
        <v>301.8</v>
      </c>
    </row>
    <row r="257" spans="1:6" x14ac:dyDescent="0.25">
      <c r="A257" s="26">
        <v>256</v>
      </c>
      <c r="B257" s="26" t="s">
        <v>332</v>
      </c>
      <c r="C257" s="26" t="s">
        <v>143</v>
      </c>
      <c r="D257" s="26">
        <v>750</v>
      </c>
      <c r="E257" s="32">
        <v>0.28000000000000003</v>
      </c>
      <c r="F257" s="32">
        <v>210</v>
      </c>
    </row>
    <row r="258" spans="1:6" x14ac:dyDescent="0.25">
      <c r="A258" s="26">
        <v>257</v>
      </c>
      <c r="B258" s="26" t="s">
        <v>333</v>
      </c>
      <c r="C258" s="26" t="s">
        <v>321</v>
      </c>
      <c r="D258" s="26">
        <v>15</v>
      </c>
      <c r="E258" s="32">
        <v>15.43</v>
      </c>
      <c r="F258" s="32">
        <v>231.45</v>
      </c>
    </row>
    <row r="259" spans="1:6" x14ac:dyDescent="0.25">
      <c r="A259" s="26">
        <v>258</v>
      </c>
      <c r="B259" s="26" t="s">
        <v>334</v>
      </c>
      <c r="C259" s="26" t="s">
        <v>143</v>
      </c>
      <c r="D259" s="26">
        <v>750</v>
      </c>
      <c r="E259" s="32">
        <v>0.26</v>
      </c>
      <c r="F259" s="32">
        <v>195</v>
      </c>
    </row>
    <row r="260" spans="1:6" x14ac:dyDescent="0.25">
      <c r="A260" s="26">
        <v>259</v>
      </c>
      <c r="B260" s="26" t="s">
        <v>335</v>
      </c>
      <c r="C260" s="26" t="s">
        <v>321</v>
      </c>
      <c r="D260" s="26">
        <v>15</v>
      </c>
      <c r="E260" s="32">
        <v>15.84</v>
      </c>
      <c r="F260" s="32">
        <v>237.6</v>
      </c>
    </row>
    <row r="261" spans="1:6" x14ac:dyDescent="0.25">
      <c r="A261" s="26">
        <v>260</v>
      </c>
      <c r="B261" s="26" t="s">
        <v>336</v>
      </c>
      <c r="C261" s="26" t="s">
        <v>321</v>
      </c>
      <c r="D261" s="26">
        <v>15</v>
      </c>
      <c r="E261" s="32">
        <v>19.34</v>
      </c>
      <c r="F261" s="32">
        <v>290.10000000000002</v>
      </c>
    </row>
    <row r="262" spans="1:6" x14ac:dyDescent="0.25">
      <c r="A262" s="26">
        <v>261</v>
      </c>
      <c r="B262" s="26" t="s">
        <v>337</v>
      </c>
      <c r="C262" s="26" t="s">
        <v>321</v>
      </c>
      <c r="D262" s="26">
        <v>15</v>
      </c>
      <c r="E262" s="32">
        <v>14.9</v>
      </c>
      <c r="F262" s="32">
        <v>223.5</v>
      </c>
    </row>
    <row r="263" spans="1:6" x14ac:dyDescent="0.25">
      <c r="A263" s="26">
        <v>262</v>
      </c>
      <c r="B263" s="26" t="s">
        <v>338</v>
      </c>
      <c r="C263" s="26" t="s">
        <v>143</v>
      </c>
      <c r="D263" s="26">
        <v>750</v>
      </c>
      <c r="E263" s="32">
        <v>0.39</v>
      </c>
      <c r="F263" s="32">
        <v>292.5</v>
      </c>
    </row>
    <row r="264" spans="1:6" x14ac:dyDescent="0.25">
      <c r="A264" s="26">
        <v>263</v>
      </c>
      <c r="B264" s="26" t="s">
        <v>339</v>
      </c>
      <c r="C264" s="26" t="s">
        <v>321</v>
      </c>
      <c r="D264" s="26">
        <v>15</v>
      </c>
      <c r="E264" s="32">
        <v>17.13</v>
      </c>
      <c r="F264" s="32">
        <v>256.95</v>
      </c>
    </row>
    <row r="265" spans="1:6" x14ac:dyDescent="0.25">
      <c r="A265" s="26">
        <v>264</v>
      </c>
      <c r="B265" s="26" t="s">
        <v>340</v>
      </c>
      <c r="C265" s="26" t="s">
        <v>321</v>
      </c>
      <c r="D265" s="26">
        <v>15</v>
      </c>
      <c r="E265" s="32">
        <v>18.829999999999998</v>
      </c>
      <c r="F265" s="32">
        <v>282.45</v>
      </c>
    </row>
    <row r="266" spans="1:6" x14ac:dyDescent="0.25">
      <c r="A266" s="26">
        <v>265</v>
      </c>
      <c r="B266" s="26" t="s">
        <v>341</v>
      </c>
      <c r="C266" s="26" t="s">
        <v>321</v>
      </c>
      <c r="D266" s="26">
        <v>15</v>
      </c>
      <c r="E266" s="32">
        <v>18.7</v>
      </c>
      <c r="F266" s="32">
        <v>280.5</v>
      </c>
    </row>
    <row r="267" spans="1:6" x14ac:dyDescent="0.25">
      <c r="A267" s="26">
        <v>266</v>
      </c>
      <c r="B267" s="26" t="s">
        <v>342</v>
      </c>
      <c r="C267" s="26" t="s">
        <v>143</v>
      </c>
      <c r="D267" s="26">
        <v>750</v>
      </c>
      <c r="E267" s="32">
        <v>0.28999999999999998</v>
      </c>
      <c r="F267" s="32">
        <v>217.5</v>
      </c>
    </row>
    <row r="268" spans="1:6" x14ac:dyDescent="0.25">
      <c r="A268" s="26">
        <v>267</v>
      </c>
      <c r="B268" s="26" t="s">
        <v>343</v>
      </c>
      <c r="C268" s="26" t="s">
        <v>321</v>
      </c>
      <c r="D268" s="26">
        <v>15</v>
      </c>
      <c r="E268" s="32">
        <v>19.03</v>
      </c>
      <c r="F268" s="32">
        <v>285.45</v>
      </c>
    </row>
    <row r="269" spans="1:6" x14ac:dyDescent="0.25">
      <c r="A269" s="26">
        <v>268</v>
      </c>
      <c r="B269" s="26" t="s">
        <v>344</v>
      </c>
      <c r="C269" s="26" t="s">
        <v>321</v>
      </c>
      <c r="D269" s="26">
        <v>15</v>
      </c>
      <c r="E269" s="32">
        <v>19.95</v>
      </c>
      <c r="F269" s="32">
        <v>299.25</v>
      </c>
    </row>
    <row r="270" spans="1:6" x14ac:dyDescent="0.25">
      <c r="A270" s="26">
        <v>269</v>
      </c>
      <c r="B270" s="26" t="s">
        <v>345</v>
      </c>
      <c r="C270" s="26" t="s">
        <v>321</v>
      </c>
      <c r="D270" s="26">
        <v>15</v>
      </c>
      <c r="E270" s="32">
        <v>17.72</v>
      </c>
      <c r="F270" s="32">
        <v>265.8</v>
      </c>
    </row>
    <row r="271" spans="1:6" x14ac:dyDescent="0.25">
      <c r="A271" s="26">
        <v>270</v>
      </c>
      <c r="B271" s="26" t="s">
        <v>346</v>
      </c>
      <c r="C271" s="26" t="s">
        <v>321</v>
      </c>
      <c r="D271" s="26">
        <v>15</v>
      </c>
      <c r="E271" s="32">
        <v>14.73</v>
      </c>
      <c r="F271" s="32">
        <v>220.95</v>
      </c>
    </row>
    <row r="272" spans="1:6" x14ac:dyDescent="0.25">
      <c r="A272" s="26">
        <v>271</v>
      </c>
      <c r="B272" s="26" t="s">
        <v>347</v>
      </c>
      <c r="C272" s="26" t="s">
        <v>321</v>
      </c>
      <c r="D272" s="26">
        <v>15</v>
      </c>
      <c r="E272" s="32">
        <v>20.65</v>
      </c>
      <c r="F272" s="32">
        <v>309.75</v>
      </c>
    </row>
    <row r="273" spans="1:6" x14ac:dyDescent="0.25">
      <c r="A273" s="26">
        <v>272</v>
      </c>
      <c r="B273" s="26" t="s">
        <v>348</v>
      </c>
      <c r="C273" s="26" t="s">
        <v>321</v>
      </c>
      <c r="D273" s="26">
        <v>15</v>
      </c>
      <c r="E273" s="32">
        <v>18.73</v>
      </c>
      <c r="F273" s="32">
        <v>280.95</v>
      </c>
    </row>
    <row r="274" spans="1:6" x14ac:dyDescent="0.25">
      <c r="A274" s="26">
        <v>273</v>
      </c>
      <c r="B274" s="26" t="s">
        <v>349</v>
      </c>
      <c r="C274" s="26" t="s">
        <v>321</v>
      </c>
      <c r="D274" s="26">
        <v>15</v>
      </c>
      <c r="E274" s="32">
        <v>11.22</v>
      </c>
      <c r="F274" s="32">
        <v>168.3</v>
      </c>
    </row>
    <row r="275" spans="1:6" x14ac:dyDescent="0.25">
      <c r="A275" s="26">
        <v>274</v>
      </c>
      <c r="B275" s="26" t="s">
        <v>350</v>
      </c>
      <c r="C275" s="26" t="s">
        <v>321</v>
      </c>
      <c r="D275" s="26">
        <v>15</v>
      </c>
      <c r="E275" s="32">
        <v>14.82</v>
      </c>
      <c r="F275" s="32">
        <v>222.3</v>
      </c>
    </row>
    <row r="276" spans="1:6" x14ac:dyDescent="0.25">
      <c r="A276" s="26">
        <v>275</v>
      </c>
      <c r="B276" s="26" t="s">
        <v>351</v>
      </c>
      <c r="C276" s="26" t="s">
        <v>321</v>
      </c>
      <c r="D276" s="26">
        <v>15</v>
      </c>
      <c r="E276" s="32">
        <v>24.39</v>
      </c>
      <c r="F276" s="32">
        <v>365.85</v>
      </c>
    </row>
    <row r="277" spans="1:6" x14ac:dyDescent="0.25">
      <c r="A277" s="26">
        <v>276</v>
      </c>
      <c r="B277" s="26" t="s">
        <v>352</v>
      </c>
      <c r="C277" s="26" t="s">
        <v>321</v>
      </c>
      <c r="D277" s="26">
        <v>15</v>
      </c>
      <c r="E277" s="32">
        <v>15.3</v>
      </c>
      <c r="F277" s="32">
        <v>229.5</v>
      </c>
    </row>
    <row r="278" spans="1:6" x14ac:dyDescent="0.25">
      <c r="A278" s="26">
        <v>277</v>
      </c>
      <c r="B278" s="26" t="s">
        <v>353</v>
      </c>
      <c r="C278" s="26" t="s">
        <v>321</v>
      </c>
      <c r="D278" s="26">
        <v>15</v>
      </c>
      <c r="E278" s="32">
        <v>11.68</v>
      </c>
      <c r="F278" s="32">
        <v>175.2</v>
      </c>
    </row>
    <row r="279" spans="1:6" x14ac:dyDescent="0.25">
      <c r="A279" s="26">
        <v>278</v>
      </c>
      <c r="B279" s="26" t="s">
        <v>354</v>
      </c>
      <c r="C279" s="26" t="s">
        <v>321</v>
      </c>
      <c r="D279" s="26">
        <v>15</v>
      </c>
      <c r="E279" s="32">
        <v>13.66</v>
      </c>
      <c r="F279" s="32">
        <v>204.9</v>
      </c>
    </row>
    <row r="280" spans="1:6" x14ac:dyDescent="0.25">
      <c r="A280" s="26">
        <v>279</v>
      </c>
      <c r="B280" s="26" t="s">
        <v>355</v>
      </c>
      <c r="C280" s="26" t="s">
        <v>100</v>
      </c>
      <c r="D280" s="26">
        <v>10</v>
      </c>
      <c r="E280" s="32">
        <v>22.42</v>
      </c>
      <c r="F280" s="32">
        <v>224.2</v>
      </c>
    </row>
    <row r="281" spans="1:6" x14ac:dyDescent="0.25">
      <c r="A281" s="26">
        <v>280</v>
      </c>
      <c r="B281" s="26" t="s">
        <v>356</v>
      </c>
      <c r="C281" s="26" t="s">
        <v>100</v>
      </c>
      <c r="D281" s="26">
        <v>10</v>
      </c>
      <c r="E281" s="32">
        <v>10.63</v>
      </c>
      <c r="F281" s="32">
        <v>106.3</v>
      </c>
    </row>
    <row r="282" spans="1:6" x14ac:dyDescent="0.25">
      <c r="A282" s="26">
        <v>281</v>
      </c>
      <c r="B282" s="26" t="s">
        <v>357</v>
      </c>
      <c r="C282" s="26" t="s">
        <v>100</v>
      </c>
      <c r="D282" s="26">
        <v>1.5</v>
      </c>
      <c r="E282" s="32">
        <v>0.52</v>
      </c>
      <c r="F282" s="32">
        <v>780</v>
      </c>
    </row>
    <row r="283" spans="1:6" x14ac:dyDescent="0.25">
      <c r="A283" s="26">
        <v>282</v>
      </c>
      <c r="B283" s="26" t="s">
        <v>358</v>
      </c>
      <c r="C283" s="26" t="s">
        <v>321</v>
      </c>
      <c r="D283" s="26">
        <v>15</v>
      </c>
      <c r="E283" s="32">
        <v>36.659999999999997</v>
      </c>
      <c r="F283" s="32">
        <v>549.9</v>
      </c>
    </row>
    <row r="284" spans="1:6" x14ac:dyDescent="0.25">
      <c r="A284" s="26">
        <v>283</v>
      </c>
      <c r="B284" s="26" t="s">
        <v>359</v>
      </c>
      <c r="C284" s="26" t="s">
        <v>360</v>
      </c>
      <c r="D284" s="26">
        <v>720</v>
      </c>
      <c r="E284" s="32">
        <v>1.7</v>
      </c>
      <c r="F284" s="32">
        <v>1224</v>
      </c>
    </row>
    <row r="285" spans="1:6" x14ac:dyDescent="0.25">
      <c r="A285" s="26">
        <v>284</v>
      </c>
      <c r="B285" s="26" t="s">
        <v>361</v>
      </c>
      <c r="C285" s="26" t="s">
        <v>100</v>
      </c>
      <c r="D285" s="26">
        <v>8</v>
      </c>
      <c r="E285" s="32">
        <v>0.41</v>
      </c>
      <c r="F285" s="32">
        <v>3280</v>
      </c>
    </row>
    <row r="286" spans="1:6" x14ac:dyDescent="0.25">
      <c r="A286" s="26">
        <v>285</v>
      </c>
      <c r="B286" s="26" t="s">
        <v>362</v>
      </c>
      <c r="C286" s="26" t="s">
        <v>100</v>
      </c>
      <c r="D286" s="26">
        <v>7.5</v>
      </c>
      <c r="E286" s="32">
        <v>0.45</v>
      </c>
      <c r="F286" s="32">
        <v>3375</v>
      </c>
    </row>
    <row r="287" spans="1:6" x14ac:dyDescent="0.25">
      <c r="A287" s="26">
        <v>286</v>
      </c>
      <c r="B287" s="26" t="s">
        <v>363</v>
      </c>
      <c r="C287" s="26" t="s">
        <v>143</v>
      </c>
      <c r="D287" s="26">
        <v>1.5</v>
      </c>
      <c r="E287" s="32">
        <v>0.43</v>
      </c>
      <c r="F287" s="32">
        <v>645</v>
      </c>
    </row>
    <row r="288" spans="1:6" x14ac:dyDescent="0.25">
      <c r="A288" s="26">
        <v>287</v>
      </c>
      <c r="B288" s="26" t="s">
        <v>364</v>
      </c>
      <c r="C288" s="26" t="s">
        <v>321</v>
      </c>
      <c r="D288" s="26">
        <v>10</v>
      </c>
      <c r="E288" s="32">
        <v>19.53</v>
      </c>
      <c r="F288" s="32">
        <v>195.3</v>
      </c>
    </row>
    <row r="289" spans="1:6" x14ac:dyDescent="0.25">
      <c r="A289" s="26">
        <v>288</v>
      </c>
      <c r="B289" s="26" t="s">
        <v>365</v>
      </c>
      <c r="C289" s="26" t="s">
        <v>321</v>
      </c>
      <c r="D289" s="26">
        <v>10</v>
      </c>
      <c r="E289" s="32">
        <v>24.39</v>
      </c>
      <c r="F289" s="32">
        <v>243.9</v>
      </c>
    </row>
    <row r="290" spans="1:6" x14ac:dyDescent="0.25">
      <c r="A290" s="26">
        <v>289</v>
      </c>
      <c r="B290" s="26" t="s">
        <v>366</v>
      </c>
      <c r="C290" s="26" t="s">
        <v>321</v>
      </c>
      <c r="D290" s="26">
        <v>10</v>
      </c>
      <c r="E290" s="32">
        <v>48.46</v>
      </c>
      <c r="F290" s="32">
        <v>484.6</v>
      </c>
    </row>
    <row r="291" spans="1:6" x14ac:dyDescent="0.25">
      <c r="A291" s="26">
        <v>290</v>
      </c>
      <c r="B291" s="26" t="s">
        <v>367</v>
      </c>
      <c r="C291" s="26" t="s">
        <v>100</v>
      </c>
      <c r="D291" s="26">
        <v>200</v>
      </c>
      <c r="E291" s="32">
        <v>2.5</v>
      </c>
      <c r="F291" s="32">
        <v>500</v>
      </c>
    </row>
    <row r="292" spans="1:6" x14ac:dyDescent="0.25">
      <c r="A292" s="26">
        <v>291</v>
      </c>
      <c r="B292" s="26" t="s">
        <v>368</v>
      </c>
      <c r="C292" s="26" t="s">
        <v>143</v>
      </c>
      <c r="D292" s="26">
        <v>500</v>
      </c>
      <c r="E292" s="32">
        <v>1.01</v>
      </c>
      <c r="F292" s="32">
        <v>505</v>
      </c>
    </row>
    <row r="293" spans="1:6" x14ac:dyDescent="0.25">
      <c r="A293" s="26">
        <v>292</v>
      </c>
      <c r="B293" s="26" t="s">
        <v>369</v>
      </c>
      <c r="C293" s="26" t="s">
        <v>143</v>
      </c>
      <c r="D293" s="26">
        <v>1.5</v>
      </c>
      <c r="E293" s="32">
        <v>3.18</v>
      </c>
      <c r="F293" s="32">
        <v>4770</v>
      </c>
    </row>
    <row r="294" spans="1:6" x14ac:dyDescent="0.25">
      <c r="A294" s="26">
        <v>293</v>
      </c>
      <c r="B294" s="26" t="s">
        <v>370</v>
      </c>
      <c r="C294" s="26" t="s">
        <v>143</v>
      </c>
      <c r="D294" s="26">
        <v>1.5</v>
      </c>
      <c r="E294" s="32">
        <v>2.88</v>
      </c>
      <c r="F294" s="32">
        <v>4320</v>
      </c>
    </row>
    <row r="295" spans="1:6" x14ac:dyDescent="0.25">
      <c r="A295" s="26">
        <v>294</v>
      </c>
      <c r="B295" s="26" t="s">
        <v>371</v>
      </c>
      <c r="C295" s="26" t="s">
        <v>143</v>
      </c>
      <c r="D295" s="26">
        <v>1.5</v>
      </c>
      <c r="E295" s="32">
        <v>5.04</v>
      </c>
      <c r="F295" s="32">
        <v>7560</v>
      </c>
    </row>
    <row r="296" spans="1:6" x14ac:dyDescent="0.25">
      <c r="A296" s="26">
        <v>295</v>
      </c>
      <c r="B296" s="26" t="s">
        <v>372</v>
      </c>
      <c r="C296" s="26" t="s">
        <v>373</v>
      </c>
      <c r="D296" s="26">
        <v>10</v>
      </c>
      <c r="E296" s="32">
        <v>153.69</v>
      </c>
      <c r="F296" s="32">
        <v>1536.9</v>
      </c>
    </row>
    <row r="297" spans="1:6" x14ac:dyDescent="0.25">
      <c r="A297" s="26">
        <v>296</v>
      </c>
      <c r="B297" s="26" t="s">
        <v>374</v>
      </c>
      <c r="C297" s="26" t="s">
        <v>143</v>
      </c>
      <c r="D297" s="26">
        <v>600</v>
      </c>
      <c r="E297" s="32">
        <v>3.68</v>
      </c>
      <c r="F297" s="32">
        <v>2208</v>
      </c>
    </row>
    <row r="298" spans="1:6" x14ac:dyDescent="0.25">
      <c r="A298" s="26">
        <v>297</v>
      </c>
      <c r="B298" s="26" t="s">
        <v>375</v>
      </c>
      <c r="C298" s="26" t="s">
        <v>165</v>
      </c>
      <c r="D298" s="26">
        <v>1</v>
      </c>
      <c r="E298" s="32">
        <v>1.19</v>
      </c>
      <c r="F298" s="32">
        <v>1190</v>
      </c>
    </row>
    <row r="299" spans="1:6" x14ac:dyDescent="0.25">
      <c r="A299" s="26">
        <v>298</v>
      </c>
      <c r="B299" s="26" t="s">
        <v>376</v>
      </c>
      <c r="C299" s="26" t="s">
        <v>165</v>
      </c>
      <c r="D299" s="26">
        <v>500</v>
      </c>
      <c r="E299" s="32">
        <v>0.77</v>
      </c>
      <c r="F299" s="32">
        <v>385</v>
      </c>
    </row>
    <row r="300" spans="1:6" x14ac:dyDescent="0.25">
      <c r="A300" s="26">
        <v>299</v>
      </c>
      <c r="B300" s="26" t="s">
        <v>377</v>
      </c>
      <c r="C300" s="26" t="s">
        <v>165</v>
      </c>
      <c r="D300" s="26">
        <v>3.3</v>
      </c>
      <c r="E300" s="32">
        <v>0.69</v>
      </c>
      <c r="F300" s="32">
        <v>2277</v>
      </c>
    </row>
    <row r="301" spans="1:6" x14ac:dyDescent="0.25">
      <c r="A301" s="26">
        <v>300</v>
      </c>
      <c r="B301" s="26" t="s">
        <v>378</v>
      </c>
      <c r="C301" s="26" t="s">
        <v>165</v>
      </c>
      <c r="D301" s="26">
        <v>5</v>
      </c>
      <c r="E301" s="32">
        <v>1.07</v>
      </c>
      <c r="F301" s="32">
        <v>5350</v>
      </c>
    </row>
    <row r="302" spans="1:6" x14ac:dyDescent="0.25">
      <c r="A302" s="26">
        <v>301</v>
      </c>
      <c r="B302" s="26" t="s">
        <v>379</v>
      </c>
      <c r="C302" s="26" t="s">
        <v>165</v>
      </c>
      <c r="D302" s="26">
        <v>2</v>
      </c>
      <c r="E302" s="32">
        <v>1.21</v>
      </c>
      <c r="F302" s="32">
        <v>2420</v>
      </c>
    </row>
    <row r="303" spans="1:6" x14ac:dyDescent="0.25">
      <c r="A303" s="26">
        <v>302</v>
      </c>
      <c r="B303" s="26" t="s">
        <v>380</v>
      </c>
      <c r="C303" s="26" t="s">
        <v>100</v>
      </c>
      <c r="D303" s="26">
        <v>1.2</v>
      </c>
      <c r="E303" s="32">
        <v>0.26</v>
      </c>
      <c r="F303" s="32">
        <v>312</v>
      </c>
    </row>
    <row r="304" spans="1:6" x14ac:dyDescent="0.25">
      <c r="A304" s="26">
        <v>303</v>
      </c>
      <c r="B304" s="26" t="s">
        <v>381</v>
      </c>
      <c r="C304" s="26" t="s">
        <v>100</v>
      </c>
      <c r="D304" s="26">
        <v>20</v>
      </c>
      <c r="E304" s="32">
        <v>34.799999999999997</v>
      </c>
      <c r="F304" s="32">
        <v>696</v>
      </c>
    </row>
    <row r="305" spans="1:6" x14ac:dyDescent="0.25">
      <c r="A305" s="26">
        <v>304</v>
      </c>
      <c r="B305" s="26" t="s">
        <v>382</v>
      </c>
      <c r="C305" s="26" t="s">
        <v>100</v>
      </c>
      <c r="D305" s="26">
        <v>6</v>
      </c>
      <c r="E305" s="32">
        <v>188.55</v>
      </c>
      <c r="F305" s="32">
        <v>1131.3</v>
      </c>
    </row>
    <row r="306" spans="1:6" x14ac:dyDescent="0.25">
      <c r="A306" s="26">
        <v>305</v>
      </c>
      <c r="B306" s="26" t="s">
        <v>383</v>
      </c>
      <c r="C306" s="26" t="s">
        <v>100</v>
      </c>
      <c r="D306" s="26">
        <v>5</v>
      </c>
      <c r="E306" s="32">
        <v>21.8</v>
      </c>
      <c r="F306" s="32">
        <v>109</v>
      </c>
    </row>
    <row r="307" spans="1:6" x14ac:dyDescent="0.25">
      <c r="A307" s="26">
        <v>306</v>
      </c>
      <c r="B307" s="26" t="s">
        <v>384</v>
      </c>
      <c r="C307" s="26" t="s">
        <v>100</v>
      </c>
      <c r="D307" s="26">
        <v>500</v>
      </c>
      <c r="E307" s="32">
        <v>4.1100000000000003</v>
      </c>
      <c r="F307" s="32">
        <v>2055</v>
      </c>
    </row>
    <row r="308" spans="1:6" x14ac:dyDescent="0.25">
      <c r="A308" s="26">
        <v>307</v>
      </c>
      <c r="B308" s="26" t="s">
        <v>385</v>
      </c>
      <c r="C308" s="26" t="s">
        <v>100</v>
      </c>
      <c r="D308" s="26">
        <v>1</v>
      </c>
      <c r="E308" s="32">
        <v>3.42</v>
      </c>
      <c r="F308" s="32">
        <v>3420</v>
      </c>
    </row>
    <row r="309" spans="1:6" x14ac:dyDescent="0.25">
      <c r="A309" s="26">
        <v>308</v>
      </c>
      <c r="B309" s="26" t="s">
        <v>386</v>
      </c>
      <c r="C309" s="26" t="s">
        <v>100</v>
      </c>
      <c r="D309" s="26">
        <v>500</v>
      </c>
      <c r="E309" s="32">
        <v>4.0199999999999996</v>
      </c>
      <c r="F309" s="32">
        <v>2010</v>
      </c>
    </row>
    <row r="310" spans="1:6" x14ac:dyDescent="0.25">
      <c r="A310" s="26">
        <v>309</v>
      </c>
      <c r="B310" s="26" t="s">
        <v>387</v>
      </c>
      <c r="C310" s="26" t="s">
        <v>100</v>
      </c>
      <c r="D310" s="26">
        <v>500</v>
      </c>
      <c r="E310" s="32">
        <v>3.7</v>
      </c>
      <c r="F310" s="32">
        <v>1850</v>
      </c>
    </row>
    <row r="311" spans="1:6" x14ac:dyDescent="0.25">
      <c r="A311" s="26">
        <v>310</v>
      </c>
      <c r="B311" s="26" t="s">
        <v>388</v>
      </c>
      <c r="C311" s="26" t="s">
        <v>143</v>
      </c>
      <c r="D311" s="26">
        <v>200</v>
      </c>
      <c r="E311" s="32">
        <v>14.23</v>
      </c>
      <c r="F311" s="32">
        <v>2846</v>
      </c>
    </row>
    <row r="312" spans="1:6" x14ac:dyDescent="0.25">
      <c r="A312" s="26">
        <v>311</v>
      </c>
      <c r="B312" s="26" t="s">
        <v>389</v>
      </c>
      <c r="C312" s="26" t="s">
        <v>143</v>
      </c>
      <c r="D312" s="26">
        <v>300</v>
      </c>
      <c r="E312" s="32">
        <v>11.7</v>
      </c>
      <c r="F312" s="32">
        <v>3510</v>
      </c>
    </row>
    <row r="313" spans="1:6" x14ac:dyDescent="0.25">
      <c r="A313" s="26">
        <v>312</v>
      </c>
      <c r="B313" s="26" t="s">
        <v>390</v>
      </c>
      <c r="C313" s="26" t="s">
        <v>321</v>
      </c>
      <c r="D313" s="26">
        <v>150</v>
      </c>
      <c r="E313" s="32">
        <v>6</v>
      </c>
      <c r="F313" s="32">
        <v>900</v>
      </c>
    </row>
    <row r="314" spans="1:6" x14ac:dyDescent="0.25">
      <c r="A314" s="26">
        <v>313</v>
      </c>
      <c r="B314" s="26" t="s">
        <v>391</v>
      </c>
      <c r="C314" s="26" t="s">
        <v>321</v>
      </c>
      <c r="D314" s="26">
        <v>50</v>
      </c>
      <c r="E314" s="32">
        <v>4.7</v>
      </c>
      <c r="F314" s="32">
        <v>235</v>
      </c>
    </row>
    <row r="315" spans="1:6" x14ac:dyDescent="0.25">
      <c r="A315" s="26">
        <v>314</v>
      </c>
      <c r="B315" s="26" t="s">
        <v>392</v>
      </c>
      <c r="C315" s="26" t="s">
        <v>373</v>
      </c>
      <c r="D315" s="26">
        <v>10</v>
      </c>
      <c r="E315" s="32">
        <v>53.61</v>
      </c>
      <c r="F315" s="32">
        <v>536.1</v>
      </c>
    </row>
    <row r="316" spans="1:6" x14ac:dyDescent="0.25">
      <c r="A316" s="26">
        <v>315</v>
      </c>
      <c r="B316" s="26" t="s">
        <v>393</v>
      </c>
      <c r="C316" s="26" t="s">
        <v>394</v>
      </c>
      <c r="D316" s="26">
        <v>1.8</v>
      </c>
      <c r="E316" s="32">
        <v>32.43</v>
      </c>
      <c r="F316" s="32">
        <v>58374</v>
      </c>
    </row>
    <row r="317" spans="1:6" x14ac:dyDescent="0.25">
      <c r="A317" s="26">
        <v>316</v>
      </c>
      <c r="B317" s="26" t="s">
        <v>395</v>
      </c>
      <c r="C317" s="26" t="s">
        <v>329</v>
      </c>
      <c r="D317" s="26">
        <v>5</v>
      </c>
      <c r="E317" s="32">
        <v>144.29</v>
      </c>
      <c r="F317" s="32">
        <v>721.45</v>
      </c>
    </row>
    <row r="318" spans="1:6" x14ac:dyDescent="0.25">
      <c r="A318" s="26">
        <v>317</v>
      </c>
      <c r="B318" s="26" t="s">
        <v>396</v>
      </c>
      <c r="C318" s="26" t="s">
        <v>100</v>
      </c>
      <c r="D318" s="26">
        <v>40</v>
      </c>
      <c r="E318" s="32">
        <v>12.49</v>
      </c>
      <c r="F318" s="32">
        <v>499.6</v>
      </c>
    </row>
    <row r="319" spans="1:6" x14ac:dyDescent="0.25">
      <c r="A319" s="26">
        <v>318</v>
      </c>
      <c r="B319" s="26" t="s">
        <v>397</v>
      </c>
      <c r="C319" s="26" t="s">
        <v>100</v>
      </c>
      <c r="D319" s="26">
        <v>40</v>
      </c>
      <c r="E319" s="32">
        <v>32.71</v>
      </c>
      <c r="F319" s="32">
        <v>1308.4000000000001</v>
      </c>
    </row>
    <row r="320" spans="1:6" x14ac:dyDescent="0.25">
      <c r="A320" s="26">
        <v>319</v>
      </c>
      <c r="B320" s="26" t="s">
        <v>398</v>
      </c>
      <c r="C320" s="26" t="s">
        <v>399</v>
      </c>
      <c r="D320" s="26">
        <v>14</v>
      </c>
      <c r="E320" s="32">
        <v>33.46</v>
      </c>
      <c r="F320" s="32">
        <v>468.44</v>
      </c>
    </row>
    <row r="321" spans="1:6" x14ac:dyDescent="0.25">
      <c r="A321" s="26">
        <v>320</v>
      </c>
      <c r="B321" s="26" t="s">
        <v>400</v>
      </c>
      <c r="C321" s="26" t="s">
        <v>183</v>
      </c>
      <c r="D321" s="26">
        <v>150</v>
      </c>
      <c r="E321" s="32">
        <v>3.62</v>
      </c>
      <c r="F321" s="32">
        <v>543</v>
      </c>
    </row>
    <row r="322" spans="1:6" x14ac:dyDescent="0.25">
      <c r="A322" s="26">
        <v>321</v>
      </c>
      <c r="B322" s="26" t="s">
        <v>401</v>
      </c>
      <c r="C322" s="26" t="s">
        <v>100</v>
      </c>
      <c r="D322" s="26">
        <v>4</v>
      </c>
      <c r="E322" s="32">
        <v>68.040000000000006</v>
      </c>
      <c r="F322" s="32">
        <v>272.16000000000003</v>
      </c>
    </row>
    <row r="323" spans="1:6" x14ac:dyDescent="0.25">
      <c r="A323" s="26">
        <v>322</v>
      </c>
      <c r="B323" s="26" t="s">
        <v>402</v>
      </c>
      <c r="C323" s="26" t="s">
        <v>100</v>
      </c>
      <c r="D323" s="26">
        <v>40</v>
      </c>
      <c r="E323" s="32">
        <v>12.08</v>
      </c>
      <c r="F323" s="32">
        <v>483.2</v>
      </c>
    </row>
    <row r="324" spans="1:6" x14ac:dyDescent="0.25">
      <c r="A324" s="26">
        <v>323</v>
      </c>
      <c r="B324" s="26" t="s">
        <v>403</v>
      </c>
      <c r="C324" s="26" t="s">
        <v>321</v>
      </c>
      <c r="D324" s="26">
        <v>6</v>
      </c>
      <c r="E324" s="32">
        <v>57.37</v>
      </c>
      <c r="F324" s="32">
        <v>344.22</v>
      </c>
    </row>
    <row r="325" spans="1:6" x14ac:dyDescent="0.25">
      <c r="A325" s="26">
        <v>324</v>
      </c>
      <c r="B325" s="26" t="s">
        <v>404</v>
      </c>
      <c r="C325" s="26" t="s">
        <v>321</v>
      </c>
      <c r="D325" s="26">
        <v>6</v>
      </c>
      <c r="E325" s="32">
        <v>50.83</v>
      </c>
      <c r="F325" s="32">
        <v>304.98</v>
      </c>
    </row>
    <row r="326" spans="1:6" x14ac:dyDescent="0.25">
      <c r="A326" s="26">
        <v>325</v>
      </c>
      <c r="B326" s="26" t="s">
        <v>405</v>
      </c>
      <c r="C326" s="26" t="s">
        <v>321</v>
      </c>
      <c r="D326" s="26">
        <v>30</v>
      </c>
      <c r="E326" s="32">
        <v>129.29</v>
      </c>
      <c r="F326" s="32">
        <v>3878.7</v>
      </c>
    </row>
    <row r="327" spans="1:6" x14ac:dyDescent="0.25">
      <c r="A327" s="26">
        <v>326</v>
      </c>
      <c r="B327" s="26" t="s">
        <v>406</v>
      </c>
      <c r="C327" s="26" t="s">
        <v>100</v>
      </c>
      <c r="D327" s="26">
        <v>10</v>
      </c>
      <c r="E327" s="32">
        <v>382.12</v>
      </c>
      <c r="F327" s="32">
        <v>3821.2</v>
      </c>
    </row>
    <row r="328" spans="1:6" x14ac:dyDescent="0.25">
      <c r="A328" s="26">
        <v>327</v>
      </c>
      <c r="B328" s="26" t="s">
        <v>407</v>
      </c>
      <c r="C328" s="26" t="s">
        <v>100</v>
      </c>
      <c r="D328" s="26">
        <v>50</v>
      </c>
      <c r="E328" s="32">
        <v>8.7899999999999991</v>
      </c>
      <c r="F328" s="32">
        <v>439.5</v>
      </c>
    </row>
    <row r="329" spans="1:6" x14ac:dyDescent="0.25">
      <c r="A329" s="26">
        <v>328</v>
      </c>
      <c r="B329" s="26" t="s">
        <v>408</v>
      </c>
      <c r="C329" s="26" t="s">
        <v>409</v>
      </c>
      <c r="D329" s="26">
        <v>12</v>
      </c>
      <c r="E329" s="32">
        <v>45.3</v>
      </c>
      <c r="F329" s="32">
        <v>543.6</v>
      </c>
    </row>
    <row r="330" spans="1:6" x14ac:dyDescent="0.25">
      <c r="A330" s="26">
        <v>329</v>
      </c>
      <c r="B330" s="26" t="s">
        <v>410</v>
      </c>
      <c r="C330" s="26" t="s">
        <v>409</v>
      </c>
      <c r="D330" s="26">
        <v>12</v>
      </c>
      <c r="E330" s="32">
        <v>44.51</v>
      </c>
      <c r="F330" s="32">
        <v>534.12</v>
      </c>
    </row>
    <row r="331" spans="1:6" x14ac:dyDescent="0.25">
      <c r="A331" s="26">
        <v>330</v>
      </c>
      <c r="B331" s="26" t="s">
        <v>411</v>
      </c>
      <c r="C331" s="26" t="s">
        <v>412</v>
      </c>
      <c r="D331" s="26">
        <v>10</v>
      </c>
      <c r="E331" s="32">
        <v>11.84</v>
      </c>
      <c r="F331" s="32">
        <v>118.4</v>
      </c>
    </row>
    <row r="332" spans="1:6" x14ac:dyDescent="0.25">
      <c r="A332" s="26">
        <v>331</v>
      </c>
      <c r="B332" s="26" t="s">
        <v>413</v>
      </c>
      <c r="C332" s="26" t="s">
        <v>414</v>
      </c>
      <c r="D332" s="26">
        <v>1</v>
      </c>
      <c r="E332" s="32">
        <v>1.87</v>
      </c>
      <c r="F332" s="32">
        <v>1870</v>
      </c>
    </row>
    <row r="333" spans="1:6" x14ac:dyDescent="0.25">
      <c r="A333" s="26">
        <v>332</v>
      </c>
      <c r="B333" s="26" t="s">
        <v>415</v>
      </c>
      <c r="C333" s="26" t="s">
        <v>414</v>
      </c>
      <c r="D333" s="26">
        <v>1</v>
      </c>
      <c r="E333" s="32">
        <v>2.29</v>
      </c>
      <c r="F333" s="32">
        <v>2290</v>
      </c>
    </row>
    <row r="334" spans="1:6" x14ac:dyDescent="0.25">
      <c r="A334" s="26">
        <v>333</v>
      </c>
      <c r="B334" s="26" t="s">
        <v>416</v>
      </c>
      <c r="C334" s="26" t="s">
        <v>414</v>
      </c>
      <c r="D334" s="26">
        <v>1</v>
      </c>
      <c r="E334" s="32">
        <v>3.24</v>
      </c>
      <c r="F334" s="32">
        <v>3240</v>
      </c>
    </row>
    <row r="335" spans="1:6" x14ac:dyDescent="0.25">
      <c r="A335" s="26">
        <v>334</v>
      </c>
      <c r="B335" s="26" t="s">
        <v>417</v>
      </c>
      <c r="C335" s="26" t="s">
        <v>418</v>
      </c>
      <c r="D335" s="26">
        <v>20</v>
      </c>
      <c r="E335" s="32">
        <v>15.9</v>
      </c>
      <c r="F335" s="32">
        <v>318</v>
      </c>
    </row>
    <row r="336" spans="1:6" x14ac:dyDescent="0.25">
      <c r="A336" s="26">
        <v>335</v>
      </c>
      <c r="B336" s="26" t="s">
        <v>419</v>
      </c>
      <c r="C336" s="26" t="s">
        <v>420</v>
      </c>
      <c r="D336" s="26">
        <v>15</v>
      </c>
      <c r="E336" s="32">
        <v>52.27</v>
      </c>
      <c r="F336" s="32">
        <v>784.05</v>
      </c>
    </row>
    <row r="337" spans="1:6" x14ac:dyDescent="0.25">
      <c r="A337" s="26">
        <v>336</v>
      </c>
      <c r="B337" s="26" t="s">
        <v>421</v>
      </c>
      <c r="C337" s="26" t="s">
        <v>422</v>
      </c>
      <c r="D337" s="26">
        <v>12</v>
      </c>
      <c r="E337" s="32">
        <v>131.01</v>
      </c>
      <c r="F337" s="32">
        <v>1572.12</v>
      </c>
    </row>
    <row r="338" spans="1:6" x14ac:dyDescent="0.25">
      <c r="A338" s="26">
        <v>337</v>
      </c>
      <c r="B338" s="26" t="s">
        <v>423</v>
      </c>
      <c r="C338" s="26" t="s">
        <v>100</v>
      </c>
      <c r="D338" s="26">
        <v>6</v>
      </c>
      <c r="E338" s="32">
        <v>223.42</v>
      </c>
      <c r="F338" s="32">
        <v>1340.52</v>
      </c>
    </row>
    <row r="339" spans="1:6" x14ac:dyDescent="0.25">
      <c r="A339" s="26">
        <v>338</v>
      </c>
      <c r="B339" s="26" t="s">
        <v>424</v>
      </c>
      <c r="C339" s="26" t="s">
        <v>100</v>
      </c>
      <c r="D339" s="26">
        <v>6</v>
      </c>
      <c r="E339" s="32">
        <v>259.61</v>
      </c>
      <c r="F339" s="32">
        <v>1557.66</v>
      </c>
    </row>
    <row r="340" spans="1:6" x14ac:dyDescent="0.25">
      <c r="A340" s="26">
        <v>339</v>
      </c>
      <c r="B340" s="26" t="s">
        <v>425</v>
      </c>
      <c r="C340" s="26" t="s">
        <v>100</v>
      </c>
      <c r="D340" s="26">
        <v>30</v>
      </c>
      <c r="E340" s="32">
        <v>11.82</v>
      </c>
      <c r="F340" s="32">
        <v>354.6</v>
      </c>
    </row>
    <row r="341" spans="1:6" x14ac:dyDescent="0.25">
      <c r="A341" s="26">
        <v>340</v>
      </c>
      <c r="B341" s="26" t="s">
        <v>426</v>
      </c>
      <c r="C341" s="26" t="s">
        <v>100</v>
      </c>
      <c r="D341" s="26">
        <v>30</v>
      </c>
      <c r="E341" s="32">
        <v>9.48</v>
      </c>
      <c r="F341" s="32">
        <v>284.39999999999998</v>
      </c>
    </row>
    <row r="342" spans="1:6" x14ac:dyDescent="0.25">
      <c r="A342" s="26">
        <v>341</v>
      </c>
      <c r="B342" s="26" t="s">
        <v>427</v>
      </c>
      <c r="C342" s="26" t="s">
        <v>100</v>
      </c>
      <c r="D342" s="26">
        <v>30</v>
      </c>
      <c r="E342" s="32">
        <v>8.07</v>
      </c>
      <c r="F342" s="32">
        <v>242.1</v>
      </c>
    </row>
    <row r="343" spans="1:6" x14ac:dyDescent="0.25">
      <c r="A343" s="26">
        <v>342</v>
      </c>
      <c r="B343" s="26" t="s">
        <v>428</v>
      </c>
      <c r="C343" s="26" t="s">
        <v>100</v>
      </c>
      <c r="D343" s="26">
        <v>15</v>
      </c>
      <c r="E343" s="32">
        <v>14.89</v>
      </c>
      <c r="F343" s="32">
        <v>223.35</v>
      </c>
    </row>
    <row r="344" spans="1:6" x14ac:dyDescent="0.25">
      <c r="A344" s="26">
        <v>343</v>
      </c>
      <c r="B344" s="26" t="s">
        <v>429</v>
      </c>
      <c r="C344" s="26" t="s">
        <v>111</v>
      </c>
      <c r="D344" s="26">
        <v>80</v>
      </c>
      <c r="E344" s="32">
        <v>21.43</v>
      </c>
      <c r="F344" s="32">
        <v>1714.4</v>
      </c>
    </row>
    <row r="345" spans="1:6" x14ac:dyDescent="0.25">
      <c r="A345" s="26">
        <v>344</v>
      </c>
      <c r="B345" s="26" t="s">
        <v>430</v>
      </c>
      <c r="C345" s="26" t="s">
        <v>431</v>
      </c>
      <c r="D345" s="26">
        <v>50</v>
      </c>
      <c r="E345" s="32">
        <v>28.89</v>
      </c>
      <c r="F345" s="32">
        <v>1444.5</v>
      </c>
    </row>
    <row r="346" spans="1:6" x14ac:dyDescent="0.25">
      <c r="A346" s="26">
        <v>345</v>
      </c>
      <c r="B346" s="26" t="s">
        <v>432</v>
      </c>
      <c r="C346" s="26" t="s">
        <v>100</v>
      </c>
      <c r="D346" s="26">
        <v>24</v>
      </c>
      <c r="E346" s="32">
        <v>6.4</v>
      </c>
      <c r="F346" s="32">
        <v>153.6</v>
      </c>
    </row>
    <row r="347" spans="1:6" x14ac:dyDescent="0.25">
      <c r="A347" s="26">
        <v>346</v>
      </c>
      <c r="B347" s="26" t="s">
        <v>433</v>
      </c>
      <c r="C347" s="26" t="s">
        <v>422</v>
      </c>
      <c r="D347" s="26">
        <v>15</v>
      </c>
      <c r="E347" s="32">
        <v>80.12</v>
      </c>
      <c r="F347" s="32">
        <v>1201.8</v>
      </c>
    </row>
    <row r="348" spans="1:6" x14ac:dyDescent="0.25">
      <c r="A348" s="26">
        <v>347</v>
      </c>
      <c r="B348" s="26" t="s">
        <v>434</v>
      </c>
      <c r="C348" s="26" t="s">
        <v>100</v>
      </c>
      <c r="D348" s="26">
        <v>15</v>
      </c>
      <c r="E348" s="32">
        <v>120.03</v>
      </c>
      <c r="F348" s="32">
        <v>1800.45</v>
      </c>
    </row>
    <row r="349" spans="1:6" x14ac:dyDescent="0.25">
      <c r="A349" s="26">
        <v>348</v>
      </c>
      <c r="B349" s="26" t="s">
        <v>435</v>
      </c>
      <c r="C349" s="26" t="s">
        <v>436</v>
      </c>
      <c r="D349" s="26">
        <v>14</v>
      </c>
      <c r="E349" s="32">
        <v>122.49</v>
      </c>
      <c r="F349" s="32">
        <v>1714.86</v>
      </c>
    </row>
    <row r="350" spans="1:6" x14ac:dyDescent="0.25">
      <c r="A350" s="26">
        <v>349</v>
      </c>
      <c r="B350" s="26" t="s">
        <v>437</v>
      </c>
      <c r="C350" s="26" t="s">
        <v>438</v>
      </c>
      <c r="D350" s="26">
        <v>20</v>
      </c>
      <c r="E350" s="32">
        <v>18.350000000000001</v>
      </c>
      <c r="F350" s="32">
        <v>367</v>
      </c>
    </row>
    <row r="351" spans="1:6" x14ac:dyDescent="0.25">
      <c r="A351" s="26">
        <v>350</v>
      </c>
      <c r="B351" s="26" t="s">
        <v>439</v>
      </c>
      <c r="C351" s="26" t="s">
        <v>232</v>
      </c>
      <c r="D351" s="26">
        <v>12</v>
      </c>
      <c r="E351" s="32">
        <v>19.36</v>
      </c>
      <c r="F351" s="32">
        <v>232.32</v>
      </c>
    </row>
    <row r="352" spans="1:6" x14ac:dyDescent="0.25">
      <c r="A352" s="26">
        <v>351</v>
      </c>
      <c r="B352" s="26" t="s">
        <v>440</v>
      </c>
      <c r="C352" s="26" t="s">
        <v>100</v>
      </c>
      <c r="D352" s="26">
        <v>48</v>
      </c>
      <c r="E352" s="32">
        <v>1.78</v>
      </c>
      <c r="F352" s="32">
        <v>85.44</v>
      </c>
    </row>
    <row r="353" spans="1:6" x14ac:dyDescent="0.25">
      <c r="A353" s="26">
        <v>352</v>
      </c>
      <c r="B353" s="26" t="s">
        <v>441</v>
      </c>
      <c r="C353" s="26" t="s">
        <v>442</v>
      </c>
      <c r="D353" s="26">
        <v>20</v>
      </c>
      <c r="E353" s="32">
        <v>30.22</v>
      </c>
      <c r="F353" s="32">
        <v>604.4</v>
      </c>
    </row>
    <row r="354" spans="1:6" x14ac:dyDescent="0.25">
      <c r="A354" s="26">
        <v>353</v>
      </c>
      <c r="B354" s="26" t="s">
        <v>443</v>
      </c>
      <c r="C354" s="26" t="s">
        <v>444</v>
      </c>
      <c r="D354" s="26">
        <v>30</v>
      </c>
      <c r="E354" s="32">
        <v>243.23</v>
      </c>
      <c r="F354" s="32">
        <v>7296.9</v>
      </c>
    </row>
    <row r="355" spans="1:6" x14ac:dyDescent="0.25">
      <c r="A355" s="26">
        <v>354</v>
      </c>
      <c r="B355" s="26" t="s">
        <v>445</v>
      </c>
      <c r="C355" s="26" t="s">
        <v>409</v>
      </c>
      <c r="D355" s="26">
        <v>4</v>
      </c>
      <c r="E355" s="32">
        <v>338.05</v>
      </c>
      <c r="F355" s="32">
        <v>1352.2</v>
      </c>
    </row>
    <row r="356" spans="1:6" x14ac:dyDescent="0.25">
      <c r="A356" s="26">
        <v>355</v>
      </c>
      <c r="B356" s="26" t="s">
        <v>446</v>
      </c>
      <c r="C356" s="26" t="s">
        <v>447</v>
      </c>
      <c r="D356" s="26">
        <v>6</v>
      </c>
      <c r="E356" s="32">
        <v>8.83</v>
      </c>
      <c r="F356" s="32">
        <v>52.98</v>
      </c>
    </row>
    <row r="357" spans="1:6" x14ac:dyDescent="0.25">
      <c r="A357" s="26">
        <v>356</v>
      </c>
      <c r="B357" s="26" t="s">
        <v>448</v>
      </c>
      <c r="C357" s="26" t="s">
        <v>100</v>
      </c>
      <c r="D357" s="26">
        <v>24</v>
      </c>
      <c r="E357" s="32">
        <v>15.07</v>
      </c>
      <c r="F357" s="32">
        <v>361.68</v>
      </c>
    </row>
    <row r="358" spans="1:6" x14ac:dyDescent="0.25">
      <c r="A358" s="26">
        <v>357</v>
      </c>
      <c r="B358" s="26" t="s">
        <v>449</v>
      </c>
      <c r="C358" s="26" t="s">
        <v>321</v>
      </c>
      <c r="D358" s="26">
        <v>10</v>
      </c>
      <c r="E358" s="32">
        <v>8.39</v>
      </c>
      <c r="F358" s="32">
        <v>83.9</v>
      </c>
    </row>
    <row r="359" spans="1:6" x14ac:dyDescent="0.25">
      <c r="A359" s="26">
        <v>358</v>
      </c>
      <c r="B359" s="26" t="s">
        <v>450</v>
      </c>
      <c r="C359" s="26" t="s">
        <v>447</v>
      </c>
      <c r="D359" s="26">
        <v>6</v>
      </c>
      <c r="E359" s="32">
        <v>24.69</v>
      </c>
      <c r="F359" s="32">
        <v>148.13999999999999</v>
      </c>
    </row>
    <row r="360" spans="1:6" x14ac:dyDescent="0.25">
      <c r="A360" s="26">
        <v>359</v>
      </c>
      <c r="B360" s="26" t="s">
        <v>451</v>
      </c>
      <c r="C360" s="26" t="s">
        <v>452</v>
      </c>
      <c r="D360" s="26">
        <v>6</v>
      </c>
      <c r="E360" s="32">
        <v>16.12</v>
      </c>
      <c r="F360" s="32">
        <v>96.72</v>
      </c>
    </row>
    <row r="361" spans="1:6" x14ac:dyDescent="0.25">
      <c r="A361" s="26">
        <v>360</v>
      </c>
      <c r="B361" s="26" t="s">
        <v>453</v>
      </c>
      <c r="C361" s="26" t="s">
        <v>100</v>
      </c>
      <c r="D361" s="26">
        <v>6</v>
      </c>
      <c r="E361" s="32">
        <v>179.68</v>
      </c>
      <c r="F361" s="32">
        <v>1078.08</v>
      </c>
    </row>
    <row r="362" spans="1:6" x14ac:dyDescent="0.25">
      <c r="A362" s="26">
        <v>361</v>
      </c>
      <c r="B362" s="26" t="s">
        <v>454</v>
      </c>
      <c r="C362" s="26" t="s">
        <v>100</v>
      </c>
      <c r="D362" s="26">
        <v>3</v>
      </c>
      <c r="E362" s="32">
        <v>127.43</v>
      </c>
      <c r="F362" s="32">
        <v>382.29</v>
      </c>
    </row>
    <row r="363" spans="1:6" x14ac:dyDescent="0.25">
      <c r="A363" s="26">
        <v>362</v>
      </c>
      <c r="B363" s="26" t="s">
        <v>455</v>
      </c>
      <c r="C363" s="26" t="s">
        <v>100</v>
      </c>
      <c r="D363" s="26">
        <v>15</v>
      </c>
      <c r="E363" s="32">
        <v>12.11</v>
      </c>
      <c r="F363" s="32">
        <v>181.65</v>
      </c>
    </row>
    <row r="364" spans="1:6" x14ac:dyDescent="0.25">
      <c r="A364" s="26">
        <v>363</v>
      </c>
      <c r="B364" s="26" t="s">
        <v>456</v>
      </c>
      <c r="C364" s="26" t="s">
        <v>100</v>
      </c>
      <c r="D364" s="26">
        <v>10</v>
      </c>
      <c r="E364" s="32">
        <v>79.959999999999994</v>
      </c>
      <c r="F364" s="32">
        <v>799.6</v>
      </c>
    </row>
    <row r="365" spans="1:6" x14ac:dyDescent="0.25">
      <c r="A365" s="26">
        <v>364</v>
      </c>
      <c r="B365" s="26" t="s">
        <v>457</v>
      </c>
      <c r="C365" s="26" t="s">
        <v>458</v>
      </c>
      <c r="D365" s="26">
        <v>6</v>
      </c>
      <c r="E365" s="32">
        <v>15.44</v>
      </c>
      <c r="F365" s="32">
        <v>92.64</v>
      </c>
    </row>
    <row r="366" spans="1:6" x14ac:dyDescent="0.25">
      <c r="A366" s="26">
        <v>365</v>
      </c>
      <c r="B366" s="26" t="s">
        <v>459</v>
      </c>
      <c r="C366" s="26" t="s">
        <v>460</v>
      </c>
      <c r="D366" s="26">
        <v>12</v>
      </c>
      <c r="E366" s="32">
        <v>23.87</v>
      </c>
      <c r="F366" s="32">
        <v>286.44</v>
      </c>
    </row>
    <row r="367" spans="1:6" x14ac:dyDescent="0.25">
      <c r="A367" s="26">
        <v>366</v>
      </c>
      <c r="B367" s="26" t="s">
        <v>461</v>
      </c>
      <c r="C367" s="26" t="s">
        <v>100</v>
      </c>
      <c r="D367" s="26">
        <v>6</v>
      </c>
      <c r="E367" s="32">
        <v>54.56</v>
      </c>
      <c r="F367" s="32">
        <v>327.36</v>
      </c>
    </row>
    <row r="368" spans="1:6" x14ac:dyDescent="0.25">
      <c r="A368" s="26">
        <v>367</v>
      </c>
      <c r="B368" s="26" t="s">
        <v>462</v>
      </c>
      <c r="C368" s="26" t="s">
        <v>463</v>
      </c>
      <c r="D368" s="26">
        <v>6</v>
      </c>
      <c r="E368" s="32">
        <v>9.23</v>
      </c>
      <c r="F368" s="32">
        <v>55.38</v>
      </c>
    </row>
    <row r="369" spans="1:6" x14ac:dyDescent="0.25">
      <c r="A369" s="26">
        <v>368</v>
      </c>
      <c r="B369" s="26" t="s">
        <v>464</v>
      </c>
      <c r="C369" s="26" t="s">
        <v>128</v>
      </c>
      <c r="D369" s="26">
        <v>24</v>
      </c>
      <c r="E369" s="32">
        <v>51.36</v>
      </c>
      <c r="F369" s="32">
        <v>1232.6400000000001</v>
      </c>
    </row>
    <row r="370" spans="1:6" x14ac:dyDescent="0.25">
      <c r="A370" s="26">
        <v>369</v>
      </c>
      <c r="B370" s="26" t="s">
        <v>465</v>
      </c>
      <c r="C370" s="26" t="s">
        <v>100</v>
      </c>
      <c r="D370" s="26">
        <v>30</v>
      </c>
      <c r="E370" s="32">
        <v>12.44</v>
      </c>
      <c r="F370" s="32">
        <v>373.2</v>
      </c>
    </row>
    <row r="371" spans="1:6" x14ac:dyDescent="0.25">
      <c r="A371" s="26">
        <v>370</v>
      </c>
      <c r="B371" s="26" t="s">
        <v>466</v>
      </c>
      <c r="C371" s="26" t="s">
        <v>100</v>
      </c>
      <c r="D371" s="26">
        <v>40</v>
      </c>
      <c r="E371" s="32">
        <v>11.92</v>
      </c>
      <c r="F371" s="32">
        <v>476.8</v>
      </c>
    </row>
    <row r="372" spans="1:6" x14ac:dyDescent="0.25">
      <c r="A372" s="26">
        <v>371</v>
      </c>
      <c r="B372" s="26" t="s">
        <v>467</v>
      </c>
      <c r="C372" s="26" t="s">
        <v>100</v>
      </c>
      <c r="D372" s="26">
        <v>40</v>
      </c>
      <c r="E372" s="32">
        <v>12.59</v>
      </c>
      <c r="F372" s="32">
        <v>503.6</v>
      </c>
    </row>
    <row r="373" spans="1:6" x14ac:dyDescent="0.25">
      <c r="A373" s="26">
        <v>372</v>
      </c>
      <c r="B373" s="26" t="s">
        <v>468</v>
      </c>
      <c r="C373" s="26" t="s">
        <v>100</v>
      </c>
      <c r="D373" s="26">
        <v>40</v>
      </c>
      <c r="E373" s="32">
        <v>10.34</v>
      </c>
      <c r="F373" s="32">
        <v>413.6</v>
      </c>
    </row>
    <row r="374" spans="1:6" x14ac:dyDescent="0.25">
      <c r="A374" s="26">
        <v>373</v>
      </c>
      <c r="B374" s="26" t="s">
        <v>469</v>
      </c>
      <c r="C374" s="26" t="s">
        <v>100</v>
      </c>
      <c r="D374" s="26">
        <v>8</v>
      </c>
      <c r="E374" s="32">
        <v>121.95</v>
      </c>
      <c r="F374" s="32">
        <v>975.6</v>
      </c>
    </row>
    <row r="375" spans="1:6" x14ac:dyDescent="0.25">
      <c r="A375" s="26">
        <v>374</v>
      </c>
      <c r="B375" s="26" t="s">
        <v>470</v>
      </c>
      <c r="C375" s="26" t="s">
        <v>100</v>
      </c>
      <c r="D375" s="26">
        <v>8</v>
      </c>
      <c r="E375" s="32">
        <v>117.88</v>
      </c>
      <c r="F375" s="32">
        <v>943.04</v>
      </c>
    </row>
    <row r="376" spans="1:6" x14ac:dyDescent="0.25">
      <c r="A376" s="26">
        <v>375</v>
      </c>
      <c r="B376" s="26" t="s">
        <v>471</v>
      </c>
      <c r="C376" s="26" t="s">
        <v>100</v>
      </c>
      <c r="D376" s="26">
        <v>8</v>
      </c>
      <c r="E376" s="32">
        <v>118.7</v>
      </c>
      <c r="F376" s="32">
        <v>949.6</v>
      </c>
    </row>
    <row r="377" spans="1:6" x14ac:dyDescent="0.25">
      <c r="A377" s="26">
        <v>376</v>
      </c>
      <c r="B377" s="26" t="s">
        <v>472</v>
      </c>
      <c r="C377" s="26" t="s">
        <v>100</v>
      </c>
      <c r="D377" s="26">
        <v>8</v>
      </c>
      <c r="E377" s="32">
        <v>118.88</v>
      </c>
      <c r="F377" s="32">
        <v>951.04</v>
      </c>
    </row>
    <row r="378" spans="1:6" x14ac:dyDescent="0.25">
      <c r="A378" s="26">
        <v>377</v>
      </c>
      <c r="B378" s="26" t="s">
        <v>473</v>
      </c>
      <c r="C378" s="26" t="s">
        <v>100</v>
      </c>
      <c r="D378" s="26">
        <v>8</v>
      </c>
      <c r="E378" s="32">
        <v>118.1</v>
      </c>
      <c r="F378" s="32">
        <v>944.8</v>
      </c>
    </row>
    <row r="379" spans="1:6" x14ac:dyDescent="0.25">
      <c r="A379" s="26">
        <v>378</v>
      </c>
      <c r="B379" s="26" t="s">
        <v>474</v>
      </c>
      <c r="C379" s="26" t="s">
        <v>100</v>
      </c>
      <c r="D379" s="26">
        <v>8</v>
      </c>
      <c r="E379" s="32">
        <v>118.34</v>
      </c>
      <c r="F379" s="32">
        <v>946.72</v>
      </c>
    </row>
    <row r="380" spans="1:6" x14ac:dyDescent="0.25">
      <c r="A380" s="26">
        <v>379</v>
      </c>
      <c r="B380" s="26" t="s">
        <v>475</v>
      </c>
      <c r="C380" s="26" t="s">
        <v>100</v>
      </c>
      <c r="D380" s="26">
        <v>8</v>
      </c>
      <c r="E380" s="32">
        <v>117.72</v>
      </c>
      <c r="F380" s="32">
        <v>941.76</v>
      </c>
    </row>
    <row r="381" spans="1:6" x14ac:dyDescent="0.25">
      <c r="A381" s="26">
        <v>380</v>
      </c>
      <c r="B381" s="26" t="s">
        <v>476</v>
      </c>
      <c r="C381" s="26" t="s">
        <v>100</v>
      </c>
      <c r="D381" s="26">
        <v>8</v>
      </c>
      <c r="E381" s="32">
        <v>118.1</v>
      </c>
      <c r="F381" s="32">
        <v>944.8</v>
      </c>
    </row>
    <row r="382" spans="1:6" x14ac:dyDescent="0.25">
      <c r="A382" s="26">
        <v>381</v>
      </c>
      <c r="B382" s="26" t="s">
        <v>477</v>
      </c>
      <c r="C382" s="26" t="s">
        <v>100</v>
      </c>
      <c r="D382" s="26">
        <v>8</v>
      </c>
      <c r="E382" s="32">
        <v>118.1</v>
      </c>
      <c r="F382" s="32">
        <v>944.8</v>
      </c>
    </row>
    <row r="383" spans="1:6" x14ac:dyDescent="0.25">
      <c r="A383" s="26">
        <v>382</v>
      </c>
      <c r="B383" s="26" t="s">
        <v>478</v>
      </c>
      <c r="C383" s="26" t="s">
        <v>100</v>
      </c>
      <c r="D383" s="26">
        <v>8</v>
      </c>
      <c r="E383" s="32">
        <v>118.1</v>
      </c>
      <c r="F383" s="32">
        <v>944.8</v>
      </c>
    </row>
    <row r="384" spans="1:6" x14ac:dyDescent="0.25">
      <c r="A384" s="26">
        <v>383</v>
      </c>
      <c r="B384" s="26" t="s">
        <v>479</v>
      </c>
      <c r="C384" s="26" t="s">
        <v>100</v>
      </c>
      <c r="D384" s="26">
        <v>6</v>
      </c>
      <c r="E384" s="32">
        <v>118.1</v>
      </c>
      <c r="F384" s="32">
        <v>708.6</v>
      </c>
    </row>
    <row r="385" spans="1:6" x14ac:dyDescent="0.25">
      <c r="A385" s="26">
        <v>384</v>
      </c>
      <c r="B385" s="26" t="s">
        <v>480</v>
      </c>
      <c r="C385" s="26" t="s">
        <v>100</v>
      </c>
      <c r="D385" s="26">
        <v>6</v>
      </c>
      <c r="E385" s="32">
        <v>118.1</v>
      </c>
      <c r="F385" s="32">
        <v>708.6</v>
      </c>
    </row>
    <row r="386" spans="1:6" x14ac:dyDescent="0.25">
      <c r="A386" s="26">
        <v>385</v>
      </c>
      <c r="B386" s="26" t="s">
        <v>481</v>
      </c>
      <c r="C386" s="26" t="s">
        <v>100</v>
      </c>
      <c r="D386" s="26">
        <v>6</v>
      </c>
      <c r="E386" s="32">
        <v>118.1</v>
      </c>
      <c r="F386" s="32">
        <v>708.6</v>
      </c>
    </row>
    <row r="387" spans="1:6" x14ac:dyDescent="0.25">
      <c r="A387" s="26">
        <v>386</v>
      </c>
      <c r="B387" s="26" t="s">
        <v>482</v>
      </c>
      <c r="C387" s="26" t="s">
        <v>100</v>
      </c>
      <c r="D387" s="26">
        <v>6</v>
      </c>
      <c r="E387" s="32">
        <v>118.1</v>
      </c>
      <c r="F387" s="32">
        <v>708.6</v>
      </c>
    </row>
    <row r="388" spans="1:6" x14ac:dyDescent="0.25">
      <c r="A388" s="26">
        <v>387</v>
      </c>
      <c r="B388" s="26" t="s">
        <v>483</v>
      </c>
      <c r="C388" s="26" t="s">
        <v>100</v>
      </c>
      <c r="D388" s="26">
        <v>6</v>
      </c>
      <c r="E388" s="32">
        <v>118.1</v>
      </c>
      <c r="F388" s="32">
        <v>708.6</v>
      </c>
    </row>
    <row r="389" spans="1:6" x14ac:dyDescent="0.25">
      <c r="A389" s="26">
        <v>388</v>
      </c>
      <c r="B389" s="26" t="s">
        <v>484</v>
      </c>
      <c r="C389" s="26" t="s">
        <v>100</v>
      </c>
      <c r="D389" s="26">
        <v>6</v>
      </c>
      <c r="E389" s="32">
        <v>118.1</v>
      </c>
      <c r="F389" s="32">
        <v>708.6</v>
      </c>
    </row>
    <row r="390" spans="1:6" x14ac:dyDescent="0.25">
      <c r="A390" s="26">
        <v>389</v>
      </c>
      <c r="B390" s="26" t="s">
        <v>485</v>
      </c>
      <c r="C390" s="26" t="s">
        <v>100</v>
      </c>
      <c r="D390" s="26">
        <v>30</v>
      </c>
      <c r="E390" s="32">
        <v>117.4</v>
      </c>
      <c r="F390" s="32">
        <v>3522</v>
      </c>
    </row>
    <row r="391" spans="1:6" x14ac:dyDescent="0.25">
      <c r="A391" s="26">
        <v>390</v>
      </c>
      <c r="B391" s="26" t="s">
        <v>486</v>
      </c>
      <c r="C391" s="26" t="s">
        <v>100</v>
      </c>
      <c r="D391" s="26">
        <v>30</v>
      </c>
      <c r="E391" s="32">
        <v>117.4</v>
      </c>
      <c r="F391" s="32">
        <v>3522</v>
      </c>
    </row>
    <row r="392" spans="1:6" x14ac:dyDescent="0.25">
      <c r="A392" s="26">
        <v>391</v>
      </c>
      <c r="B392" s="26" t="s">
        <v>487</v>
      </c>
      <c r="C392" s="26" t="s">
        <v>100</v>
      </c>
      <c r="D392" s="26">
        <v>3</v>
      </c>
      <c r="E392" s="32">
        <v>189.15</v>
      </c>
      <c r="F392" s="32">
        <v>567.45000000000005</v>
      </c>
    </row>
    <row r="393" spans="1:6" x14ac:dyDescent="0.25">
      <c r="A393" s="26">
        <v>392</v>
      </c>
      <c r="B393" s="26" t="s">
        <v>488</v>
      </c>
      <c r="C393" s="26" t="s">
        <v>100</v>
      </c>
      <c r="D393" s="26">
        <v>3</v>
      </c>
      <c r="E393" s="32">
        <v>189.15</v>
      </c>
      <c r="F393" s="32">
        <v>567.45000000000005</v>
      </c>
    </row>
    <row r="394" spans="1:6" x14ac:dyDescent="0.25">
      <c r="A394" s="26">
        <v>393</v>
      </c>
      <c r="B394" s="26" t="s">
        <v>489</v>
      </c>
      <c r="C394" s="26" t="s">
        <v>100</v>
      </c>
      <c r="D394" s="26">
        <v>20</v>
      </c>
      <c r="E394" s="32">
        <v>3.94</v>
      </c>
      <c r="F394" s="32">
        <v>78.8</v>
      </c>
    </row>
    <row r="395" spans="1:6" x14ac:dyDescent="0.25">
      <c r="A395" s="26">
        <v>394</v>
      </c>
      <c r="B395" s="26" t="s">
        <v>490</v>
      </c>
      <c r="C395" s="26" t="s">
        <v>100</v>
      </c>
      <c r="D395" s="26">
        <v>12</v>
      </c>
      <c r="E395" s="32">
        <v>12.57</v>
      </c>
      <c r="F395" s="32">
        <v>150.84</v>
      </c>
    </row>
    <row r="396" spans="1:6" x14ac:dyDescent="0.25">
      <c r="A396" s="26">
        <v>395</v>
      </c>
      <c r="B396" s="26" t="s">
        <v>491</v>
      </c>
      <c r="C396" s="26" t="s">
        <v>100</v>
      </c>
      <c r="D396" s="26">
        <v>12</v>
      </c>
      <c r="E396" s="32">
        <v>11.7</v>
      </c>
      <c r="F396" s="32">
        <v>140.4</v>
      </c>
    </row>
    <row r="397" spans="1:6" x14ac:dyDescent="0.25">
      <c r="A397" s="26">
        <v>396</v>
      </c>
      <c r="B397" s="26" t="s">
        <v>492</v>
      </c>
      <c r="C397" s="26" t="s">
        <v>493</v>
      </c>
      <c r="D397" s="26">
        <v>3</v>
      </c>
      <c r="E397" s="32">
        <v>102.97</v>
      </c>
      <c r="F397" s="32">
        <v>308.91000000000003</v>
      </c>
    </row>
    <row r="398" spans="1:6" x14ac:dyDescent="0.25">
      <c r="A398" s="26">
        <v>397</v>
      </c>
      <c r="B398" s="26" t="s">
        <v>494</v>
      </c>
      <c r="C398" s="26" t="s">
        <v>100</v>
      </c>
      <c r="D398" s="26">
        <v>3</v>
      </c>
      <c r="E398" s="32">
        <v>190.98</v>
      </c>
      <c r="F398" s="32">
        <v>572.94000000000005</v>
      </c>
    </row>
    <row r="399" spans="1:6" x14ac:dyDescent="0.25">
      <c r="A399" s="26">
        <v>398</v>
      </c>
      <c r="B399" s="26" t="s">
        <v>495</v>
      </c>
      <c r="C399" s="26" t="s">
        <v>100</v>
      </c>
      <c r="D399" s="26">
        <v>6</v>
      </c>
      <c r="E399" s="32">
        <v>77</v>
      </c>
      <c r="F399" s="32">
        <v>462</v>
      </c>
    </row>
    <row r="400" spans="1:6" x14ac:dyDescent="0.25">
      <c r="A400" s="26">
        <v>399</v>
      </c>
      <c r="B400" s="26" t="s">
        <v>496</v>
      </c>
      <c r="C400" s="26" t="s">
        <v>100</v>
      </c>
      <c r="D400" s="26">
        <v>6</v>
      </c>
      <c r="E400" s="32">
        <v>85.4</v>
      </c>
      <c r="F400" s="32">
        <v>512.4</v>
      </c>
    </row>
    <row r="401" spans="1:6" x14ac:dyDescent="0.25">
      <c r="A401" s="26">
        <v>400</v>
      </c>
      <c r="B401" s="26" t="s">
        <v>497</v>
      </c>
      <c r="C401" s="26" t="s">
        <v>498</v>
      </c>
      <c r="D401" s="26">
        <v>10</v>
      </c>
      <c r="E401" s="32">
        <v>9.89</v>
      </c>
      <c r="F401" s="32">
        <v>98.9</v>
      </c>
    </row>
    <row r="402" spans="1:6" x14ac:dyDescent="0.25">
      <c r="A402" s="26">
        <v>401</v>
      </c>
      <c r="B402" s="26" t="s">
        <v>499</v>
      </c>
      <c r="C402" s="26" t="s">
        <v>100</v>
      </c>
      <c r="D402" s="26">
        <v>2</v>
      </c>
      <c r="E402" s="32">
        <v>35.799999999999997</v>
      </c>
      <c r="F402" s="32">
        <v>71.599999999999994</v>
      </c>
    </row>
    <row r="403" spans="1:6" x14ac:dyDescent="0.25">
      <c r="A403" s="26">
        <v>402</v>
      </c>
      <c r="B403" s="26" t="s">
        <v>500</v>
      </c>
      <c r="C403" s="26" t="s">
        <v>501</v>
      </c>
      <c r="D403" s="26">
        <v>20</v>
      </c>
      <c r="E403" s="32">
        <v>23.51</v>
      </c>
      <c r="F403" s="32">
        <v>470.2</v>
      </c>
    </row>
    <row r="404" spans="1:6" x14ac:dyDescent="0.25">
      <c r="A404" s="26">
        <v>403</v>
      </c>
      <c r="B404" s="26" t="s">
        <v>502</v>
      </c>
      <c r="C404" s="26" t="s">
        <v>503</v>
      </c>
      <c r="D404" s="26">
        <v>10</v>
      </c>
      <c r="E404" s="32">
        <v>9.15</v>
      </c>
      <c r="F404" s="32">
        <v>91.5</v>
      </c>
    </row>
    <row r="405" spans="1:6" ht="25.5" x14ac:dyDescent="0.25">
      <c r="A405" s="34">
        <v>404</v>
      </c>
      <c r="B405" s="35" t="s">
        <v>504</v>
      </c>
      <c r="C405" s="35" t="s">
        <v>505</v>
      </c>
      <c r="D405" s="34">
        <v>100</v>
      </c>
      <c r="E405" s="32">
        <v>44.02</v>
      </c>
      <c r="F405" s="32">
        <v>4402</v>
      </c>
    </row>
    <row r="406" spans="1:6" ht="25.5" x14ac:dyDescent="0.25">
      <c r="A406" s="26">
        <v>405</v>
      </c>
      <c r="B406" s="28" t="s">
        <v>506</v>
      </c>
      <c r="C406" s="28" t="s">
        <v>507</v>
      </c>
      <c r="D406" s="26">
        <v>30</v>
      </c>
      <c r="E406" s="32">
        <v>23.83</v>
      </c>
      <c r="F406" s="32">
        <v>714.9</v>
      </c>
    </row>
    <row r="407" spans="1:6" x14ac:dyDescent="0.25">
      <c r="A407" s="26">
        <v>406</v>
      </c>
      <c r="B407" s="26" t="s">
        <v>508</v>
      </c>
      <c r="C407" s="26" t="s">
        <v>509</v>
      </c>
      <c r="D407" s="26">
        <v>500</v>
      </c>
      <c r="E407" s="32">
        <v>18.53</v>
      </c>
      <c r="F407" s="32">
        <v>9265</v>
      </c>
    </row>
    <row r="408" spans="1:6" x14ac:dyDescent="0.25">
      <c r="A408" s="26">
        <v>407</v>
      </c>
      <c r="B408" s="26" t="s">
        <v>510</v>
      </c>
      <c r="C408" s="26" t="s">
        <v>511</v>
      </c>
      <c r="D408" s="26">
        <v>500</v>
      </c>
      <c r="E408" s="32">
        <v>0.93</v>
      </c>
      <c r="F408" s="32">
        <v>465</v>
      </c>
    </row>
    <row r="409" spans="1:6" ht="25.5" x14ac:dyDescent="0.25">
      <c r="A409" s="26">
        <v>408</v>
      </c>
      <c r="B409" s="28" t="s">
        <v>512</v>
      </c>
      <c r="C409" s="26" t="s">
        <v>511</v>
      </c>
      <c r="D409" s="26">
        <v>500</v>
      </c>
      <c r="E409" s="32">
        <v>1.1100000000000001</v>
      </c>
      <c r="F409" s="32">
        <v>555</v>
      </c>
    </row>
    <row r="410" spans="1:6" x14ac:dyDescent="0.25">
      <c r="A410" s="26">
        <v>409</v>
      </c>
      <c r="B410" s="26" t="s">
        <v>513</v>
      </c>
      <c r="C410" s="26" t="s">
        <v>514</v>
      </c>
      <c r="D410" s="26">
        <v>50</v>
      </c>
      <c r="E410" s="32">
        <v>6.42</v>
      </c>
      <c r="F410" s="32">
        <v>321</v>
      </c>
    </row>
    <row r="411" spans="1:6" x14ac:dyDescent="0.25">
      <c r="A411" s="26">
        <v>410</v>
      </c>
      <c r="B411" s="26" t="s">
        <v>515</v>
      </c>
      <c r="C411" s="26" t="s">
        <v>514</v>
      </c>
      <c r="D411" s="26">
        <v>100</v>
      </c>
      <c r="E411" s="32">
        <v>14.47</v>
      </c>
      <c r="F411" s="32">
        <v>1447</v>
      </c>
    </row>
    <row r="412" spans="1:6" x14ac:dyDescent="0.25">
      <c r="A412" s="26">
        <v>411</v>
      </c>
      <c r="B412" s="26" t="s">
        <v>516</v>
      </c>
      <c r="C412" s="26" t="s">
        <v>514</v>
      </c>
      <c r="D412" s="26">
        <v>100</v>
      </c>
      <c r="E412" s="32">
        <v>4.18</v>
      </c>
      <c r="F412" s="32">
        <v>418</v>
      </c>
    </row>
    <row r="413" spans="1:6" ht="25.5" x14ac:dyDescent="0.25">
      <c r="A413" s="26">
        <v>412</v>
      </c>
      <c r="B413" s="28" t="s">
        <v>517</v>
      </c>
      <c r="C413" s="28" t="s">
        <v>518</v>
      </c>
      <c r="D413" s="26">
        <v>300</v>
      </c>
      <c r="E413" s="32">
        <v>1.39</v>
      </c>
      <c r="F413" s="32">
        <v>417</v>
      </c>
    </row>
    <row r="414" spans="1:6" x14ac:dyDescent="0.25">
      <c r="A414" s="26">
        <v>413</v>
      </c>
      <c r="B414" s="26" t="s">
        <v>519</v>
      </c>
      <c r="C414" s="26" t="s">
        <v>520</v>
      </c>
      <c r="D414" s="26">
        <v>50</v>
      </c>
      <c r="E414" s="32">
        <v>7.94</v>
      </c>
      <c r="F414" s="32">
        <v>397</v>
      </c>
    </row>
    <row r="415" spans="1:6" x14ac:dyDescent="0.25">
      <c r="A415" s="26">
        <v>414</v>
      </c>
      <c r="B415" s="26" t="s">
        <v>521</v>
      </c>
      <c r="C415" s="26" t="s">
        <v>520</v>
      </c>
      <c r="D415" s="26">
        <v>100</v>
      </c>
      <c r="E415" s="32">
        <v>16.96</v>
      </c>
      <c r="F415" s="32">
        <v>1696</v>
      </c>
    </row>
    <row r="416" spans="1:6" x14ac:dyDescent="0.25">
      <c r="A416" s="26">
        <v>415</v>
      </c>
      <c r="B416" s="26" t="s">
        <v>522</v>
      </c>
      <c r="C416" s="26" t="s">
        <v>511</v>
      </c>
      <c r="D416" s="26">
        <v>300</v>
      </c>
      <c r="E416" s="32">
        <v>0.93</v>
      </c>
      <c r="F416" s="32">
        <v>279</v>
      </c>
    </row>
    <row r="417" spans="1:6" x14ac:dyDescent="0.25">
      <c r="A417" s="26">
        <v>416</v>
      </c>
      <c r="B417" s="26" t="s">
        <v>523</v>
      </c>
      <c r="C417" s="26" t="s">
        <v>524</v>
      </c>
      <c r="D417" s="26">
        <v>100</v>
      </c>
      <c r="E417" s="32">
        <v>1.27</v>
      </c>
      <c r="F417" s="32">
        <v>127</v>
      </c>
    </row>
    <row r="418" spans="1:6" x14ac:dyDescent="0.25">
      <c r="A418" s="26">
        <v>417</v>
      </c>
      <c r="B418" s="26" t="s">
        <v>525</v>
      </c>
      <c r="C418" s="26" t="s">
        <v>524</v>
      </c>
      <c r="D418" s="26">
        <v>100</v>
      </c>
      <c r="E418" s="32">
        <v>1.39</v>
      </c>
      <c r="F418" s="32">
        <v>139</v>
      </c>
    </row>
    <row r="419" spans="1:6" x14ac:dyDescent="0.25">
      <c r="A419" s="26">
        <v>418</v>
      </c>
      <c r="B419" s="26" t="s">
        <v>526</v>
      </c>
      <c r="C419" s="26" t="s">
        <v>511</v>
      </c>
      <c r="D419" s="26">
        <v>5000</v>
      </c>
      <c r="E419" s="32">
        <v>0.24</v>
      </c>
      <c r="F419" s="32">
        <v>1200</v>
      </c>
    </row>
    <row r="420" spans="1:6" x14ac:dyDescent="0.25">
      <c r="A420" s="26">
        <v>419</v>
      </c>
      <c r="B420" s="26" t="s">
        <v>527</v>
      </c>
      <c r="C420" s="26" t="s">
        <v>528</v>
      </c>
      <c r="D420" s="26">
        <v>500</v>
      </c>
      <c r="E420" s="32">
        <v>0.92</v>
      </c>
      <c r="F420" s="32">
        <v>460</v>
      </c>
    </row>
    <row r="421" spans="1:6" x14ac:dyDescent="0.25">
      <c r="A421" s="26">
        <v>420</v>
      </c>
      <c r="B421" s="26" t="s">
        <v>529</v>
      </c>
      <c r="C421" s="26" t="s">
        <v>524</v>
      </c>
      <c r="D421" s="26">
        <v>500</v>
      </c>
      <c r="E421" s="32">
        <v>4.8</v>
      </c>
      <c r="F421" s="32">
        <v>2400</v>
      </c>
    </row>
    <row r="422" spans="1:6" x14ac:dyDescent="0.25">
      <c r="A422" s="26">
        <v>421</v>
      </c>
      <c r="B422" s="26" t="s">
        <v>530</v>
      </c>
      <c r="C422" s="26" t="s">
        <v>531</v>
      </c>
      <c r="D422" s="26">
        <v>150</v>
      </c>
      <c r="E422" s="32">
        <v>2.63</v>
      </c>
      <c r="F422" s="32">
        <v>394.5</v>
      </c>
    </row>
    <row r="423" spans="1:6" x14ac:dyDescent="0.25">
      <c r="A423" s="26">
        <v>422</v>
      </c>
      <c r="B423" s="26" t="s">
        <v>532</v>
      </c>
      <c r="C423" s="26" t="s">
        <v>533</v>
      </c>
      <c r="D423" s="26">
        <v>100</v>
      </c>
      <c r="E423" s="32">
        <v>17.75</v>
      </c>
      <c r="F423" s="32">
        <v>1775</v>
      </c>
    </row>
    <row r="424" spans="1:6" x14ac:dyDescent="0.25">
      <c r="A424" s="26">
        <v>423</v>
      </c>
      <c r="B424" s="26" t="s">
        <v>534</v>
      </c>
      <c r="C424" s="26" t="s">
        <v>531</v>
      </c>
      <c r="D424" s="26">
        <v>100</v>
      </c>
      <c r="E424" s="32">
        <v>2.2999999999999998</v>
      </c>
      <c r="F424" s="32">
        <v>230</v>
      </c>
    </row>
    <row r="425" spans="1:6" x14ac:dyDescent="0.25">
      <c r="A425" s="26">
        <v>424</v>
      </c>
      <c r="B425" s="26" t="s">
        <v>535</v>
      </c>
      <c r="C425" s="26" t="s">
        <v>531</v>
      </c>
      <c r="D425" s="26">
        <v>100</v>
      </c>
      <c r="E425" s="32">
        <v>2.79</v>
      </c>
      <c r="F425" s="32">
        <v>279</v>
      </c>
    </row>
    <row r="426" spans="1:6" x14ac:dyDescent="0.25">
      <c r="A426" s="26">
        <v>425</v>
      </c>
      <c r="B426" s="26" t="s">
        <v>536</v>
      </c>
      <c r="C426" s="26" t="s">
        <v>537</v>
      </c>
      <c r="D426" s="26">
        <v>200</v>
      </c>
      <c r="E426" s="32">
        <v>19.16</v>
      </c>
      <c r="F426" s="32">
        <v>3832</v>
      </c>
    </row>
    <row r="427" spans="1:6" x14ac:dyDescent="0.25">
      <c r="A427" s="26">
        <v>426</v>
      </c>
      <c r="B427" s="26" t="s">
        <v>536</v>
      </c>
      <c r="C427" s="26" t="s">
        <v>538</v>
      </c>
      <c r="D427" s="26">
        <v>100</v>
      </c>
      <c r="E427" s="32">
        <v>30.75</v>
      </c>
      <c r="F427" s="32">
        <v>3075</v>
      </c>
    </row>
    <row r="428" spans="1:6" x14ac:dyDescent="0.25">
      <c r="A428" s="26">
        <v>427</v>
      </c>
      <c r="B428" s="26" t="s">
        <v>539</v>
      </c>
      <c r="C428" s="26" t="s">
        <v>511</v>
      </c>
      <c r="D428" s="26">
        <v>500</v>
      </c>
      <c r="E428" s="32">
        <v>1.79</v>
      </c>
      <c r="F428" s="32">
        <v>895</v>
      </c>
    </row>
    <row r="429" spans="1:6" x14ac:dyDescent="0.25">
      <c r="A429" s="26">
        <v>428</v>
      </c>
      <c r="B429" s="26" t="s">
        <v>540</v>
      </c>
      <c r="C429" s="26" t="s">
        <v>541</v>
      </c>
      <c r="D429" s="26">
        <v>100</v>
      </c>
      <c r="E429" s="32">
        <v>15.26</v>
      </c>
      <c r="F429" s="32">
        <v>1526</v>
      </c>
    </row>
    <row r="430" spans="1:6" x14ac:dyDescent="0.25">
      <c r="A430" s="26">
        <v>429</v>
      </c>
      <c r="B430" s="26" t="s">
        <v>542</v>
      </c>
      <c r="C430" s="26" t="s">
        <v>511</v>
      </c>
      <c r="D430" s="26">
        <v>500</v>
      </c>
      <c r="E430" s="32">
        <v>2.19</v>
      </c>
      <c r="F430" s="32">
        <v>1095</v>
      </c>
    </row>
    <row r="431" spans="1:6" x14ac:dyDescent="0.25">
      <c r="A431" s="26">
        <v>430</v>
      </c>
      <c r="B431" s="26" t="s">
        <v>543</v>
      </c>
      <c r="C431" s="26" t="s">
        <v>544</v>
      </c>
      <c r="D431" s="26">
        <v>100</v>
      </c>
      <c r="E431" s="32">
        <v>3.62</v>
      </c>
      <c r="F431" s="32">
        <v>362</v>
      </c>
    </row>
    <row r="432" spans="1:6" x14ac:dyDescent="0.25">
      <c r="A432" s="26">
        <v>431</v>
      </c>
      <c r="B432" s="26" t="s">
        <v>545</v>
      </c>
      <c r="C432" s="26" t="s">
        <v>511</v>
      </c>
      <c r="D432" s="26">
        <v>500</v>
      </c>
      <c r="E432" s="32">
        <v>0.89</v>
      </c>
      <c r="F432" s="32">
        <v>445</v>
      </c>
    </row>
    <row r="433" spans="1:6" x14ac:dyDescent="0.25">
      <c r="A433" s="26">
        <v>432</v>
      </c>
      <c r="B433" s="26" t="s">
        <v>546</v>
      </c>
      <c r="C433" s="26" t="s">
        <v>509</v>
      </c>
      <c r="D433" s="26">
        <v>500</v>
      </c>
      <c r="E433" s="32">
        <v>0.53</v>
      </c>
      <c r="F433" s="32">
        <v>265</v>
      </c>
    </row>
    <row r="434" spans="1:6" x14ac:dyDescent="0.25">
      <c r="A434" s="26">
        <v>433</v>
      </c>
      <c r="B434" s="26" t="s">
        <v>547</v>
      </c>
      <c r="C434" s="26" t="s">
        <v>511</v>
      </c>
      <c r="D434" s="26">
        <v>1000</v>
      </c>
      <c r="E434" s="32">
        <v>0.78</v>
      </c>
      <c r="F434" s="32">
        <v>780</v>
      </c>
    </row>
    <row r="435" spans="1:6" x14ac:dyDescent="0.25">
      <c r="A435" s="26">
        <v>434</v>
      </c>
      <c r="B435" s="26" t="s">
        <v>548</v>
      </c>
      <c r="C435" s="26" t="s">
        <v>511</v>
      </c>
      <c r="D435" s="26">
        <v>1000</v>
      </c>
      <c r="E435" s="32">
        <v>0.78</v>
      </c>
      <c r="F435" s="32">
        <v>780</v>
      </c>
    </row>
    <row r="436" spans="1:6" x14ac:dyDescent="0.25">
      <c r="A436" s="26">
        <v>435</v>
      </c>
      <c r="B436" s="26" t="s">
        <v>549</v>
      </c>
      <c r="C436" s="26" t="s">
        <v>511</v>
      </c>
      <c r="D436" s="26">
        <v>500</v>
      </c>
      <c r="E436" s="32">
        <v>0.38</v>
      </c>
      <c r="F436" s="32">
        <v>190</v>
      </c>
    </row>
    <row r="437" spans="1:6" x14ac:dyDescent="0.25">
      <c r="A437" s="26">
        <v>436</v>
      </c>
      <c r="B437" s="26" t="s">
        <v>550</v>
      </c>
      <c r="C437" s="26" t="s">
        <v>551</v>
      </c>
      <c r="D437" s="26">
        <v>2000</v>
      </c>
      <c r="E437" s="32">
        <v>3.25</v>
      </c>
      <c r="F437" s="32">
        <v>6500</v>
      </c>
    </row>
    <row r="438" spans="1:6" x14ac:dyDescent="0.25">
      <c r="A438" s="26">
        <v>437</v>
      </c>
      <c r="B438" s="26" t="s">
        <v>552</v>
      </c>
      <c r="C438" s="26" t="s">
        <v>520</v>
      </c>
      <c r="D438" s="26">
        <v>500</v>
      </c>
      <c r="E438" s="32">
        <v>17.48</v>
      </c>
      <c r="F438" s="32">
        <v>8740</v>
      </c>
    </row>
    <row r="439" spans="1:6" x14ac:dyDescent="0.25">
      <c r="A439" s="26">
        <v>438</v>
      </c>
      <c r="B439" s="26" t="s">
        <v>553</v>
      </c>
      <c r="C439" s="26" t="s">
        <v>511</v>
      </c>
      <c r="D439" s="26">
        <v>500</v>
      </c>
      <c r="E439" s="32">
        <v>0.28000000000000003</v>
      </c>
      <c r="F439" s="32">
        <v>140</v>
      </c>
    </row>
    <row r="440" spans="1:6" x14ac:dyDescent="0.25">
      <c r="A440" s="26">
        <v>439</v>
      </c>
      <c r="B440" s="26" t="s">
        <v>554</v>
      </c>
      <c r="C440" s="26" t="s">
        <v>509</v>
      </c>
      <c r="D440" s="26">
        <v>500</v>
      </c>
      <c r="E440" s="32">
        <v>2.2400000000000002</v>
      </c>
      <c r="F440" s="32">
        <v>1120</v>
      </c>
    </row>
    <row r="441" spans="1:6" x14ac:dyDescent="0.25">
      <c r="A441" s="26">
        <v>440</v>
      </c>
      <c r="B441" s="26" t="s">
        <v>555</v>
      </c>
      <c r="C441" s="26" t="s">
        <v>556</v>
      </c>
      <c r="D441" s="26">
        <v>250</v>
      </c>
      <c r="E441" s="32">
        <v>2.94</v>
      </c>
      <c r="F441" s="32">
        <v>735</v>
      </c>
    </row>
    <row r="442" spans="1:6" x14ac:dyDescent="0.25">
      <c r="A442" s="26">
        <v>441</v>
      </c>
      <c r="B442" s="26" t="s">
        <v>557</v>
      </c>
      <c r="C442" s="26" t="s">
        <v>558</v>
      </c>
      <c r="D442" s="26">
        <v>400</v>
      </c>
      <c r="E442" s="32">
        <v>7.01</v>
      </c>
      <c r="F442" s="32">
        <v>2804</v>
      </c>
    </row>
    <row r="443" spans="1:6" x14ac:dyDescent="0.25">
      <c r="A443" s="26">
        <v>442</v>
      </c>
      <c r="B443" s="26" t="s">
        <v>559</v>
      </c>
      <c r="C443" s="26" t="s">
        <v>560</v>
      </c>
      <c r="D443" s="26">
        <v>100</v>
      </c>
      <c r="E443" s="32">
        <v>17.75</v>
      </c>
      <c r="F443" s="32">
        <v>1775</v>
      </c>
    </row>
    <row r="444" spans="1:6" x14ac:dyDescent="0.25">
      <c r="A444" s="26">
        <v>443</v>
      </c>
      <c r="B444" s="26" t="s">
        <v>561</v>
      </c>
      <c r="C444" s="26" t="s">
        <v>562</v>
      </c>
      <c r="D444" s="26">
        <v>200</v>
      </c>
      <c r="E444" s="32">
        <v>1.55</v>
      </c>
      <c r="F444" s="32">
        <v>310</v>
      </c>
    </row>
    <row r="445" spans="1:6" x14ac:dyDescent="0.25">
      <c r="A445" s="26">
        <v>444</v>
      </c>
      <c r="B445" s="26" t="s">
        <v>563</v>
      </c>
      <c r="C445" s="26" t="s">
        <v>562</v>
      </c>
      <c r="D445" s="26">
        <v>200</v>
      </c>
      <c r="E445" s="32">
        <v>0.96</v>
      </c>
      <c r="F445" s="32">
        <v>192</v>
      </c>
    </row>
    <row r="446" spans="1:6" x14ac:dyDescent="0.25">
      <c r="A446" s="26">
        <v>445</v>
      </c>
      <c r="B446" s="26" t="s">
        <v>564</v>
      </c>
      <c r="C446" s="26" t="s">
        <v>565</v>
      </c>
      <c r="D446" s="26">
        <v>50</v>
      </c>
      <c r="E446" s="32">
        <v>9.98</v>
      </c>
      <c r="F446" s="32">
        <v>499</v>
      </c>
    </row>
    <row r="447" spans="1:6" x14ac:dyDescent="0.25">
      <c r="A447" s="26">
        <v>446</v>
      </c>
      <c r="B447" s="26" t="s">
        <v>566</v>
      </c>
      <c r="C447" s="26" t="s">
        <v>562</v>
      </c>
      <c r="D447" s="26">
        <v>20</v>
      </c>
      <c r="E447" s="32">
        <v>115.63</v>
      </c>
      <c r="F447" s="32">
        <v>2312.6</v>
      </c>
    </row>
    <row r="448" spans="1:6" x14ac:dyDescent="0.25">
      <c r="A448" s="26">
        <v>447</v>
      </c>
      <c r="B448" s="26" t="s">
        <v>567</v>
      </c>
      <c r="C448" s="26" t="s">
        <v>568</v>
      </c>
      <c r="D448" s="26">
        <v>100</v>
      </c>
      <c r="E448" s="32">
        <v>1.92</v>
      </c>
      <c r="F448" s="32">
        <v>192</v>
      </c>
    </row>
    <row r="449" spans="1:6" x14ac:dyDescent="0.25">
      <c r="A449" s="26">
        <v>448</v>
      </c>
      <c r="B449" s="26" t="s">
        <v>569</v>
      </c>
      <c r="C449" s="26" t="s">
        <v>562</v>
      </c>
      <c r="D449" s="26">
        <v>100</v>
      </c>
      <c r="E449" s="32">
        <v>2.42</v>
      </c>
      <c r="F449" s="32">
        <v>242</v>
      </c>
    </row>
    <row r="450" spans="1:6" x14ac:dyDescent="0.25">
      <c r="A450" s="26">
        <v>449</v>
      </c>
      <c r="B450" s="26" t="s">
        <v>570</v>
      </c>
      <c r="C450" s="26" t="s">
        <v>562</v>
      </c>
      <c r="D450" s="26">
        <v>100</v>
      </c>
      <c r="E450" s="32">
        <v>32.85</v>
      </c>
      <c r="F450" s="32">
        <v>3285</v>
      </c>
    </row>
    <row r="451" spans="1:6" x14ac:dyDescent="0.25">
      <c r="A451" s="26">
        <v>450</v>
      </c>
      <c r="B451" s="26" t="s">
        <v>571</v>
      </c>
      <c r="C451" s="26" t="s">
        <v>562</v>
      </c>
      <c r="D451" s="26">
        <v>100</v>
      </c>
      <c r="E451" s="32">
        <v>2.4500000000000002</v>
      </c>
      <c r="F451" s="32">
        <v>245</v>
      </c>
    </row>
    <row r="452" spans="1:6" x14ac:dyDescent="0.25">
      <c r="A452" s="26">
        <v>451</v>
      </c>
      <c r="B452" s="26" t="s">
        <v>572</v>
      </c>
      <c r="C452" s="26" t="s">
        <v>562</v>
      </c>
      <c r="D452" s="26">
        <v>100</v>
      </c>
      <c r="E452" s="32">
        <v>15.88</v>
      </c>
      <c r="F452" s="32">
        <v>1588</v>
      </c>
    </row>
    <row r="453" spans="1:6" x14ac:dyDescent="0.25">
      <c r="A453" s="26">
        <v>452</v>
      </c>
      <c r="B453" s="26" t="s">
        <v>573</v>
      </c>
      <c r="C453" s="26" t="s">
        <v>562</v>
      </c>
      <c r="D453" s="26">
        <v>5</v>
      </c>
      <c r="E453" s="32">
        <v>78.8</v>
      </c>
      <c r="F453" s="32">
        <v>394</v>
      </c>
    </row>
    <row r="454" spans="1:6" x14ac:dyDescent="0.25">
      <c r="A454" s="26">
        <v>453</v>
      </c>
      <c r="B454" s="26" t="s">
        <v>574</v>
      </c>
      <c r="C454" s="26" t="s">
        <v>575</v>
      </c>
      <c r="D454" s="26">
        <v>50</v>
      </c>
      <c r="E454" s="32">
        <v>190.49</v>
      </c>
      <c r="F454" s="32">
        <v>9524.5</v>
      </c>
    </row>
    <row r="455" spans="1:6" x14ac:dyDescent="0.25">
      <c r="A455" s="26">
        <v>454</v>
      </c>
      <c r="B455" s="26" t="s">
        <v>576</v>
      </c>
      <c r="C455" s="26" t="s">
        <v>562</v>
      </c>
      <c r="D455" s="26">
        <v>20</v>
      </c>
      <c r="E455" s="32">
        <v>114.29</v>
      </c>
      <c r="F455" s="32">
        <v>2285.8000000000002</v>
      </c>
    </row>
    <row r="456" spans="1:6" x14ac:dyDescent="0.25">
      <c r="A456" s="26">
        <v>455</v>
      </c>
      <c r="B456" s="26" t="s">
        <v>577</v>
      </c>
      <c r="C456" s="26" t="s">
        <v>562</v>
      </c>
      <c r="D456" s="26">
        <v>2</v>
      </c>
      <c r="E456" s="32">
        <v>9007.33</v>
      </c>
      <c r="F456" s="32">
        <v>18014.66</v>
      </c>
    </row>
    <row r="457" spans="1:6" x14ac:dyDescent="0.25">
      <c r="A457" s="26">
        <v>456</v>
      </c>
      <c r="B457" s="26" t="s">
        <v>578</v>
      </c>
      <c r="C457" s="26" t="s">
        <v>562</v>
      </c>
      <c r="D457" s="26">
        <v>5</v>
      </c>
      <c r="E457" s="32">
        <v>175.65</v>
      </c>
      <c r="F457" s="32">
        <v>878.25</v>
      </c>
    </row>
    <row r="458" spans="1:6" x14ac:dyDescent="0.25">
      <c r="A458" s="26">
        <v>457</v>
      </c>
      <c r="B458" s="26" t="s">
        <v>579</v>
      </c>
      <c r="C458" s="26" t="s">
        <v>562</v>
      </c>
      <c r="D458" s="26">
        <v>5</v>
      </c>
      <c r="E458" s="32">
        <v>966.16</v>
      </c>
      <c r="F458" s="32">
        <v>4830.8</v>
      </c>
    </row>
    <row r="459" spans="1:6" x14ac:dyDescent="0.25">
      <c r="A459" s="26">
        <v>458</v>
      </c>
      <c r="B459" s="26" t="s">
        <v>580</v>
      </c>
      <c r="C459" s="26" t="s">
        <v>562</v>
      </c>
      <c r="D459" s="26">
        <v>5</v>
      </c>
      <c r="E459" s="32">
        <v>710.66</v>
      </c>
      <c r="F459" s="32">
        <v>3553.3</v>
      </c>
    </row>
    <row r="460" spans="1:6" x14ac:dyDescent="0.25">
      <c r="A460" s="26">
        <v>459</v>
      </c>
      <c r="B460" s="26" t="s">
        <v>581</v>
      </c>
      <c r="C460" s="26" t="s">
        <v>562</v>
      </c>
      <c r="D460" s="26">
        <v>5</v>
      </c>
      <c r="E460" s="32">
        <v>286.45999999999998</v>
      </c>
      <c r="F460" s="32">
        <v>1432.3</v>
      </c>
    </row>
    <row r="461" spans="1:6" x14ac:dyDescent="0.25">
      <c r="A461" s="26">
        <v>460</v>
      </c>
      <c r="B461" s="26" t="s">
        <v>582</v>
      </c>
      <c r="C461" s="26" t="s">
        <v>562</v>
      </c>
      <c r="D461" s="26">
        <v>2</v>
      </c>
      <c r="E461" s="32">
        <v>1614.4</v>
      </c>
      <c r="F461" s="32">
        <v>3228.8</v>
      </c>
    </row>
    <row r="462" spans="1:6" x14ac:dyDescent="0.25">
      <c r="A462" s="26">
        <v>461</v>
      </c>
      <c r="B462" s="26" t="s">
        <v>583</v>
      </c>
      <c r="C462" s="26" t="s">
        <v>562</v>
      </c>
      <c r="D462" s="26">
        <v>5</v>
      </c>
      <c r="E462" s="32">
        <v>110.04</v>
      </c>
      <c r="F462" s="32">
        <v>550.20000000000005</v>
      </c>
    </row>
    <row r="463" spans="1:6" x14ac:dyDescent="0.25">
      <c r="A463" s="26">
        <v>462</v>
      </c>
      <c r="B463" s="26" t="s">
        <v>584</v>
      </c>
      <c r="C463" s="26" t="s">
        <v>562</v>
      </c>
      <c r="D463" s="26">
        <v>5</v>
      </c>
      <c r="E463" s="32">
        <v>99.65</v>
      </c>
      <c r="F463" s="32">
        <v>498.25</v>
      </c>
    </row>
    <row r="464" spans="1:6" x14ac:dyDescent="0.25">
      <c r="A464" s="26">
        <v>463</v>
      </c>
      <c r="B464" s="26" t="s">
        <v>585</v>
      </c>
      <c r="C464" s="26" t="s">
        <v>586</v>
      </c>
      <c r="D464" s="26">
        <v>500</v>
      </c>
      <c r="E464" s="32">
        <v>153.6</v>
      </c>
      <c r="F464" s="32">
        <v>76800</v>
      </c>
    </row>
    <row r="465" spans="1:6" x14ac:dyDescent="0.25">
      <c r="A465" s="26">
        <v>464</v>
      </c>
      <c r="B465" s="26" t="s">
        <v>587</v>
      </c>
      <c r="C465" s="26" t="s">
        <v>586</v>
      </c>
      <c r="D465" s="26">
        <v>1000</v>
      </c>
      <c r="E465" s="32">
        <v>45.96</v>
      </c>
      <c r="F465" s="32">
        <v>45960</v>
      </c>
    </row>
    <row r="466" spans="1:6" x14ac:dyDescent="0.25">
      <c r="A466" s="26">
        <v>465</v>
      </c>
      <c r="B466" s="26" t="s">
        <v>588</v>
      </c>
      <c r="C466" s="26" t="s">
        <v>586</v>
      </c>
      <c r="D466" s="26">
        <v>500</v>
      </c>
      <c r="E466" s="32">
        <v>5.08</v>
      </c>
      <c r="F466" s="32">
        <v>2540</v>
      </c>
    </row>
    <row r="467" spans="1:6" x14ac:dyDescent="0.25">
      <c r="A467" s="26">
        <v>466</v>
      </c>
      <c r="B467" s="26" t="s">
        <v>589</v>
      </c>
      <c r="C467" s="26" t="s">
        <v>562</v>
      </c>
      <c r="D467" s="26">
        <v>500</v>
      </c>
      <c r="E467" s="32">
        <v>10.46</v>
      </c>
      <c r="F467" s="32">
        <v>5230</v>
      </c>
    </row>
    <row r="468" spans="1:6" x14ac:dyDescent="0.25">
      <c r="A468" s="26">
        <v>467</v>
      </c>
      <c r="B468" s="26" t="s">
        <v>590</v>
      </c>
      <c r="C468" s="26" t="s">
        <v>562</v>
      </c>
      <c r="D468" s="26">
        <v>10</v>
      </c>
      <c r="E468" s="32">
        <v>149.51</v>
      </c>
      <c r="F468" s="32">
        <v>1495.1</v>
      </c>
    </row>
    <row r="469" spans="1:6" x14ac:dyDescent="0.25">
      <c r="A469" s="26">
        <v>468</v>
      </c>
      <c r="B469" s="26" t="s">
        <v>591</v>
      </c>
      <c r="C469" s="26" t="s">
        <v>562</v>
      </c>
      <c r="D469" s="26">
        <v>100</v>
      </c>
      <c r="E469" s="32">
        <v>4.12</v>
      </c>
      <c r="F469" s="32">
        <v>412</v>
      </c>
    </row>
    <row r="470" spans="1:6" x14ac:dyDescent="0.25">
      <c r="A470" s="26">
        <v>469</v>
      </c>
      <c r="B470" s="26" t="s">
        <v>592</v>
      </c>
      <c r="C470" s="26" t="s">
        <v>514</v>
      </c>
      <c r="D470" s="26">
        <v>200</v>
      </c>
      <c r="E470" s="32">
        <v>3.83</v>
      </c>
      <c r="F470" s="32">
        <v>766</v>
      </c>
    </row>
    <row r="471" spans="1:6" x14ac:dyDescent="0.25">
      <c r="A471" s="26">
        <v>470</v>
      </c>
      <c r="B471" s="26" t="s">
        <v>593</v>
      </c>
      <c r="C471" s="26" t="s">
        <v>594</v>
      </c>
      <c r="D471" s="26">
        <v>200</v>
      </c>
      <c r="E471" s="32">
        <v>7.98</v>
      </c>
      <c r="F471" s="32">
        <v>1596</v>
      </c>
    </row>
    <row r="472" spans="1:6" x14ac:dyDescent="0.25">
      <c r="A472" s="26">
        <v>471</v>
      </c>
      <c r="B472" s="26" t="s">
        <v>595</v>
      </c>
      <c r="C472" s="26" t="s">
        <v>562</v>
      </c>
      <c r="D472" s="26">
        <v>2</v>
      </c>
      <c r="E472" s="32">
        <v>9840.34</v>
      </c>
      <c r="F472" s="32">
        <v>19680.68</v>
      </c>
    </row>
    <row r="473" spans="1:6" x14ac:dyDescent="0.25">
      <c r="A473" s="26">
        <v>472</v>
      </c>
      <c r="B473" s="26" t="s">
        <v>596</v>
      </c>
      <c r="C473" s="26" t="s">
        <v>562</v>
      </c>
      <c r="D473" s="26">
        <v>2</v>
      </c>
      <c r="E473" s="32">
        <v>4077.49</v>
      </c>
      <c r="F473" s="32">
        <v>8154.98</v>
      </c>
    </row>
    <row r="474" spans="1:6" x14ac:dyDescent="0.25">
      <c r="A474" s="26">
        <v>473</v>
      </c>
      <c r="B474" s="26" t="s">
        <v>597</v>
      </c>
      <c r="C474" s="26" t="s">
        <v>562</v>
      </c>
      <c r="D474" s="26">
        <v>2</v>
      </c>
      <c r="E474" s="32">
        <v>1450.45</v>
      </c>
      <c r="F474" s="32">
        <v>2900.9</v>
      </c>
    </row>
    <row r="475" spans="1:6" x14ac:dyDescent="0.25">
      <c r="A475" s="26">
        <v>474</v>
      </c>
      <c r="B475" s="26" t="s">
        <v>598</v>
      </c>
      <c r="C475" s="26" t="s">
        <v>562</v>
      </c>
      <c r="D475" s="26">
        <v>2</v>
      </c>
      <c r="E475" s="32">
        <v>1967.35</v>
      </c>
      <c r="F475" s="32">
        <v>3934.7</v>
      </c>
    </row>
    <row r="476" spans="1:6" x14ac:dyDescent="0.25">
      <c r="A476" s="26">
        <v>475</v>
      </c>
      <c r="B476" s="26" t="s">
        <v>599</v>
      </c>
      <c r="C476" s="26" t="s">
        <v>562</v>
      </c>
      <c r="D476" s="26">
        <v>4</v>
      </c>
      <c r="E476" s="32">
        <v>1123.1600000000001</v>
      </c>
      <c r="F476" s="32">
        <v>4492.6400000000003</v>
      </c>
    </row>
    <row r="477" spans="1:6" x14ac:dyDescent="0.25">
      <c r="A477" s="26">
        <v>476</v>
      </c>
      <c r="B477" s="26" t="s">
        <v>600</v>
      </c>
      <c r="C477" s="26" t="s">
        <v>562</v>
      </c>
      <c r="D477" s="26">
        <v>4</v>
      </c>
      <c r="E477" s="32">
        <v>790.47</v>
      </c>
      <c r="F477" s="32">
        <v>3161.88</v>
      </c>
    </row>
    <row r="478" spans="1:6" x14ac:dyDescent="0.25">
      <c r="A478" s="26">
        <v>477</v>
      </c>
      <c r="B478" s="26" t="s">
        <v>601</v>
      </c>
      <c r="C478" s="26" t="s">
        <v>562</v>
      </c>
      <c r="D478" s="26">
        <v>2</v>
      </c>
      <c r="E478" s="32">
        <v>2430.08</v>
      </c>
      <c r="F478" s="32">
        <v>4860.16</v>
      </c>
    </row>
    <row r="479" spans="1:6" x14ac:dyDescent="0.25">
      <c r="A479" s="26">
        <v>478</v>
      </c>
      <c r="B479" s="26" t="s">
        <v>602</v>
      </c>
      <c r="C479" s="26" t="s">
        <v>562</v>
      </c>
      <c r="D479" s="26">
        <v>20</v>
      </c>
      <c r="E479" s="32">
        <v>611.24</v>
      </c>
      <c r="F479" s="32">
        <v>12224.8</v>
      </c>
    </row>
    <row r="480" spans="1:6" x14ac:dyDescent="0.25">
      <c r="A480" s="26">
        <v>479</v>
      </c>
      <c r="B480" s="26" t="s">
        <v>603</v>
      </c>
      <c r="C480" s="26" t="s">
        <v>562</v>
      </c>
      <c r="D480" s="26">
        <v>5</v>
      </c>
      <c r="E480" s="32">
        <v>194.49</v>
      </c>
      <c r="F480" s="32">
        <v>972.45</v>
      </c>
    </row>
    <row r="481" spans="1:6" x14ac:dyDescent="0.25">
      <c r="A481" s="26">
        <v>480</v>
      </c>
      <c r="B481" s="26" t="s">
        <v>604</v>
      </c>
      <c r="C481" s="26" t="s">
        <v>562</v>
      </c>
      <c r="D481" s="26">
        <v>5</v>
      </c>
      <c r="E481" s="32">
        <v>948.84</v>
      </c>
      <c r="F481" s="32">
        <v>4744.2</v>
      </c>
    </row>
    <row r="482" spans="1:6" x14ac:dyDescent="0.25">
      <c r="A482" s="26">
        <v>481</v>
      </c>
      <c r="B482" s="26" t="s">
        <v>605</v>
      </c>
      <c r="C482" s="26" t="s">
        <v>562</v>
      </c>
      <c r="D482" s="26">
        <v>10</v>
      </c>
      <c r="E482" s="32">
        <v>6.96</v>
      </c>
      <c r="F482" s="32">
        <v>69.599999999999994</v>
      </c>
    </row>
    <row r="483" spans="1:6" x14ac:dyDescent="0.25">
      <c r="A483" s="26">
        <v>482</v>
      </c>
      <c r="B483" s="26" t="s">
        <v>606</v>
      </c>
      <c r="C483" s="26" t="s">
        <v>562</v>
      </c>
      <c r="D483" s="26">
        <v>100</v>
      </c>
      <c r="E483" s="32">
        <v>8.44</v>
      </c>
      <c r="F483" s="32">
        <v>844</v>
      </c>
    </row>
    <row r="484" spans="1:6" x14ac:dyDescent="0.25">
      <c r="A484" s="26">
        <v>483</v>
      </c>
      <c r="B484" s="26" t="s">
        <v>607</v>
      </c>
      <c r="C484" s="26" t="s">
        <v>562</v>
      </c>
      <c r="D484" s="26">
        <v>10</v>
      </c>
      <c r="E484" s="32">
        <v>250.46</v>
      </c>
      <c r="F484" s="32">
        <v>2504.6</v>
      </c>
    </row>
    <row r="485" spans="1:6" x14ac:dyDescent="0.25">
      <c r="A485" s="26">
        <v>484</v>
      </c>
      <c r="B485" s="26" t="s">
        <v>608</v>
      </c>
      <c r="C485" s="26" t="s">
        <v>562</v>
      </c>
      <c r="D485" s="26">
        <v>3</v>
      </c>
      <c r="E485" s="32">
        <v>198.87</v>
      </c>
      <c r="F485" s="32">
        <v>596.61</v>
      </c>
    </row>
    <row r="486" spans="1:6" x14ac:dyDescent="0.25">
      <c r="A486" s="26">
        <v>485</v>
      </c>
      <c r="B486" s="26" t="s">
        <v>609</v>
      </c>
      <c r="C486" s="26" t="s">
        <v>562</v>
      </c>
      <c r="D486" s="26">
        <v>3</v>
      </c>
      <c r="E486" s="32">
        <v>153.27000000000001</v>
      </c>
      <c r="F486" s="32">
        <v>459.81</v>
      </c>
    </row>
    <row r="487" spans="1:6" x14ac:dyDescent="0.25">
      <c r="A487" s="26">
        <v>486</v>
      </c>
      <c r="B487" s="26" t="s">
        <v>610</v>
      </c>
      <c r="C487" s="26" t="s">
        <v>562</v>
      </c>
      <c r="D487" s="26">
        <v>3</v>
      </c>
      <c r="E487" s="32">
        <v>105.35</v>
      </c>
      <c r="F487" s="32">
        <v>316.05</v>
      </c>
    </row>
    <row r="488" spans="1:6" x14ac:dyDescent="0.25">
      <c r="A488" s="26">
        <v>487</v>
      </c>
      <c r="B488" s="26" t="s">
        <v>611</v>
      </c>
      <c r="C488" s="26" t="s">
        <v>562</v>
      </c>
      <c r="D488" s="26">
        <v>20</v>
      </c>
      <c r="E488" s="32">
        <v>19.22</v>
      </c>
      <c r="F488" s="32">
        <v>384.4</v>
      </c>
    </row>
    <row r="489" spans="1:6" x14ac:dyDescent="0.25">
      <c r="A489" s="26">
        <v>488</v>
      </c>
      <c r="B489" s="26" t="s">
        <v>612</v>
      </c>
      <c r="C489" s="26" t="s">
        <v>562</v>
      </c>
      <c r="D489" s="26">
        <v>5</v>
      </c>
      <c r="E489" s="32">
        <v>178.24</v>
      </c>
      <c r="F489" s="32">
        <v>891.2</v>
      </c>
    </row>
    <row r="490" spans="1:6" x14ac:dyDescent="0.25">
      <c r="A490" s="26">
        <v>489</v>
      </c>
      <c r="B490" s="26" t="s">
        <v>613</v>
      </c>
      <c r="C490" s="26" t="s">
        <v>562</v>
      </c>
      <c r="D490" s="26">
        <v>5</v>
      </c>
      <c r="E490" s="32">
        <v>183.98</v>
      </c>
      <c r="F490" s="32">
        <v>919.9</v>
      </c>
    </row>
    <row r="491" spans="1:6" x14ac:dyDescent="0.25">
      <c r="A491" s="26">
        <v>490</v>
      </c>
      <c r="B491" s="26" t="s">
        <v>614</v>
      </c>
      <c r="C491" s="26" t="s">
        <v>562</v>
      </c>
      <c r="D491" s="26">
        <v>5</v>
      </c>
      <c r="E491" s="32">
        <v>178.49</v>
      </c>
      <c r="F491" s="32">
        <v>892.45</v>
      </c>
    </row>
    <row r="492" spans="1:6" x14ac:dyDescent="0.25">
      <c r="A492" s="26">
        <v>491</v>
      </c>
      <c r="B492" s="26" t="s">
        <v>615</v>
      </c>
      <c r="C492" s="26" t="s">
        <v>616</v>
      </c>
      <c r="D492" s="26">
        <v>20</v>
      </c>
      <c r="E492" s="32">
        <v>30.11</v>
      </c>
      <c r="F492" s="32">
        <v>602.20000000000005</v>
      </c>
    </row>
    <row r="493" spans="1:6" x14ac:dyDescent="0.25">
      <c r="A493" s="26">
        <v>492</v>
      </c>
      <c r="B493" s="26" t="s">
        <v>617</v>
      </c>
      <c r="C493" s="26" t="s">
        <v>618</v>
      </c>
      <c r="D493" s="26">
        <v>500</v>
      </c>
      <c r="E493" s="32">
        <v>1.54</v>
      </c>
      <c r="F493" s="32">
        <v>770</v>
      </c>
    </row>
    <row r="494" spans="1:6" x14ac:dyDescent="0.25">
      <c r="A494" s="26">
        <v>493</v>
      </c>
      <c r="B494" s="26" t="s">
        <v>619</v>
      </c>
      <c r="C494" s="26" t="s">
        <v>562</v>
      </c>
      <c r="D494" s="26">
        <v>100</v>
      </c>
      <c r="E494" s="32">
        <v>4.99</v>
      </c>
      <c r="F494" s="32">
        <v>499</v>
      </c>
    </row>
    <row r="495" spans="1:6" x14ac:dyDescent="0.25">
      <c r="A495" s="26">
        <v>494</v>
      </c>
      <c r="B495" s="26" t="s">
        <v>620</v>
      </c>
      <c r="C495" s="26" t="s">
        <v>562</v>
      </c>
      <c r="D495" s="26">
        <v>10</v>
      </c>
      <c r="E495" s="32">
        <v>25.45</v>
      </c>
      <c r="F495" s="32">
        <v>254.5</v>
      </c>
    </row>
    <row r="496" spans="1:6" x14ac:dyDescent="0.25">
      <c r="A496" s="26">
        <v>495</v>
      </c>
      <c r="B496" s="26" t="s">
        <v>621</v>
      </c>
      <c r="C496" s="26" t="s">
        <v>562</v>
      </c>
      <c r="D496" s="26">
        <v>10</v>
      </c>
      <c r="E496" s="32">
        <v>48.23</v>
      </c>
      <c r="F496" s="32">
        <v>482.3</v>
      </c>
    </row>
    <row r="497" spans="1:6" x14ac:dyDescent="0.25">
      <c r="A497" s="26">
        <v>496</v>
      </c>
      <c r="B497" s="26" t="s">
        <v>622</v>
      </c>
      <c r="C497" s="26" t="s">
        <v>562</v>
      </c>
      <c r="D497" s="26">
        <v>10</v>
      </c>
      <c r="E497" s="32">
        <v>55.97</v>
      </c>
      <c r="F497" s="32">
        <v>559.70000000000005</v>
      </c>
    </row>
    <row r="498" spans="1:6" x14ac:dyDescent="0.25">
      <c r="A498" s="26">
        <v>497</v>
      </c>
      <c r="B498" s="26" t="s">
        <v>623</v>
      </c>
      <c r="C498" s="26" t="s">
        <v>562</v>
      </c>
      <c r="D498" s="26">
        <v>10</v>
      </c>
      <c r="E498" s="32">
        <v>163.74</v>
      </c>
      <c r="F498" s="32">
        <v>1637.4</v>
      </c>
    </row>
    <row r="499" spans="1:6" x14ac:dyDescent="0.25">
      <c r="A499" s="26">
        <v>498</v>
      </c>
      <c r="B499" s="26" t="s">
        <v>624</v>
      </c>
      <c r="C499" s="26" t="s">
        <v>562</v>
      </c>
      <c r="D499" s="26">
        <v>10</v>
      </c>
      <c r="E499" s="32">
        <v>180.31</v>
      </c>
      <c r="F499" s="32">
        <v>1803.1</v>
      </c>
    </row>
    <row r="500" spans="1:6" x14ac:dyDescent="0.25">
      <c r="A500" s="26">
        <v>499</v>
      </c>
      <c r="B500" s="26" t="s">
        <v>625</v>
      </c>
      <c r="C500" s="26" t="s">
        <v>562</v>
      </c>
      <c r="D500" s="26">
        <v>10</v>
      </c>
      <c r="E500" s="32">
        <v>176.84</v>
      </c>
      <c r="F500" s="32">
        <v>1768.4</v>
      </c>
    </row>
    <row r="501" spans="1:6" x14ac:dyDescent="0.25">
      <c r="A501" s="26">
        <v>500</v>
      </c>
      <c r="B501" s="26" t="s">
        <v>626</v>
      </c>
      <c r="C501" s="26" t="s">
        <v>562</v>
      </c>
      <c r="D501" s="26">
        <v>10</v>
      </c>
      <c r="E501" s="32">
        <v>59.46</v>
      </c>
      <c r="F501" s="32">
        <v>594.6</v>
      </c>
    </row>
    <row r="502" spans="1:6" x14ac:dyDescent="0.25">
      <c r="A502" s="26">
        <v>501</v>
      </c>
      <c r="B502" s="26" t="s">
        <v>627</v>
      </c>
      <c r="C502" s="26" t="s">
        <v>562</v>
      </c>
      <c r="D502" s="26">
        <v>10</v>
      </c>
      <c r="E502" s="32">
        <v>102.67</v>
      </c>
      <c r="F502" s="32">
        <v>1026.7</v>
      </c>
    </row>
    <row r="503" spans="1:6" x14ac:dyDescent="0.25">
      <c r="A503" s="26">
        <v>502</v>
      </c>
      <c r="B503" s="26" t="s">
        <v>628</v>
      </c>
      <c r="C503" s="26" t="s">
        <v>562</v>
      </c>
      <c r="D503" s="26">
        <v>10</v>
      </c>
      <c r="E503" s="32">
        <v>75.2</v>
      </c>
      <c r="F503" s="32">
        <v>752</v>
      </c>
    </row>
    <row r="504" spans="1:6" x14ac:dyDescent="0.25">
      <c r="A504" s="26">
        <v>503</v>
      </c>
      <c r="B504" s="26" t="s">
        <v>629</v>
      </c>
      <c r="C504" s="26" t="s">
        <v>562</v>
      </c>
      <c r="D504" s="26">
        <v>10</v>
      </c>
      <c r="E504" s="32">
        <v>697.57</v>
      </c>
      <c r="F504" s="32">
        <v>6975.7</v>
      </c>
    </row>
    <row r="505" spans="1:6" x14ac:dyDescent="0.25">
      <c r="A505" s="26">
        <v>504</v>
      </c>
      <c r="B505" s="26" t="s">
        <v>630</v>
      </c>
      <c r="C505" s="26" t="s">
        <v>562</v>
      </c>
      <c r="D505" s="26">
        <v>3</v>
      </c>
      <c r="E505" s="32">
        <v>3084.42</v>
      </c>
      <c r="F505" s="32">
        <v>9253.26</v>
      </c>
    </row>
    <row r="506" spans="1:6" x14ac:dyDescent="0.25">
      <c r="A506" s="26">
        <v>505</v>
      </c>
      <c r="B506" s="26" t="s">
        <v>631</v>
      </c>
      <c r="C506" s="26" t="s">
        <v>562</v>
      </c>
      <c r="D506" s="26">
        <v>5</v>
      </c>
      <c r="E506" s="32">
        <v>292.55</v>
      </c>
      <c r="F506" s="32">
        <v>1462.75</v>
      </c>
    </row>
    <row r="507" spans="1:6" x14ac:dyDescent="0.25">
      <c r="A507" s="26">
        <v>506</v>
      </c>
      <c r="B507" s="26" t="s">
        <v>632</v>
      </c>
      <c r="C507" s="26" t="s">
        <v>562</v>
      </c>
      <c r="D507" s="26">
        <v>50</v>
      </c>
      <c r="E507" s="32">
        <v>228.58</v>
      </c>
      <c r="F507" s="32">
        <v>11429</v>
      </c>
    </row>
    <row r="508" spans="1:6" x14ac:dyDescent="0.25">
      <c r="A508" s="26">
        <v>507</v>
      </c>
      <c r="B508" s="26" t="s">
        <v>633</v>
      </c>
      <c r="C508" s="26" t="s">
        <v>562</v>
      </c>
      <c r="D508" s="26">
        <v>5</v>
      </c>
      <c r="E508" s="32">
        <v>1355.04</v>
      </c>
      <c r="F508" s="32">
        <v>6775.2</v>
      </c>
    </row>
    <row r="509" spans="1:6" x14ac:dyDescent="0.25">
      <c r="A509" s="26">
        <v>508</v>
      </c>
      <c r="B509" s="26" t="s">
        <v>634</v>
      </c>
      <c r="C509" s="26" t="s">
        <v>562</v>
      </c>
      <c r="D509" s="26">
        <v>5</v>
      </c>
      <c r="E509" s="32">
        <v>962.84</v>
      </c>
      <c r="F509" s="32">
        <v>4814.2</v>
      </c>
    </row>
    <row r="510" spans="1:6" x14ac:dyDescent="0.25">
      <c r="A510" s="26">
        <v>509</v>
      </c>
      <c r="B510" s="26" t="s">
        <v>635</v>
      </c>
      <c r="C510" s="26" t="s">
        <v>562</v>
      </c>
      <c r="D510" s="26">
        <v>2</v>
      </c>
      <c r="E510" s="32">
        <v>3207.88</v>
      </c>
      <c r="F510" s="32">
        <v>6415.76</v>
      </c>
    </row>
    <row r="511" spans="1:6" x14ac:dyDescent="0.25">
      <c r="A511" s="26">
        <v>510</v>
      </c>
      <c r="B511" s="26" t="s">
        <v>636</v>
      </c>
      <c r="C511" s="26" t="s">
        <v>524</v>
      </c>
      <c r="D511" s="26">
        <v>500</v>
      </c>
      <c r="E511" s="32">
        <v>0.63</v>
      </c>
      <c r="F511" s="32">
        <v>315</v>
      </c>
    </row>
    <row r="512" spans="1:6" x14ac:dyDescent="0.25">
      <c r="A512" s="26">
        <v>511</v>
      </c>
      <c r="B512" s="26" t="s">
        <v>637</v>
      </c>
      <c r="C512" s="26" t="s">
        <v>511</v>
      </c>
      <c r="D512" s="26">
        <v>2000</v>
      </c>
      <c r="E512" s="32">
        <v>1.06</v>
      </c>
      <c r="F512" s="32">
        <v>2120</v>
      </c>
    </row>
    <row r="513" spans="1:6" x14ac:dyDescent="0.25">
      <c r="A513" s="26">
        <v>512</v>
      </c>
      <c r="B513" s="26" t="s">
        <v>638</v>
      </c>
      <c r="C513" s="26" t="s">
        <v>511</v>
      </c>
      <c r="D513" s="26">
        <v>1000</v>
      </c>
      <c r="E513" s="32">
        <v>0.19</v>
      </c>
      <c r="F513" s="32">
        <v>190</v>
      </c>
    </row>
    <row r="514" spans="1:6" x14ac:dyDescent="0.25">
      <c r="A514" s="26">
        <v>513</v>
      </c>
      <c r="B514" s="26" t="s">
        <v>639</v>
      </c>
      <c r="C514" s="26" t="s">
        <v>511</v>
      </c>
      <c r="D514" s="26">
        <v>3000</v>
      </c>
      <c r="E514" s="32">
        <v>0.22</v>
      </c>
      <c r="F514" s="32">
        <v>660</v>
      </c>
    </row>
    <row r="515" spans="1:6" x14ac:dyDescent="0.25">
      <c r="A515" s="26">
        <v>514</v>
      </c>
      <c r="B515" s="26" t="s">
        <v>640</v>
      </c>
      <c r="C515" s="26" t="s">
        <v>528</v>
      </c>
      <c r="D515" s="26">
        <v>200</v>
      </c>
      <c r="E515" s="32">
        <v>2.4300000000000002</v>
      </c>
      <c r="F515" s="32">
        <v>486</v>
      </c>
    </row>
    <row r="516" spans="1:6" x14ac:dyDescent="0.25">
      <c r="A516" s="26">
        <v>515</v>
      </c>
      <c r="B516" s="26" t="s">
        <v>641</v>
      </c>
      <c r="C516" s="26" t="s">
        <v>642</v>
      </c>
      <c r="D516" s="26">
        <v>50</v>
      </c>
      <c r="E516" s="32">
        <v>2.41</v>
      </c>
      <c r="F516" s="32">
        <v>120.5</v>
      </c>
    </row>
    <row r="517" spans="1:6" x14ac:dyDescent="0.25">
      <c r="A517" s="26">
        <v>516</v>
      </c>
      <c r="B517" s="26" t="s">
        <v>643</v>
      </c>
      <c r="C517" s="26" t="s">
        <v>642</v>
      </c>
      <c r="D517" s="26">
        <v>50</v>
      </c>
      <c r="E517" s="32">
        <v>7.74</v>
      </c>
      <c r="F517" s="32">
        <v>387</v>
      </c>
    </row>
    <row r="518" spans="1:6" x14ac:dyDescent="0.25">
      <c r="A518" s="26">
        <v>517</v>
      </c>
      <c r="B518" s="26" t="s">
        <v>644</v>
      </c>
      <c r="C518" s="26" t="s">
        <v>645</v>
      </c>
      <c r="D518" s="26">
        <v>100</v>
      </c>
      <c r="E518" s="32">
        <v>6.98</v>
      </c>
      <c r="F518" s="32">
        <v>698</v>
      </c>
    </row>
    <row r="519" spans="1:6" x14ac:dyDescent="0.25">
      <c r="A519" s="26">
        <v>518</v>
      </c>
      <c r="B519" s="26" t="s">
        <v>646</v>
      </c>
      <c r="C519" s="26" t="s">
        <v>524</v>
      </c>
      <c r="D519" s="26">
        <v>100</v>
      </c>
      <c r="E519" s="32">
        <v>12.25</v>
      </c>
      <c r="F519" s="32">
        <v>1225</v>
      </c>
    </row>
    <row r="520" spans="1:6" x14ac:dyDescent="0.25">
      <c r="A520" s="26">
        <v>519</v>
      </c>
      <c r="B520" s="26" t="s">
        <v>647</v>
      </c>
      <c r="C520" s="26" t="s">
        <v>524</v>
      </c>
      <c r="D520" s="26">
        <v>100</v>
      </c>
      <c r="E520" s="32">
        <v>14.38</v>
      </c>
      <c r="F520" s="32">
        <v>1438</v>
      </c>
    </row>
    <row r="521" spans="1:6" x14ac:dyDescent="0.25">
      <c r="A521" s="26">
        <v>520</v>
      </c>
      <c r="B521" s="26" t="s">
        <v>648</v>
      </c>
      <c r="C521" s="26" t="s">
        <v>528</v>
      </c>
      <c r="D521" s="26">
        <v>300</v>
      </c>
      <c r="E521" s="32">
        <v>2.25</v>
      </c>
      <c r="F521" s="32">
        <v>675</v>
      </c>
    </row>
    <row r="522" spans="1:6" x14ac:dyDescent="0.25">
      <c r="A522" s="26">
        <v>521</v>
      </c>
      <c r="B522" s="26" t="s">
        <v>649</v>
      </c>
      <c r="C522" s="26" t="s">
        <v>511</v>
      </c>
      <c r="D522" s="26">
        <v>300</v>
      </c>
      <c r="E522" s="32">
        <v>2.2400000000000002</v>
      </c>
      <c r="F522" s="32">
        <v>672</v>
      </c>
    </row>
    <row r="523" spans="1:6" x14ac:dyDescent="0.25">
      <c r="A523" s="26">
        <v>522</v>
      </c>
      <c r="B523" s="26" t="s">
        <v>650</v>
      </c>
      <c r="C523" s="26" t="s">
        <v>514</v>
      </c>
      <c r="D523" s="26">
        <v>50</v>
      </c>
      <c r="E523" s="32">
        <v>2.27</v>
      </c>
      <c r="F523" s="32">
        <v>113.5</v>
      </c>
    </row>
    <row r="524" spans="1:6" x14ac:dyDescent="0.25">
      <c r="A524" s="26">
        <v>523</v>
      </c>
      <c r="B524" s="26" t="s">
        <v>651</v>
      </c>
      <c r="C524" s="26" t="s">
        <v>645</v>
      </c>
      <c r="D524" s="26">
        <v>50</v>
      </c>
      <c r="E524" s="32">
        <v>41.91</v>
      </c>
      <c r="F524" s="32">
        <v>2095.5</v>
      </c>
    </row>
    <row r="525" spans="1:6" x14ac:dyDescent="0.25">
      <c r="A525" s="26">
        <v>524</v>
      </c>
      <c r="B525" s="26" t="s">
        <v>652</v>
      </c>
      <c r="C525" s="26" t="s">
        <v>528</v>
      </c>
      <c r="D525" s="26">
        <v>50</v>
      </c>
      <c r="E525" s="32">
        <v>15.56</v>
      </c>
      <c r="F525" s="32">
        <v>778</v>
      </c>
    </row>
    <row r="526" spans="1:6" x14ac:dyDescent="0.25">
      <c r="A526" s="26">
        <v>525</v>
      </c>
      <c r="B526" s="26" t="s">
        <v>653</v>
      </c>
      <c r="C526" s="26" t="s">
        <v>511</v>
      </c>
      <c r="D526" s="26">
        <v>1000</v>
      </c>
      <c r="E526" s="32">
        <v>0.38</v>
      </c>
      <c r="F526" s="32">
        <v>380</v>
      </c>
    </row>
    <row r="527" spans="1:6" x14ac:dyDescent="0.25">
      <c r="A527" s="26">
        <v>526</v>
      </c>
      <c r="B527" s="26" t="s">
        <v>654</v>
      </c>
      <c r="C527" s="26" t="s">
        <v>528</v>
      </c>
      <c r="D527" s="26">
        <v>100</v>
      </c>
      <c r="E527" s="32">
        <v>1.9</v>
      </c>
      <c r="F527" s="32">
        <v>190</v>
      </c>
    </row>
    <row r="528" spans="1:6" x14ac:dyDescent="0.25">
      <c r="A528" s="26">
        <v>527</v>
      </c>
      <c r="B528" s="26" t="s">
        <v>655</v>
      </c>
      <c r="C528" s="26" t="s">
        <v>541</v>
      </c>
      <c r="D528" s="26">
        <v>300</v>
      </c>
      <c r="E528" s="32">
        <v>15.69</v>
      </c>
      <c r="F528" s="32">
        <v>4707</v>
      </c>
    </row>
    <row r="529" spans="1:6" x14ac:dyDescent="0.25">
      <c r="A529" s="26">
        <v>528</v>
      </c>
      <c r="B529" s="26" t="s">
        <v>656</v>
      </c>
      <c r="C529" s="26" t="s">
        <v>657</v>
      </c>
      <c r="D529" s="26">
        <v>300</v>
      </c>
      <c r="E529" s="32">
        <v>9.65</v>
      </c>
      <c r="F529" s="32">
        <v>2895</v>
      </c>
    </row>
    <row r="530" spans="1:6" x14ac:dyDescent="0.25">
      <c r="A530" s="26">
        <v>529</v>
      </c>
      <c r="B530" s="26" t="s">
        <v>658</v>
      </c>
      <c r="C530" s="26" t="s">
        <v>511</v>
      </c>
      <c r="D530" s="26">
        <v>500</v>
      </c>
      <c r="E530" s="32">
        <v>0.23</v>
      </c>
      <c r="F530" s="32">
        <v>115</v>
      </c>
    </row>
    <row r="531" spans="1:6" x14ac:dyDescent="0.25">
      <c r="A531" s="26">
        <v>530</v>
      </c>
      <c r="B531" s="26" t="s">
        <v>659</v>
      </c>
      <c r="C531" s="26" t="s">
        <v>660</v>
      </c>
      <c r="D531" s="26">
        <v>500</v>
      </c>
      <c r="E531" s="32">
        <v>7.78</v>
      </c>
      <c r="F531" s="32">
        <v>3890</v>
      </c>
    </row>
    <row r="532" spans="1:6" x14ac:dyDescent="0.25">
      <c r="A532" s="26">
        <v>531</v>
      </c>
      <c r="B532" s="26" t="s">
        <v>661</v>
      </c>
      <c r="C532" s="26" t="s">
        <v>657</v>
      </c>
      <c r="D532" s="26">
        <v>200</v>
      </c>
      <c r="E532" s="32">
        <v>10.71</v>
      </c>
      <c r="F532" s="32">
        <v>2142</v>
      </c>
    </row>
    <row r="533" spans="1:6" x14ac:dyDescent="0.25">
      <c r="A533" s="26">
        <v>532</v>
      </c>
      <c r="B533" s="26" t="s">
        <v>662</v>
      </c>
      <c r="C533" s="26" t="s">
        <v>663</v>
      </c>
      <c r="D533" s="26">
        <v>100</v>
      </c>
      <c r="E533" s="32">
        <v>6.05</v>
      </c>
      <c r="F533" s="32">
        <v>605</v>
      </c>
    </row>
    <row r="534" spans="1:6" x14ac:dyDescent="0.25">
      <c r="A534" s="26">
        <v>533</v>
      </c>
      <c r="B534" s="26" t="s">
        <v>664</v>
      </c>
      <c r="C534" s="26" t="s">
        <v>520</v>
      </c>
      <c r="D534" s="26">
        <v>100</v>
      </c>
      <c r="E534" s="32">
        <v>46.31</v>
      </c>
      <c r="F534" s="32">
        <v>4631</v>
      </c>
    </row>
    <row r="535" spans="1:6" x14ac:dyDescent="0.25">
      <c r="A535" s="26">
        <v>534</v>
      </c>
      <c r="B535" s="26" t="s">
        <v>665</v>
      </c>
      <c r="C535" s="26" t="s">
        <v>666</v>
      </c>
      <c r="D535" s="26">
        <v>300</v>
      </c>
      <c r="E535" s="32">
        <v>8.0299999999999994</v>
      </c>
      <c r="F535" s="32">
        <v>2409</v>
      </c>
    </row>
    <row r="536" spans="1:6" x14ac:dyDescent="0.25">
      <c r="A536" s="26">
        <v>535</v>
      </c>
      <c r="B536" s="26" t="s">
        <v>667</v>
      </c>
      <c r="C536" s="26" t="s">
        <v>666</v>
      </c>
      <c r="D536" s="26">
        <v>200</v>
      </c>
      <c r="E536" s="32">
        <v>27.22</v>
      </c>
      <c r="F536" s="32">
        <v>5444</v>
      </c>
    </row>
    <row r="537" spans="1:6" x14ac:dyDescent="0.25">
      <c r="A537" s="26">
        <v>536</v>
      </c>
      <c r="B537" s="26" t="s">
        <v>668</v>
      </c>
      <c r="C537" s="26" t="s">
        <v>511</v>
      </c>
      <c r="D537" s="26">
        <v>720</v>
      </c>
      <c r="E537" s="32">
        <v>1.1399999999999999</v>
      </c>
      <c r="F537" s="32">
        <v>820.8</v>
      </c>
    </row>
    <row r="538" spans="1:6" x14ac:dyDescent="0.25">
      <c r="A538" s="26">
        <v>537</v>
      </c>
      <c r="B538" s="26" t="s">
        <v>669</v>
      </c>
      <c r="C538" s="26" t="s">
        <v>511</v>
      </c>
      <c r="D538" s="26">
        <v>480</v>
      </c>
      <c r="E538" s="32">
        <v>6.45</v>
      </c>
      <c r="F538" s="32">
        <v>3096</v>
      </c>
    </row>
    <row r="539" spans="1:6" x14ac:dyDescent="0.25">
      <c r="A539" s="26">
        <v>538</v>
      </c>
      <c r="B539" s="26" t="s">
        <v>670</v>
      </c>
      <c r="C539" s="26" t="s">
        <v>511</v>
      </c>
      <c r="D539" s="26">
        <v>360</v>
      </c>
      <c r="E539" s="32">
        <v>1.24</v>
      </c>
      <c r="F539" s="32">
        <v>446.4</v>
      </c>
    </row>
    <row r="540" spans="1:6" x14ac:dyDescent="0.25">
      <c r="A540" s="26">
        <v>539</v>
      </c>
      <c r="B540" s="26" t="s">
        <v>671</v>
      </c>
      <c r="C540" s="26" t="s">
        <v>562</v>
      </c>
      <c r="D540" s="26">
        <v>10</v>
      </c>
      <c r="E540" s="32">
        <v>18.940000000000001</v>
      </c>
      <c r="F540" s="32">
        <v>189.4</v>
      </c>
    </row>
    <row r="541" spans="1:6" x14ac:dyDescent="0.25">
      <c r="A541" s="26">
        <v>540</v>
      </c>
      <c r="B541" s="26" t="s">
        <v>672</v>
      </c>
      <c r="C541" s="26" t="s">
        <v>562</v>
      </c>
      <c r="D541" s="26">
        <v>10</v>
      </c>
      <c r="E541" s="32">
        <v>31.08</v>
      </c>
      <c r="F541" s="32">
        <v>310.8</v>
      </c>
    </row>
    <row r="542" spans="1:6" x14ac:dyDescent="0.25">
      <c r="A542" s="26">
        <v>541</v>
      </c>
      <c r="B542" s="26" t="s">
        <v>673</v>
      </c>
      <c r="C542" s="26" t="s">
        <v>562</v>
      </c>
      <c r="D542" s="26">
        <v>10</v>
      </c>
      <c r="E542" s="32">
        <v>23.79</v>
      </c>
      <c r="F542" s="32">
        <v>237.9</v>
      </c>
    </row>
    <row r="543" spans="1:6" x14ac:dyDescent="0.25">
      <c r="A543" s="26">
        <v>542</v>
      </c>
      <c r="B543" s="26" t="s">
        <v>674</v>
      </c>
      <c r="C543" s="26" t="s">
        <v>562</v>
      </c>
      <c r="D543" s="26">
        <v>10</v>
      </c>
      <c r="E543" s="32">
        <v>16.12</v>
      </c>
      <c r="F543" s="32">
        <v>161.19999999999999</v>
      </c>
    </row>
    <row r="544" spans="1:6" x14ac:dyDescent="0.25">
      <c r="A544" s="26">
        <v>543</v>
      </c>
      <c r="B544" s="26" t="s">
        <v>675</v>
      </c>
      <c r="C544" s="26" t="s">
        <v>562</v>
      </c>
      <c r="D544" s="26">
        <v>10</v>
      </c>
      <c r="E544" s="32">
        <v>28.2</v>
      </c>
      <c r="F544" s="32">
        <v>282</v>
      </c>
    </row>
    <row r="545" spans="1:6" x14ac:dyDescent="0.25">
      <c r="A545" s="26">
        <v>544</v>
      </c>
      <c r="B545" s="26" t="s">
        <v>676</v>
      </c>
      <c r="C545" s="26" t="s">
        <v>562</v>
      </c>
      <c r="D545" s="26">
        <v>10</v>
      </c>
      <c r="E545" s="32">
        <v>100.81</v>
      </c>
      <c r="F545" s="32">
        <v>1008.1</v>
      </c>
    </row>
    <row r="546" spans="1:6" x14ac:dyDescent="0.25">
      <c r="A546" s="26">
        <v>545</v>
      </c>
      <c r="B546" s="26" t="s">
        <v>677</v>
      </c>
      <c r="C546" s="26" t="s">
        <v>562</v>
      </c>
      <c r="D546" s="26">
        <v>10</v>
      </c>
      <c r="E546" s="32">
        <v>359.22</v>
      </c>
      <c r="F546" s="32">
        <v>3592.2</v>
      </c>
    </row>
    <row r="547" spans="1:6" x14ac:dyDescent="0.25">
      <c r="A547" s="26">
        <v>546</v>
      </c>
      <c r="B547" s="26" t="s">
        <v>678</v>
      </c>
      <c r="C547" s="26" t="s">
        <v>679</v>
      </c>
      <c r="D547" s="26">
        <v>10</v>
      </c>
      <c r="E547" s="32">
        <v>77.540000000000006</v>
      </c>
      <c r="F547" s="32">
        <v>775.4</v>
      </c>
    </row>
    <row r="548" spans="1:6" x14ac:dyDescent="0.25">
      <c r="A548" s="26">
        <v>547</v>
      </c>
      <c r="B548" s="26" t="s">
        <v>680</v>
      </c>
      <c r="C548" s="26" t="s">
        <v>562</v>
      </c>
      <c r="D548" s="26">
        <v>10</v>
      </c>
      <c r="E548" s="32">
        <v>157.76</v>
      </c>
      <c r="F548" s="32">
        <v>1577.6</v>
      </c>
    </row>
    <row r="549" spans="1:6" x14ac:dyDescent="0.25">
      <c r="A549" s="26">
        <v>548</v>
      </c>
      <c r="B549" s="26" t="s">
        <v>681</v>
      </c>
      <c r="C549" s="26" t="s">
        <v>562</v>
      </c>
      <c r="D549" s="26">
        <v>10</v>
      </c>
      <c r="E549" s="32">
        <v>2.5299999999999998</v>
      </c>
      <c r="F549" s="32">
        <v>25.3</v>
      </c>
    </row>
    <row r="550" spans="1:6" x14ac:dyDescent="0.25">
      <c r="A550" s="26">
        <v>549</v>
      </c>
      <c r="B550" s="26" t="s">
        <v>682</v>
      </c>
      <c r="C550" s="26" t="s">
        <v>562</v>
      </c>
      <c r="D550" s="26">
        <v>10</v>
      </c>
      <c r="E550" s="32">
        <v>1.91</v>
      </c>
      <c r="F550" s="32">
        <v>19.100000000000001</v>
      </c>
    </row>
    <row r="551" spans="1:6" x14ac:dyDescent="0.25">
      <c r="A551" s="26">
        <v>550</v>
      </c>
      <c r="B551" s="26" t="s">
        <v>683</v>
      </c>
      <c r="C551" s="26" t="s">
        <v>562</v>
      </c>
      <c r="D551" s="26">
        <v>10</v>
      </c>
      <c r="E551" s="32">
        <v>2.0299999999999998</v>
      </c>
      <c r="F551" s="32">
        <v>20.3</v>
      </c>
    </row>
    <row r="552" spans="1:6" x14ac:dyDescent="0.25">
      <c r="A552" s="26">
        <v>551</v>
      </c>
      <c r="B552" s="26" t="s">
        <v>684</v>
      </c>
      <c r="C552" s="26" t="s">
        <v>562</v>
      </c>
      <c r="D552" s="26">
        <v>10</v>
      </c>
      <c r="E552" s="32">
        <v>2.7</v>
      </c>
      <c r="F552" s="32">
        <v>27</v>
      </c>
    </row>
    <row r="553" spans="1:6" x14ac:dyDescent="0.25">
      <c r="A553" s="26">
        <v>552</v>
      </c>
      <c r="B553" s="26" t="s">
        <v>685</v>
      </c>
      <c r="C553" s="26" t="s">
        <v>562</v>
      </c>
      <c r="D553" s="26">
        <v>10</v>
      </c>
      <c r="E553" s="32">
        <v>2.99</v>
      </c>
      <c r="F553" s="32">
        <v>29.9</v>
      </c>
    </row>
    <row r="554" spans="1:6" x14ac:dyDescent="0.25">
      <c r="A554" s="26">
        <v>553</v>
      </c>
      <c r="B554" s="26" t="s">
        <v>686</v>
      </c>
      <c r="C554" s="26" t="s">
        <v>562</v>
      </c>
      <c r="D554" s="26">
        <v>10</v>
      </c>
      <c r="E554" s="32">
        <v>1.92</v>
      </c>
      <c r="F554" s="32">
        <v>19.2</v>
      </c>
    </row>
    <row r="555" spans="1:6" x14ac:dyDescent="0.25">
      <c r="A555" s="26">
        <v>554</v>
      </c>
      <c r="B555" s="26" t="s">
        <v>687</v>
      </c>
      <c r="C555" s="26" t="s">
        <v>562</v>
      </c>
      <c r="D555" s="26">
        <v>10</v>
      </c>
      <c r="E555" s="32">
        <v>1.87</v>
      </c>
      <c r="F555" s="32">
        <v>18.7</v>
      </c>
    </row>
    <row r="556" spans="1:6" x14ac:dyDescent="0.25">
      <c r="A556" s="26">
        <v>555</v>
      </c>
      <c r="B556" s="26" t="s">
        <v>688</v>
      </c>
      <c r="C556" s="26" t="s">
        <v>562</v>
      </c>
      <c r="D556" s="26">
        <v>10</v>
      </c>
      <c r="E556" s="32">
        <v>2.17</v>
      </c>
      <c r="F556" s="32">
        <v>21.7</v>
      </c>
    </row>
    <row r="557" spans="1:6" x14ac:dyDescent="0.25">
      <c r="A557" s="26">
        <v>556</v>
      </c>
      <c r="B557" s="26" t="s">
        <v>689</v>
      </c>
      <c r="C557" s="26" t="s">
        <v>562</v>
      </c>
      <c r="D557" s="26">
        <v>10</v>
      </c>
      <c r="E557" s="32">
        <v>4.41</v>
      </c>
      <c r="F557" s="32">
        <v>44.1</v>
      </c>
    </row>
    <row r="558" spans="1:6" x14ac:dyDescent="0.25">
      <c r="A558" s="26">
        <v>557</v>
      </c>
      <c r="B558" s="26" t="s">
        <v>690</v>
      </c>
      <c r="C558" s="26" t="s">
        <v>562</v>
      </c>
      <c r="D558" s="26">
        <v>10</v>
      </c>
      <c r="E558" s="32">
        <v>1.72</v>
      </c>
      <c r="F558" s="32">
        <v>17.2</v>
      </c>
    </row>
    <row r="559" spans="1:6" x14ac:dyDescent="0.25">
      <c r="A559" s="26">
        <v>558</v>
      </c>
      <c r="B559" s="26" t="s">
        <v>691</v>
      </c>
      <c r="C559" s="26" t="s">
        <v>562</v>
      </c>
      <c r="D559" s="26">
        <v>10</v>
      </c>
      <c r="E559" s="32">
        <v>1.61</v>
      </c>
      <c r="F559" s="32">
        <v>16.100000000000001</v>
      </c>
    </row>
    <row r="560" spans="1:6" x14ac:dyDescent="0.25">
      <c r="A560" s="26">
        <v>559</v>
      </c>
      <c r="B560" s="26" t="s">
        <v>692</v>
      </c>
      <c r="C560" s="26" t="s">
        <v>562</v>
      </c>
      <c r="D560" s="26">
        <v>10</v>
      </c>
      <c r="E560" s="32">
        <v>1.69</v>
      </c>
      <c r="F560" s="32">
        <v>16.899999999999999</v>
      </c>
    </row>
    <row r="561" spans="1:6" x14ac:dyDescent="0.25">
      <c r="A561" s="26">
        <v>560</v>
      </c>
      <c r="B561" s="26" t="s">
        <v>693</v>
      </c>
      <c r="C561" s="26" t="s">
        <v>562</v>
      </c>
      <c r="D561" s="26">
        <v>10</v>
      </c>
      <c r="E561" s="32">
        <v>5.76</v>
      </c>
      <c r="F561" s="32">
        <v>57.6</v>
      </c>
    </row>
    <row r="562" spans="1:6" x14ac:dyDescent="0.25">
      <c r="A562" s="26">
        <v>561</v>
      </c>
      <c r="B562" s="26" t="s">
        <v>694</v>
      </c>
      <c r="C562" s="26" t="s">
        <v>562</v>
      </c>
      <c r="D562" s="26">
        <v>10</v>
      </c>
      <c r="E562" s="32">
        <v>6.53</v>
      </c>
      <c r="F562" s="32">
        <v>65.3</v>
      </c>
    </row>
    <row r="563" spans="1:6" x14ac:dyDescent="0.25">
      <c r="A563" s="26">
        <v>562</v>
      </c>
      <c r="B563" s="26" t="s">
        <v>695</v>
      </c>
      <c r="C563" s="26" t="s">
        <v>562</v>
      </c>
      <c r="D563" s="26">
        <v>1000</v>
      </c>
      <c r="E563" s="32">
        <v>3.28</v>
      </c>
      <c r="F563" s="32">
        <v>3280</v>
      </c>
    </row>
    <row r="564" spans="1:6" x14ac:dyDescent="0.25">
      <c r="A564" s="26">
        <v>563</v>
      </c>
      <c r="B564" s="26" t="s">
        <v>696</v>
      </c>
      <c r="C564" s="26" t="s">
        <v>562</v>
      </c>
      <c r="D564" s="26">
        <v>1000</v>
      </c>
      <c r="E564" s="32">
        <v>4.9800000000000004</v>
      </c>
      <c r="F564" s="32">
        <v>4980</v>
      </c>
    </row>
    <row r="565" spans="1:6" x14ac:dyDescent="0.25">
      <c r="A565" s="26">
        <v>564</v>
      </c>
      <c r="B565" s="26" t="s">
        <v>697</v>
      </c>
      <c r="C565" s="26" t="s">
        <v>562</v>
      </c>
      <c r="D565" s="26">
        <v>100</v>
      </c>
      <c r="E565" s="32">
        <v>7.23</v>
      </c>
      <c r="F565" s="32">
        <v>723</v>
      </c>
    </row>
    <row r="566" spans="1:6" x14ac:dyDescent="0.25">
      <c r="A566" s="26">
        <v>565</v>
      </c>
      <c r="B566" s="26" t="s">
        <v>698</v>
      </c>
      <c r="C566" s="26" t="s">
        <v>562</v>
      </c>
      <c r="D566" s="26">
        <v>100</v>
      </c>
      <c r="E566" s="32">
        <v>5.99</v>
      </c>
      <c r="F566" s="32">
        <v>599</v>
      </c>
    </row>
    <row r="567" spans="1:6" x14ac:dyDescent="0.25">
      <c r="A567" s="26">
        <v>566</v>
      </c>
      <c r="B567" s="26" t="s">
        <v>699</v>
      </c>
      <c r="C567" s="26" t="s">
        <v>562</v>
      </c>
      <c r="D567" s="26">
        <v>100</v>
      </c>
      <c r="E567" s="32">
        <v>17.84</v>
      </c>
      <c r="F567" s="32">
        <v>1784</v>
      </c>
    </row>
    <row r="568" spans="1:6" x14ac:dyDescent="0.25">
      <c r="A568" s="26">
        <v>567</v>
      </c>
      <c r="B568" s="26" t="s">
        <v>700</v>
      </c>
      <c r="C568" s="26" t="s">
        <v>562</v>
      </c>
      <c r="D568" s="26">
        <v>500</v>
      </c>
      <c r="E568" s="32">
        <v>0.49</v>
      </c>
      <c r="F568" s="32">
        <v>245</v>
      </c>
    </row>
    <row r="569" spans="1:6" x14ac:dyDescent="0.25">
      <c r="A569" s="26">
        <v>568</v>
      </c>
      <c r="B569" s="26" t="s">
        <v>701</v>
      </c>
      <c r="C569" s="26" t="s">
        <v>562</v>
      </c>
      <c r="D569" s="26">
        <v>1000</v>
      </c>
      <c r="E569" s="32">
        <v>0.87</v>
      </c>
      <c r="F569" s="32">
        <v>870</v>
      </c>
    </row>
    <row r="570" spans="1:6" x14ac:dyDescent="0.25">
      <c r="A570" s="26">
        <v>569</v>
      </c>
      <c r="B570" s="26" t="s">
        <v>702</v>
      </c>
      <c r="C570" s="26" t="s">
        <v>562</v>
      </c>
      <c r="D570" s="26">
        <v>10</v>
      </c>
      <c r="E570" s="32">
        <v>22.42</v>
      </c>
      <c r="F570" s="32">
        <v>224.2</v>
      </c>
    </row>
    <row r="571" spans="1:6" x14ac:dyDescent="0.25">
      <c r="A571" s="26">
        <v>570</v>
      </c>
      <c r="B571" s="26" t="s">
        <v>703</v>
      </c>
      <c r="C571" s="26" t="s">
        <v>562</v>
      </c>
      <c r="D571" s="26">
        <v>10</v>
      </c>
      <c r="E571" s="32">
        <v>10.63</v>
      </c>
      <c r="F571" s="32">
        <v>106.3</v>
      </c>
    </row>
    <row r="572" spans="1:6" x14ac:dyDescent="0.25">
      <c r="A572" s="26">
        <v>571</v>
      </c>
      <c r="B572" s="26" t="s">
        <v>704</v>
      </c>
      <c r="C572" s="26" t="s">
        <v>562</v>
      </c>
      <c r="D572" s="26">
        <v>3</v>
      </c>
      <c r="E572" s="32">
        <v>188.55</v>
      </c>
      <c r="F572" s="32">
        <v>565.65</v>
      </c>
    </row>
    <row r="573" spans="1:6" x14ac:dyDescent="0.25">
      <c r="A573" s="26">
        <v>572</v>
      </c>
      <c r="B573" s="26" t="s">
        <v>705</v>
      </c>
      <c r="C573" s="26" t="s">
        <v>586</v>
      </c>
      <c r="D573" s="26">
        <v>250</v>
      </c>
      <c r="E573" s="32">
        <v>14.23</v>
      </c>
      <c r="F573" s="32">
        <v>3557.5</v>
      </c>
    </row>
    <row r="574" spans="1:6" x14ac:dyDescent="0.25">
      <c r="A574" s="26">
        <v>573</v>
      </c>
      <c r="B574" s="26" t="s">
        <v>706</v>
      </c>
      <c r="C574" s="26" t="s">
        <v>562</v>
      </c>
      <c r="D574" s="26">
        <v>40</v>
      </c>
      <c r="E574" s="32">
        <v>12.49</v>
      </c>
      <c r="F574" s="32">
        <v>499.6</v>
      </c>
    </row>
    <row r="575" spans="1:6" x14ac:dyDescent="0.25">
      <c r="A575" s="26">
        <v>574</v>
      </c>
      <c r="B575" s="26" t="s">
        <v>707</v>
      </c>
      <c r="C575" s="26" t="s">
        <v>562</v>
      </c>
      <c r="D575" s="26">
        <v>40</v>
      </c>
      <c r="E575" s="32">
        <v>32.71</v>
      </c>
      <c r="F575" s="32">
        <v>1308.4000000000001</v>
      </c>
    </row>
    <row r="576" spans="1:6" x14ac:dyDescent="0.25">
      <c r="A576" s="26">
        <v>575</v>
      </c>
      <c r="B576" s="26" t="s">
        <v>708</v>
      </c>
      <c r="C576" s="26" t="s">
        <v>709</v>
      </c>
      <c r="D576" s="26">
        <v>50</v>
      </c>
      <c r="E576" s="32">
        <v>33.46</v>
      </c>
      <c r="F576" s="32">
        <v>1673</v>
      </c>
    </row>
    <row r="577" spans="1:6" x14ac:dyDescent="0.25">
      <c r="A577" s="26">
        <v>576</v>
      </c>
      <c r="B577" s="26" t="s">
        <v>710</v>
      </c>
      <c r="C577" s="26" t="s">
        <v>711</v>
      </c>
      <c r="D577" s="26">
        <v>50</v>
      </c>
      <c r="E577" s="32">
        <v>3.62</v>
      </c>
      <c r="F577" s="32">
        <v>181</v>
      </c>
    </row>
    <row r="578" spans="1:6" x14ac:dyDescent="0.25">
      <c r="A578" s="26">
        <v>577</v>
      </c>
      <c r="B578" s="26" t="s">
        <v>712</v>
      </c>
      <c r="C578" s="26" t="s">
        <v>562</v>
      </c>
      <c r="D578" s="26">
        <v>5</v>
      </c>
      <c r="E578" s="32">
        <v>68.040000000000006</v>
      </c>
      <c r="F578" s="32">
        <v>340.2</v>
      </c>
    </row>
    <row r="579" spans="1:6" x14ac:dyDescent="0.25">
      <c r="A579" s="26">
        <v>578</v>
      </c>
      <c r="B579" s="26" t="s">
        <v>713</v>
      </c>
      <c r="C579" s="26" t="s">
        <v>562</v>
      </c>
      <c r="D579" s="26">
        <v>20</v>
      </c>
      <c r="E579" s="32">
        <v>12.08</v>
      </c>
      <c r="F579" s="32">
        <v>241.6</v>
      </c>
    </row>
    <row r="580" spans="1:6" x14ac:dyDescent="0.25">
      <c r="A580" s="26">
        <v>579</v>
      </c>
      <c r="B580" s="26" t="s">
        <v>714</v>
      </c>
      <c r="C580" s="26" t="s">
        <v>715</v>
      </c>
      <c r="D580" s="26">
        <v>5</v>
      </c>
      <c r="E580" s="32">
        <v>57.37</v>
      </c>
      <c r="F580" s="32">
        <v>286.85000000000002</v>
      </c>
    </row>
    <row r="581" spans="1:6" x14ac:dyDescent="0.25">
      <c r="A581" s="26">
        <v>580</v>
      </c>
      <c r="B581" s="26" t="s">
        <v>716</v>
      </c>
      <c r="C581" s="26" t="s">
        <v>715</v>
      </c>
      <c r="D581" s="26">
        <v>5</v>
      </c>
      <c r="E581" s="32">
        <v>50.83</v>
      </c>
      <c r="F581" s="32">
        <v>254.15</v>
      </c>
    </row>
    <row r="582" spans="1:6" x14ac:dyDescent="0.25">
      <c r="A582" s="26">
        <v>581</v>
      </c>
      <c r="B582" s="26" t="s">
        <v>717</v>
      </c>
      <c r="C582" s="26" t="s">
        <v>715</v>
      </c>
      <c r="D582" s="26">
        <v>20</v>
      </c>
      <c r="E582" s="32">
        <v>129.29</v>
      </c>
      <c r="F582" s="32">
        <v>2585.8000000000002</v>
      </c>
    </row>
    <row r="583" spans="1:6" x14ac:dyDescent="0.25">
      <c r="A583" s="26">
        <v>582</v>
      </c>
      <c r="B583" s="26" t="s">
        <v>718</v>
      </c>
      <c r="C583" s="26" t="s">
        <v>562</v>
      </c>
      <c r="D583" s="26">
        <v>20</v>
      </c>
      <c r="E583" s="32">
        <v>382.12</v>
      </c>
      <c r="F583" s="32">
        <v>7642.4</v>
      </c>
    </row>
    <row r="584" spans="1:6" x14ac:dyDescent="0.25">
      <c r="A584" s="26">
        <v>583</v>
      </c>
      <c r="B584" s="26" t="s">
        <v>719</v>
      </c>
      <c r="C584" s="26" t="s">
        <v>562</v>
      </c>
      <c r="D584" s="26">
        <v>50</v>
      </c>
      <c r="E584" s="32">
        <v>8.7899999999999991</v>
      </c>
      <c r="F584" s="32">
        <v>439.5</v>
      </c>
    </row>
    <row r="585" spans="1:6" x14ac:dyDescent="0.25">
      <c r="A585" s="26">
        <v>584</v>
      </c>
      <c r="B585" s="26" t="s">
        <v>720</v>
      </c>
      <c r="C585" s="26" t="s">
        <v>721</v>
      </c>
      <c r="D585" s="26">
        <v>10</v>
      </c>
      <c r="E585" s="32">
        <v>45.3</v>
      </c>
      <c r="F585" s="32">
        <v>453</v>
      </c>
    </row>
    <row r="586" spans="1:6" x14ac:dyDescent="0.25">
      <c r="A586" s="26">
        <v>585</v>
      </c>
      <c r="B586" s="26" t="s">
        <v>722</v>
      </c>
      <c r="C586" s="26" t="s">
        <v>721</v>
      </c>
      <c r="D586" s="26">
        <v>10</v>
      </c>
      <c r="E586" s="32">
        <v>44.51</v>
      </c>
      <c r="F586" s="32">
        <v>445.1</v>
      </c>
    </row>
    <row r="587" spans="1:6" x14ac:dyDescent="0.25">
      <c r="A587" s="26">
        <v>586</v>
      </c>
      <c r="B587" s="26" t="s">
        <v>723</v>
      </c>
      <c r="C587" s="26" t="s">
        <v>724</v>
      </c>
      <c r="D587" s="26">
        <v>50</v>
      </c>
      <c r="E587" s="32">
        <v>1.87</v>
      </c>
      <c r="F587" s="32">
        <v>93.5</v>
      </c>
    </row>
    <row r="588" spans="1:6" x14ac:dyDescent="0.25">
      <c r="A588" s="26">
        <v>587</v>
      </c>
      <c r="B588" s="26" t="s">
        <v>725</v>
      </c>
      <c r="C588" s="26" t="s">
        <v>724</v>
      </c>
      <c r="D588" s="26">
        <v>50</v>
      </c>
      <c r="E588" s="32">
        <v>3.24</v>
      </c>
      <c r="F588" s="32">
        <v>162</v>
      </c>
    </row>
    <row r="589" spans="1:6" x14ac:dyDescent="0.25">
      <c r="A589" s="26">
        <v>588</v>
      </c>
      <c r="B589" s="26" t="s">
        <v>726</v>
      </c>
      <c r="C589" s="26" t="s">
        <v>727</v>
      </c>
      <c r="D589" s="26">
        <v>20</v>
      </c>
      <c r="E589" s="32">
        <v>15.9</v>
      </c>
      <c r="F589" s="32">
        <v>318</v>
      </c>
    </row>
    <row r="590" spans="1:6" x14ac:dyDescent="0.25">
      <c r="A590" s="26">
        <v>589</v>
      </c>
      <c r="B590" s="26" t="s">
        <v>728</v>
      </c>
      <c r="C590" s="26" t="s">
        <v>729</v>
      </c>
      <c r="D590" s="26">
        <v>10</v>
      </c>
      <c r="E590" s="32">
        <v>52.27</v>
      </c>
      <c r="F590" s="32">
        <v>522.70000000000005</v>
      </c>
    </row>
    <row r="591" spans="1:6" x14ac:dyDescent="0.25">
      <c r="A591" s="26">
        <v>590</v>
      </c>
      <c r="B591" s="26" t="s">
        <v>730</v>
      </c>
      <c r="C591" s="26" t="s">
        <v>731</v>
      </c>
      <c r="D591" s="26">
        <v>10</v>
      </c>
      <c r="E591" s="32">
        <v>131.01</v>
      </c>
      <c r="F591" s="32">
        <v>1310.0999999999999</v>
      </c>
    </row>
    <row r="592" spans="1:6" x14ac:dyDescent="0.25">
      <c r="A592" s="26">
        <v>591</v>
      </c>
      <c r="B592" s="26" t="s">
        <v>732</v>
      </c>
      <c r="C592" s="26" t="s">
        <v>562</v>
      </c>
      <c r="D592" s="26">
        <v>5</v>
      </c>
      <c r="E592" s="32">
        <v>223.42</v>
      </c>
      <c r="F592" s="32">
        <v>1117.0999999999999</v>
      </c>
    </row>
    <row r="593" spans="1:6" x14ac:dyDescent="0.25">
      <c r="A593" s="26">
        <v>592</v>
      </c>
      <c r="B593" s="26" t="s">
        <v>733</v>
      </c>
      <c r="C593" s="26" t="s">
        <v>562</v>
      </c>
      <c r="D593" s="26">
        <v>5</v>
      </c>
      <c r="E593" s="32">
        <v>259.61</v>
      </c>
      <c r="F593" s="32">
        <v>1298.05</v>
      </c>
    </row>
    <row r="594" spans="1:6" x14ac:dyDescent="0.25">
      <c r="A594" s="26">
        <v>593</v>
      </c>
      <c r="B594" s="26" t="s">
        <v>734</v>
      </c>
      <c r="C594" s="26" t="s">
        <v>565</v>
      </c>
      <c r="D594" s="26">
        <v>50</v>
      </c>
      <c r="E594" s="32">
        <v>21.43</v>
      </c>
      <c r="F594" s="32">
        <v>1071.5</v>
      </c>
    </row>
    <row r="595" spans="1:6" x14ac:dyDescent="0.25">
      <c r="A595" s="26">
        <v>594</v>
      </c>
      <c r="B595" s="26" t="s">
        <v>735</v>
      </c>
      <c r="C595" s="26" t="s">
        <v>736</v>
      </c>
      <c r="D595" s="26">
        <v>50</v>
      </c>
      <c r="E595" s="32">
        <v>28.89</v>
      </c>
      <c r="F595" s="32">
        <v>1444.5</v>
      </c>
    </row>
    <row r="596" spans="1:6" x14ac:dyDescent="0.25">
      <c r="A596" s="26">
        <v>595</v>
      </c>
      <c r="B596" s="26" t="s">
        <v>737</v>
      </c>
      <c r="C596" s="26" t="s">
        <v>562</v>
      </c>
      <c r="D596" s="26">
        <v>20</v>
      </c>
      <c r="E596" s="32">
        <v>6.4</v>
      </c>
      <c r="F596" s="32">
        <v>128</v>
      </c>
    </row>
    <row r="597" spans="1:6" x14ac:dyDescent="0.25">
      <c r="A597" s="26">
        <v>596</v>
      </c>
      <c r="B597" s="26" t="s">
        <v>738</v>
      </c>
      <c r="C597" s="26" t="s">
        <v>731</v>
      </c>
      <c r="D597" s="26">
        <v>20</v>
      </c>
      <c r="E597" s="32">
        <v>80.12</v>
      </c>
      <c r="F597" s="32">
        <v>1602.4</v>
      </c>
    </row>
    <row r="598" spans="1:6" x14ac:dyDescent="0.25">
      <c r="A598" s="26">
        <v>597</v>
      </c>
      <c r="B598" s="26" t="s">
        <v>739</v>
      </c>
      <c r="C598" s="26" t="s">
        <v>562</v>
      </c>
      <c r="D598" s="26">
        <v>20</v>
      </c>
      <c r="E598" s="32">
        <v>120.03</v>
      </c>
      <c r="F598" s="32">
        <v>2400.6</v>
      </c>
    </row>
    <row r="599" spans="1:6" x14ac:dyDescent="0.25">
      <c r="A599" s="26">
        <v>598</v>
      </c>
      <c r="B599" s="26" t="s">
        <v>740</v>
      </c>
      <c r="C599" s="26" t="s">
        <v>741</v>
      </c>
      <c r="D599" s="26">
        <v>10</v>
      </c>
      <c r="E599" s="32">
        <v>122.49</v>
      </c>
      <c r="F599" s="32">
        <v>1224.9000000000001</v>
      </c>
    </row>
    <row r="600" spans="1:6" x14ac:dyDescent="0.25">
      <c r="A600" s="26">
        <v>599</v>
      </c>
      <c r="B600" s="26" t="s">
        <v>742</v>
      </c>
      <c r="C600" s="26" t="s">
        <v>743</v>
      </c>
      <c r="D600" s="26">
        <v>20</v>
      </c>
      <c r="E600" s="32">
        <v>18.350000000000001</v>
      </c>
      <c r="F600" s="32">
        <v>367</v>
      </c>
    </row>
    <row r="601" spans="1:6" x14ac:dyDescent="0.25">
      <c r="A601" s="26">
        <v>600</v>
      </c>
      <c r="B601" s="26" t="s">
        <v>744</v>
      </c>
      <c r="C601" s="26" t="s">
        <v>642</v>
      </c>
      <c r="D601" s="26">
        <v>10</v>
      </c>
      <c r="E601" s="32">
        <v>19.36</v>
      </c>
      <c r="F601" s="32">
        <v>193.6</v>
      </c>
    </row>
    <row r="602" spans="1:6" x14ac:dyDescent="0.25">
      <c r="A602" s="26">
        <v>601</v>
      </c>
      <c r="B602" s="26" t="s">
        <v>745</v>
      </c>
      <c r="C602" s="26" t="s">
        <v>562</v>
      </c>
      <c r="D602" s="26">
        <v>30</v>
      </c>
      <c r="E602" s="32">
        <v>1.78</v>
      </c>
      <c r="F602" s="32">
        <v>53.4</v>
      </c>
    </row>
    <row r="603" spans="1:6" x14ac:dyDescent="0.25">
      <c r="A603" s="26">
        <v>602</v>
      </c>
      <c r="B603" s="26" t="s">
        <v>746</v>
      </c>
      <c r="C603" s="26" t="s">
        <v>747</v>
      </c>
      <c r="D603" s="26">
        <v>20</v>
      </c>
      <c r="E603" s="32">
        <v>30.22</v>
      </c>
      <c r="F603" s="32">
        <v>604.4</v>
      </c>
    </row>
    <row r="604" spans="1:6" x14ac:dyDescent="0.25">
      <c r="A604" s="26">
        <v>603</v>
      </c>
      <c r="B604" s="26" t="s">
        <v>748</v>
      </c>
      <c r="C604" s="26" t="s">
        <v>749</v>
      </c>
      <c r="D604" s="26">
        <v>30</v>
      </c>
      <c r="E604" s="32">
        <v>243.23</v>
      </c>
      <c r="F604" s="32">
        <v>7296.9</v>
      </c>
    </row>
    <row r="605" spans="1:6" x14ac:dyDescent="0.25">
      <c r="A605" s="26">
        <v>604</v>
      </c>
      <c r="B605" s="26" t="s">
        <v>750</v>
      </c>
      <c r="C605" s="26" t="s">
        <v>751</v>
      </c>
      <c r="D605" s="26">
        <v>5</v>
      </c>
      <c r="E605" s="32">
        <v>338.05</v>
      </c>
      <c r="F605" s="32">
        <v>1690.25</v>
      </c>
    </row>
    <row r="606" spans="1:6" x14ac:dyDescent="0.25">
      <c r="A606" s="26">
        <v>605</v>
      </c>
      <c r="B606" s="26" t="s">
        <v>752</v>
      </c>
      <c r="C606" s="26" t="s">
        <v>753</v>
      </c>
      <c r="D606" s="26">
        <v>5</v>
      </c>
      <c r="E606" s="32">
        <v>8.83</v>
      </c>
      <c r="F606" s="32">
        <v>44.15</v>
      </c>
    </row>
    <row r="607" spans="1:6" x14ac:dyDescent="0.25">
      <c r="A607" s="26">
        <v>606</v>
      </c>
      <c r="B607" s="26" t="s">
        <v>754</v>
      </c>
      <c r="C607" s="26" t="s">
        <v>562</v>
      </c>
      <c r="D607" s="26">
        <v>20</v>
      </c>
      <c r="E607" s="32">
        <v>15.07</v>
      </c>
      <c r="F607" s="32">
        <v>301.39999999999998</v>
      </c>
    </row>
    <row r="608" spans="1:6" x14ac:dyDescent="0.25">
      <c r="A608" s="26">
        <v>607</v>
      </c>
      <c r="B608" s="26" t="s">
        <v>755</v>
      </c>
      <c r="C608" s="26" t="s">
        <v>715</v>
      </c>
      <c r="D608" s="26">
        <v>10</v>
      </c>
      <c r="E608" s="32">
        <v>8.39</v>
      </c>
      <c r="F608" s="32">
        <v>83.9</v>
      </c>
    </row>
    <row r="609" spans="1:6" x14ac:dyDescent="0.25">
      <c r="A609" s="26">
        <v>608</v>
      </c>
      <c r="B609" s="26" t="s">
        <v>756</v>
      </c>
      <c r="C609" s="26" t="s">
        <v>753</v>
      </c>
      <c r="D609" s="26">
        <v>5</v>
      </c>
      <c r="E609" s="32">
        <v>24.69</v>
      </c>
      <c r="F609" s="32">
        <v>123.45</v>
      </c>
    </row>
    <row r="610" spans="1:6" x14ac:dyDescent="0.25">
      <c r="A610" s="26">
        <v>609</v>
      </c>
      <c r="B610" s="26" t="s">
        <v>757</v>
      </c>
      <c r="C610" s="26" t="s">
        <v>562</v>
      </c>
      <c r="D610" s="26">
        <v>5</v>
      </c>
      <c r="E610" s="32">
        <v>179.68</v>
      </c>
      <c r="F610" s="32">
        <v>898.4</v>
      </c>
    </row>
    <row r="611" spans="1:6" x14ac:dyDescent="0.25">
      <c r="A611" s="26">
        <v>610</v>
      </c>
      <c r="B611" s="26" t="s">
        <v>758</v>
      </c>
      <c r="C611" s="26" t="s">
        <v>562</v>
      </c>
      <c r="D611" s="26">
        <v>5</v>
      </c>
      <c r="E611" s="32">
        <v>127.43</v>
      </c>
      <c r="F611" s="32">
        <v>637.15</v>
      </c>
    </row>
    <row r="612" spans="1:6" x14ac:dyDescent="0.25">
      <c r="A612" s="26">
        <v>611</v>
      </c>
      <c r="B612" s="26" t="s">
        <v>759</v>
      </c>
      <c r="C612" s="26" t="s">
        <v>562</v>
      </c>
      <c r="D612" s="26">
        <v>10</v>
      </c>
      <c r="E612" s="32">
        <v>12.11</v>
      </c>
      <c r="F612" s="32">
        <v>121.1</v>
      </c>
    </row>
    <row r="613" spans="1:6" x14ac:dyDescent="0.25">
      <c r="A613" s="26">
        <v>612</v>
      </c>
      <c r="B613" s="26" t="s">
        <v>760</v>
      </c>
      <c r="C613" s="26" t="s">
        <v>562</v>
      </c>
      <c r="D613" s="26">
        <v>10</v>
      </c>
      <c r="E613" s="32">
        <v>79.959999999999994</v>
      </c>
      <c r="F613" s="32">
        <v>799.6</v>
      </c>
    </row>
    <row r="614" spans="1:6" x14ac:dyDescent="0.25">
      <c r="A614" s="26">
        <v>613</v>
      </c>
      <c r="B614" s="26" t="s">
        <v>761</v>
      </c>
      <c r="C614" s="26" t="s">
        <v>762</v>
      </c>
      <c r="D614" s="26">
        <v>10</v>
      </c>
      <c r="E614" s="32">
        <v>15.44</v>
      </c>
      <c r="F614" s="32">
        <v>154.4</v>
      </c>
    </row>
    <row r="615" spans="1:6" x14ac:dyDescent="0.25">
      <c r="A615" s="26">
        <v>614</v>
      </c>
      <c r="B615" s="26" t="s">
        <v>763</v>
      </c>
      <c r="C615" s="26" t="s">
        <v>764</v>
      </c>
      <c r="D615" s="26">
        <v>10</v>
      </c>
      <c r="E615" s="32">
        <v>23.87</v>
      </c>
      <c r="F615" s="32">
        <v>238.7</v>
      </c>
    </row>
    <row r="616" spans="1:6" x14ac:dyDescent="0.25">
      <c r="A616" s="26">
        <v>615</v>
      </c>
      <c r="B616" s="26" t="s">
        <v>765</v>
      </c>
      <c r="C616" s="26" t="s">
        <v>562</v>
      </c>
      <c r="D616" s="26">
        <v>5</v>
      </c>
      <c r="E616" s="32">
        <v>54.56</v>
      </c>
      <c r="F616" s="32">
        <v>272.8</v>
      </c>
    </row>
    <row r="617" spans="1:6" x14ac:dyDescent="0.25">
      <c r="A617" s="26">
        <v>616</v>
      </c>
      <c r="B617" s="26" t="s">
        <v>766</v>
      </c>
      <c r="C617" s="26" t="s">
        <v>767</v>
      </c>
      <c r="D617" s="26">
        <v>5</v>
      </c>
      <c r="E617" s="32">
        <v>9.23</v>
      </c>
      <c r="F617" s="32">
        <v>46.15</v>
      </c>
    </row>
    <row r="618" spans="1:6" x14ac:dyDescent="0.25">
      <c r="A618" s="26">
        <v>617</v>
      </c>
      <c r="B618" s="26" t="s">
        <v>768</v>
      </c>
      <c r="C618" s="26" t="s">
        <v>575</v>
      </c>
      <c r="D618" s="26">
        <v>20</v>
      </c>
      <c r="E618" s="32">
        <v>51.36</v>
      </c>
      <c r="F618" s="32">
        <v>1027.2</v>
      </c>
    </row>
    <row r="619" spans="1:6" x14ac:dyDescent="0.25">
      <c r="A619" s="26">
        <v>618</v>
      </c>
      <c r="B619" s="26" t="s">
        <v>769</v>
      </c>
      <c r="C619" s="26" t="s">
        <v>562</v>
      </c>
      <c r="D619" s="26">
        <v>40</v>
      </c>
      <c r="E619" s="32">
        <v>12.44</v>
      </c>
      <c r="F619" s="32">
        <v>497.6</v>
      </c>
    </row>
    <row r="620" spans="1:6" x14ac:dyDescent="0.25">
      <c r="A620" s="26">
        <v>619</v>
      </c>
      <c r="B620" s="26" t="s">
        <v>770</v>
      </c>
      <c r="C620" s="26" t="s">
        <v>562</v>
      </c>
      <c r="D620" s="26">
        <v>40</v>
      </c>
      <c r="E620" s="32">
        <v>11.92</v>
      </c>
      <c r="F620" s="32">
        <v>476.8</v>
      </c>
    </row>
    <row r="621" spans="1:6" x14ac:dyDescent="0.25">
      <c r="A621" s="26">
        <v>620</v>
      </c>
      <c r="B621" s="26" t="s">
        <v>771</v>
      </c>
      <c r="C621" s="26" t="s">
        <v>562</v>
      </c>
      <c r="D621" s="26">
        <v>40</v>
      </c>
      <c r="E621" s="32">
        <v>12.59</v>
      </c>
      <c r="F621" s="32">
        <v>503.6</v>
      </c>
    </row>
    <row r="622" spans="1:6" x14ac:dyDescent="0.25">
      <c r="A622" s="26">
        <v>621</v>
      </c>
      <c r="B622" s="26" t="s">
        <v>772</v>
      </c>
      <c r="C622" s="26" t="s">
        <v>562</v>
      </c>
      <c r="D622" s="26">
        <v>40</v>
      </c>
      <c r="E622" s="32">
        <v>10.34</v>
      </c>
      <c r="F622" s="32">
        <v>413.6</v>
      </c>
    </row>
    <row r="623" spans="1:6" x14ac:dyDescent="0.25">
      <c r="A623" s="26">
        <v>622</v>
      </c>
      <c r="B623" s="26" t="s">
        <v>773</v>
      </c>
      <c r="C623" s="26" t="s">
        <v>562</v>
      </c>
      <c r="D623" s="26">
        <v>10</v>
      </c>
      <c r="E623" s="32">
        <v>121.95</v>
      </c>
      <c r="F623" s="32">
        <v>1219.5</v>
      </c>
    </row>
    <row r="624" spans="1:6" x14ac:dyDescent="0.25">
      <c r="A624" s="26">
        <v>623</v>
      </c>
      <c r="B624" s="26" t="s">
        <v>774</v>
      </c>
      <c r="C624" s="26" t="s">
        <v>562</v>
      </c>
      <c r="D624" s="26">
        <v>10</v>
      </c>
      <c r="E624" s="32">
        <v>117.88</v>
      </c>
      <c r="F624" s="32">
        <v>1178.8</v>
      </c>
    </row>
    <row r="625" spans="1:6" x14ac:dyDescent="0.25">
      <c r="A625" s="26">
        <v>624</v>
      </c>
      <c r="B625" s="26" t="s">
        <v>775</v>
      </c>
      <c r="C625" s="26" t="s">
        <v>562</v>
      </c>
      <c r="D625" s="26">
        <v>10</v>
      </c>
      <c r="E625" s="32">
        <v>118.7</v>
      </c>
      <c r="F625" s="32">
        <v>1187</v>
      </c>
    </row>
    <row r="626" spans="1:6" x14ac:dyDescent="0.25">
      <c r="A626" s="26">
        <v>625</v>
      </c>
      <c r="B626" s="26" t="s">
        <v>776</v>
      </c>
      <c r="C626" s="26" t="s">
        <v>562</v>
      </c>
      <c r="D626" s="26">
        <v>10</v>
      </c>
      <c r="E626" s="32">
        <v>118.88</v>
      </c>
      <c r="F626" s="32">
        <v>1188.8</v>
      </c>
    </row>
    <row r="627" spans="1:6" x14ac:dyDescent="0.25">
      <c r="A627" s="26">
        <v>626</v>
      </c>
      <c r="B627" s="26" t="s">
        <v>777</v>
      </c>
      <c r="C627" s="26" t="s">
        <v>562</v>
      </c>
      <c r="D627" s="26">
        <v>10</v>
      </c>
      <c r="E627" s="32">
        <v>118.1</v>
      </c>
      <c r="F627" s="32">
        <v>1181</v>
      </c>
    </row>
    <row r="628" spans="1:6" x14ac:dyDescent="0.25">
      <c r="A628" s="26">
        <v>627</v>
      </c>
      <c r="B628" s="26" t="s">
        <v>778</v>
      </c>
      <c r="C628" s="26" t="s">
        <v>562</v>
      </c>
      <c r="D628" s="26">
        <v>10</v>
      </c>
      <c r="E628" s="32">
        <v>118.34</v>
      </c>
      <c r="F628" s="32">
        <v>1183.4000000000001</v>
      </c>
    </row>
    <row r="629" spans="1:6" x14ac:dyDescent="0.25">
      <c r="A629" s="26">
        <v>628</v>
      </c>
      <c r="B629" s="26" t="s">
        <v>779</v>
      </c>
      <c r="C629" s="26" t="s">
        <v>562</v>
      </c>
      <c r="D629" s="26">
        <v>10</v>
      </c>
      <c r="E629" s="32">
        <v>117.72</v>
      </c>
      <c r="F629" s="32">
        <v>1177.2</v>
      </c>
    </row>
    <row r="630" spans="1:6" x14ac:dyDescent="0.25">
      <c r="A630" s="26">
        <v>629</v>
      </c>
      <c r="B630" s="26" t="s">
        <v>780</v>
      </c>
      <c r="C630" s="26" t="s">
        <v>562</v>
      </c>
      <c r="D630" s="26">
        <v>10</v>
      </c>
      <c r="E630" s="32">
        <v>118.1</v>
      </c>
      <c r="F630" s="32">
        <v>1181</v>
      </c>
    </row>
    <row r="631" spans="1:6" x14ac:dyDescent="0.25">
      <c r="A631" s="26">
        <v>630</v>
      </c>
      <c r="B631" s="26" t="s">
        <v>781</v>
      </c>
      <c r="C631" s="26" t="s">
        <v>562</v>
      </c>
      <c r="D631" s="26">
        <v>10</v>
      </c>
      <c r="E631" s="32">
        <v>118.1</v>
      </c>
      <c r="F631" s="32">
        <v>1181</v>
      </c>
    </row>
    <row r="632" spans="1:6" x14ac:dyDescent="0.25">
      <c r="A632" s="26">
        <v>631</v>
      </c>
      <c r="B632" s="26" t="s">
        <v>782</v>
      </c>
      <c r="C632" s="26" t="s">
        <v>562</v>
      </c>
      <c r="D632" s="26">
        <v>10</v>
      </c>
      <c r="E632" s="32">
        <v>118.1</v>
      </c>
      <c r="F632" s="32">
        <v>1181</v>
      </c>
    </row>
    <row r="633" spans="1:6" x14ac:dyDescent="0.25">
      <c r="A633" s="26">
        <v>632</v>
      </c>
      <c r="B633" s="26" t="s">
        <v>783</v>
      </c>
      <c r="C633" s="26" t="s">
        <v>562</v>
      </c>
      <c r="D633" s="26">
        <v>10</v>
      </c>
      <c r="E633" s="32">
        <v>118.1</v>
      </c>
      <c r="F633" s="32">
        <v>1181</v>
      </c>
    </row>
    <row r="634" spans="1:6" x14ac:dyDescent="0.25">
      <c r="A634" s="26">
        <v>633</v>
      </c>
      <c r="B634" s="26" t="s">
        <v>784</v>
      </c>
      <c r="C634" s="26" t="s">
        <v>562</v>
      </c>
      <c r="D634" s="26">
        <v>10</v>
      </c>
      <c r="E634" s="32">
        <v>118.1</v>
      </c>
      <c r="F634" s="32">
        <v>1181</v>
      </c>
    </row>
    <row r="635" spans="1:6" x14ac:dyDescent="0.25">
      <c r="A635" s="26">
        <v>634</v>
      </c>
      <c r="B635" s="26" t="s">
        <v>785</v>
      </c>
      <c r="C635" s="26" t="s">
        <v>562</v>
      </c>
      <c r="D635" s="26">
        <v>10</v>
      </c>
      <c r="E635" s="32">
        <v>118.1</v>
      </c>
      <c r="F635" s="32">
        <v>1181</v>
      </c>
    </row>
    <row r="636" spans="1:6" x14ac:dyDescent="0.25">
      <c r="A636" s="26">
        <v>635</v>
      </c>
      <c r="B636" s="26" t="s">
        <v>786</v>
      </c>
      <c r="C636" s="26" t="s">
        <v>562</v>
      </c>
      <c r="D636" s="26">
        <v>10</v>
      </c>
      <c r="E636" s="32">
        <v>118.1</v>
      </c>
      <c r="F636" s="32">
        <v>1181</v>
      </c>
    </row>
    <row r="637" spans="1:6" x14ac:dyDescent="0.25">
      <c r="A637" s="26">
        <v>636</v>
      </c>
      <c r="B637" s="26" t="s">
        <v>787</v>
      </c>
      <c r="C637" s="26" t="s">
        <v>562</v>
      </c>
      <c r="D637" s="26">
        <v>10</v>
      </c>
      <c r="E637" s="32">
        <v>118.1</v>
      </c>
      <c r="F637" s="32">
        <v>1181</v>
      </c>
    </row>
    <row r="638" spans="1:6" x14ac:dyDescent="0.25">
      <c r="A638" s="26">
        <v>637</v>
      </c>
      <c r="B638" s="26" t="s">
        <v>788</v>
      </c>
      <c r="C638" s="26" t="s">
        <v>562</v>
      </c>
      <c r="D638" s="26">
        <v>10</v>
      </c>
      <c r="E638" s="32">
        <v>118.1</v>
      </c>
      <c r="F638" s="32">
        <v>1181</v>
      </c>
    </row>
    <row r="639" spans="1:6" x14ac:dyDescent="0.25">
      <c r="A639" s="26">
        <v>638</v>
      </c>
      <c r="B639" s="26" t="s">
        <v>789</v>
      </c>
      <c r="C639" s="26" t="s">
        <v>562</v>
      </c>
      <c r="D639" s="26">
        <v>10</v>
      </c>
      <c r="E639" s="32">
        <v>117.4</v>
      </c>
      <c r="F639" s="32">
        <v>1174</v>
      </c>
    </row>
    <row r="640" spans="1:6" x14ac:dyDescent="0.25">
      <c r="A640" s="26">
        <v>639</v>
      </c>
      <c r="B640" s="26" t="s">
        <v>790</v>
      </c>
      <c r="C640" s="26" t="s">
        <v>562</v>
      </c>
      <c r="D640" s="26">
        <v>10</v>
      </c>
      <c r="E640" s="32">
        <v>117.4</v>
      </c>
      <c r="F640" s="32">
        <v>1174</v>
      </c>
    </row>
    <row r="641" spans="1:6" x14ac:dyDescent="0.25">
      <c r="A641" s="26">
        <v>640</v>
      </c>
      <c r="B641" s="26" t="s">
        <v>791</v>
      </c>
      <c r="C641" s="26" t="s">
        <v>562</v>
      </c>
      <c r="D641" s="26">
        <v>5</v>
      </c>
      <c r="E641" s="32">
        <v>189.15</v>
      </c>
      <c r="F641" s="32">
        <v>945.75</v>
      </c>
    </row>
    <row r="642" spans="1:6" x14ac:dyDescent="0.25">
      <c r="A642" s="26">
        <v>641</v>
      </c>
      <c r="B642" s="26" t="s">
        <v>792</v>
      </c>
      <c r="C642" s="26" t="s">
        <v>562</v>
      </c>
      <c r="D642" s="26">
        <v>5</v>
      </c>
      <c r="E642" s="32">
        <v>189.15</v>
      </c>
      <c r="F642" s="32">
        <v>945.75</v>
      </c>
    </row>
    <row r="643" spans="1:6" x14ac:dyDescent="0.25">
      <c r="A643" s="26">
        <v>642</v>
      </c>
      <c r="B643" s="26" t="s">
        <v>793</v>
      </c>
      <c r="C643" s="26" t="s">
        <v>562</v>
      </c>
      <c r="D643" s="26">
        <v>20</v>
      </c>
      <c r="E643" s="32">
        <v>3.94</v>
      </c>
      <c r="F643" s="32">
        <v>78.8</v>
      </c>
    </row>
    <row r="644" spans="1:6" x14ac:dyDescent="0.25">
      <c r="A644" s="26">
        <v>643</v>
      </c>
      <c r="B644" s="26" t="s">
        <v>794</v>
      </c>
      <c r="C644" s="26" t="s">
        <v>562</v>
      </c>
      <c r="D644" s="26">
        <v>20</v>
      </c>
      <c r="E644" s="32">
        <v>12.57</v>
      </c>
      <c r="F644" s="32">
        <v>251.4</v>
      </c>
    </row>
    <row r="645" spans="1:6" x14ac:dyDescent="0.25">
      <c r="F645" s="33"/>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E384-6075-4887-A34B-F62E929C44C7}">
  <dimension ref="A1:C258"/>
  <sheetViews>
    <sheetView zoomScale="80" zoomScaleNormal="80" workbookViewId="0">
      <selection activeCell="B1" sqref="B1"/>
    </sheetView>
  </sheetViews>
  <sheetFormatPr defaultRowHeight="15" x14ac:dyDescent="0.25"/>
  <cols>
    <col min="2" max="2" width="10.5703125" bestFit="1" customWidth="1"/>
  </cols>
  <sheetData>
    <row r="1" spans="1:3" x14ac:dyDescent="0.25">
      <c r="A1" s="1" t="s">
        <v>0</v>
      </c>
      <c r="B1" s="1" t="s">
        <v>15</v>
      </c>
      <c r="C1" s="1" t="s">
        <v>6</v>
      </c>
    </row>
    <row r="2" spans="1:3" x14ac:dyDescent="0.25">
      <c r="A2" s="1">
        <v>1</v>
      </c>
      <c r="B2" s="40">
        <v>26.85</v>
      </c>
      <c r="C2" s="1" t="s">
        <v>795</v>
      </c>
    </row>
    <row r="3" spans="1:3" x14ac:dyDescent="0.25">
      <c r="A3" s="1">
        <v>2</v>
      </c>
      <c r="B3" s="40">
        <v>44.02</v>
      </c>
      <c r="C3" s="1" t="s">
        <v>796</v>
      </c>
    </row>
    <row r="4" spans="1:3" x14ac:dyDescent="0.25">
      <c r="A4" s="1">
        <v>3</v>
      </c>
      <c r="B4" s="40">
        <v>23.83</v>
      </c>
      <c r="C4" s="1" t="s">
        <v>797</v>
      </c>
    </row>
    <row r="5" spans="1:3" x14ac:dyDescent="0.25">
      <c r="A5" s="1">
        <v>4</v>
      </c>
      <c r="B5" s="40">
        <v>60.82</v>
      </c>
      <c r="C5" s="1" t="s">
        <v>800</v>
      </c>
    </row>
    <row r="6" spans="1:3" x14ac:dyDescent="0.25">
      <c r="A6" s="1">
        <v>5</v>
      </c>
      <c r="B6" s="40">
        <v>42.53</v>
      </c>
      <c r="C6" s="1" t="s">
        <v>797</v>
      </c>
    </row>
    <row r="7" spans="1:3" x14ac:dyDescent="0.25">
      <c r="A7" s="1">
        <v>6</v>
      </c>
      <c r="B7" s="40">
        <v>1.64</v>
      </c>
      <c r="C7" s="1" t="s">
        <v>801</v>
      </c>
    </row>
    <row r="8" spans="1:3" x14ac:dyDescent="0.25">
      <c r="A8" s="1">
        <v>7</v>
      </c>
      <c r="B8" s="40">
        <v>18.53</v>
      </c>
      <c r="C8" s="1" t="s">
        <v>802</v>
      </c>
    </row>
    <row r="9" spans="1:3" x14ac:dyDescent="0.25">
      <c r="A9" s="1">
        <v>8</v>
      </c>
      <c r="B9" s="40">
        <v>1.61</v>
      </c>
      <c r="C9" s="1" t="s">
        <v>803</v>
      </c>
    </row>
    <row r="10" spans="1:3" x14ac:dyDescent="0.25">
      <c r="A10" s="1">
        <v>9</v>
      </c>
      <c r="B10" s="40">
        <v>0.93</v>
      </c>
      <c r="C10" s="1" t="s">
        <v>804</v>
      </c>
    </row>
    <row r="11" spans="1:3" x14ac:dyDescent="0.25">
      <c r="A11" s="1">
        <v>10</v>
      </c>
      <c r="B11" s="40">
        <v>3.76</v>
      </c>
      <c r="C11" s="1" t="s">
        <v>805</v>
      </c>
    </row>
    <row r="12" spans="1:3" x14ac:dyDescent="0.25">
      <c r="A12" s="1">
        <v>11</v>
      </c>
      <c r="B12" s="40">
        <v>1.1100000000000001</v>
      </c>
      <c r="C12" s="1" t="s">
        <v>806</v>
      </c>
    </row>
    <row r="13" spans="1:3" x14ac:dyDescent="0.25">
      <c r="A13" s="1">
        <v>12</v>
      </c>
      <c r="B13" s="40">
        <v>8.26</v>
      </c>
      <c r="C13" s="1" t="s">
        <v>807</v>
      </c>
    </row>
    <row r="14" spans="1:3" x14ac:dyDescent="0.25">
      <c r="A14" s="1">
        <v>13</v>
      </c>
      <c r="B14" s="40">
        <v>19.46</v>
      </c>
      <c r="C14" s="1" t="s">
        <v>807</v>
      </c>
    </row>
    <row r="15" spans="1:3" x14ac:dyDescent="0.25">
      <c r="A15" s="1">
        <v>14</v>
      </c>
      <c r="B15" s="40">
        <v>4.34</v>
      </c>
      <c r="C15" s="1" t="s">
        <v>807</v>
      </c>
    </row>
    <row r="16" spans="1:3" x14ac:dyDescent="0.25">
      <c r="A16" s="1">
        <v>15</v>
      </c>
      <c r="B16" s="40">
        <v>3.15</v>
      </c>
      <c r="C16" s="1" t="s">
        <v>808</v>
      </c>
    </row>
    <row r="17" spans="1:3" x14ac:dyDescent="0.25">
      <c r="A17" s="1">
        <v>16</v>
      </c>
      <c r="B17" s="40">
        <v>1.4</v>
      </c>
      <c r="C17" s="1" t="s">
        <v>809</v>
      </c>
    </row>
    <row r="18" spans="1:3" x14ac:dyDescent="0.25">
      <c r="A18" s="1">
        <v>17</v>
      </c>
      <c r="B18" s="40">
        <v>8.39</v>
      </c>
      <c r="C18" s="1" t="s">
        <v>795</v>
      </c>
    </row>
    <row r="19" spans="1:3" x14ac:dyDescent="0.25">
      <c r="A19" s="1">
        <v>18</v>
      </c>
      <c r="B19" s="40">
        <v>19.46</v>
      </c>
      <c r="C19" s="1" t="s">
        <v>810</v>
      </c>
    </row>
    <row r="20" spans="1:3" x14ac:dyDescent="0.25">
      <c r="A20" s="1">
        <v>19</v>
      </c>
      <c r="B20" s="40">
        <v>0.93</v>
      </c>
      <c r="C20" s="1" t="s">
        <v>802</v>
      </c>
    </row>
    <row r="21" spans="1:3" x14ac:dyDescent="0.25">
      <c r="A21" s="1">
        <v>20</v>
      </c>
      <c r="B21" s="40">
        <v>1.26</v>
      </c>
      <c r="C21" s="1" t="s">
        <v>809</v>
      </c>
    </row>
    <row r="22" spans="1:3" x14ac:dyDescent="0.25">
      <c r="A22" s="1">
        <v>21</v>
      </c>
      <c r="B22" s="40">
        <v>1.4</v>
      </c>
      <c r="C22" s="1" t="s">
        <v>809</v>
      </c>
    </row>
    <row r="23" spans="1:3" x14ac:dyDescent="0.25">
      <c r="A23" s="1">
        <v>22</v>
      </c>
      <c r="B23" s="40">
        <v>2.38</v>
      </c>
      <c r="C23" s="1" t="s">
        <v>807</v>
      </c>
    </row>
    <row r="24" spans="1:3" x14ac:dyDescent="0.25">
      <c r="A24" s="1">
        <v>23</v>
      </c>
      <c r="B24" s="40">
        <v>0.34</v>
      </c>
      <c r="C24" s="1" t="s">
        <v>811</v>
      </c>
    </row>
    <row r="25" spans="1:3" x14ac:dyDescent="0.25">
      <c r="A25" s="1">
        <v>24</v>
      </c>
      <c r="B25" s="40">
        <v>0.92</v>
      </c>
      <c r="C25" s="1" t="s">
        <v>805</v>
      </c>
    </row>
    <row r="26" spans="1:3" x14ac:dyDescent="0.25">
      <c r="A26" s="1">
        <v>25</v>
      </c>
      <c r="B26" s="40">
        <v>0.91</v>
      </c>
      <c r="C26" s="1" t="s">
        <v>812</v>
      </c>
    </row>
    <row r="27" spans="1:3" x14ac:dyDescent="0.25">
      <c r="A27" s="1">
        <v>26</v>
      </c>
      <c r="B27" s="40">
        <v>16.8</v>
      </c>
      <c r="C27" s="1" t="s">
        <v>813</v>
      </c>
    </row>
    <row r="28" spans="1:3" x14ac:dyDescent="0.25">
      <c r="A28" s="1">
        <v>28</v>
      </c>
      <c r="B28" s="40">
        <v>17.75</v>
      </c>
      <c r="C28" s="1" t="s">
        <v>796</v>
      </c>
    </row>
    <row r="29" spans="1:3" x14ac:dyDescent="0.25">
      <c r="A29" s="1">
        <v>29</v>
      </c>
      <c r="B29" s="40">
        <v>2.52</v>
      </c>
      <c r="C29" s="1" t="s">
        <v>807</v>
      </c>
    </row>
    <row r="30" spans="1:3" x14ac:dyDescent="0.25">
      <c r="A30" s="1">
        <v>30</v>
      </c>
      <c r="B30" s="40">
        <v>2.79</v>
      </c>
      <c r="C30" s="1" t="s">
        <v>814</v>
      </c>
    </row>
    <row r="31" spans="1:3" x14ac:dyDescent="0.25">
      <c r="A31" s="1">
        <v>31</v>
      </c>
      <c r="B31" s="40">
        <v>19.16</v>
      </c>
      <c r="C31" s="1" t="s">
        <v>797</v>
      </c>
    </row>
    <row r="32" spans="1:3" x14ac:dyDescent="0.25">
      <c r="A32" s="1">
        <v>32</v>
      </c>
      <c r="B32" s="40">
        <v>30.75</v>
      </c>
      <c r="C32" s="1" t="s">
        <v>797</v>
      </c>
    </row>
    <row r="33" spans="1:3" x14ac:dyDescent="0.25">
      <c r="A33" s="1">
        <v>33</v>
      </c>
      <c r="B33" s="40">
        <v>0.56000000000000005</v>
      </c>
      <c r="C33" s="1" t="s">
        <v>815</v>
      </c>
    </row>
    <row r="34" spans="1:3" x14ac:dyDescent="0.25">
      <c r="A34" s="1">
        <v>34</v>
      </c>
      <c r="B34" s="40">
        <v>2.42</v>
      </c>
      <c r="C34" s="1" t="s">
        <v>801</v>
      </c>
    </row>
    <row r="35" spans="1:3" x14ac:dyDescent="0.25">
      <c r="A35" s="1">
        <v>35</v>
      </c>
      <c r="B35" s="40">
        <v>15.26</v>
      </c>
      <c r="C35" s="1" t="s">
        <v>816</v>
      </c>
    </row>
    <row r="36" spans="1:3" x14ac:dyDescent="0.25">
      <c r="A36" s="1">
        <v>36</v>
      </c>
      <c r="B36" s="40">
        <v>2.19</v>
      </c>
      <c r="C36" s="1" t="s">
        <v>817</v>
      </c>
    </row>
    <row r="37" spans="1:3" x14ac:dyDescent="0.25">
      <c r="A37" s="1">
        <v>37</v>
      </c>
      <c r="B37" s="40">
        <v>29.01</v>
      </c>
      <c r="C37" s="1" t="s">
        <v>797</v>
      </c>
    </row>
    <row r="38" spans="1:3" x14ac:dyDescent="0.25">
      <c r="A38" s="1">
        <v>38</v>
      </c>
      <c r="B38" s="40">
        <v>10.6</v>
      </c>
      <c r="C38" s="1" t="s">
        <v>808</v>
      </c>
    </row>
    <row r="39" spans="1:3" x14ac:dyDescent="0.25">
      <c r="A39" s="1">
        <v>39</v>
      </c>
      <c r="B39" s="40">
        <v>0.89</v>
      </c>
      <c r="C39" s="1" t="s">
        <v>818</v>
      </c>
    </row>
    <row r="40" spans="1:3" x14ac:dyDescent="0.25">
      <c r="A40" s="1">
        <v>40</v>
      </c>
      <c r="B40" s="40">
        <v>0.53</v>
      </c>
      <c r="C40" s="1" t="s">
        <v>803</v>
      </c>
    </row>
    <row r="41" spans="1:3" x14ac:dyDescent="0.25">
      <c r="A41" s="1">
        <v>41</v>
      </c>
      <c r="B41" s="40">
        <v>0.78</v>
      </c>
      <c r="C41" s="1" t="s">
        <v>819</v>
      </c>
    </row>
    <row r="42" spans="1:3" x14ac:dyDescent="0.25">
      <c r="A42" s="1">
        <v>42</v>
      </c>
      <c r="B42" s="40">
        <v>0.78</v>
      </c>
      <c r="C42" s="1" t="s">
        <v>820</v>
      </c>
    </row>
    <row r="43" spans="1:3" x14ac:dyDescent="0.25">
      <c r="A43" s="1">
        <v>43</v>
      </c>
      <c r="B43" s="40">
        <v>0.38</v>
      </c>
      <c r="C43" s="1" t="s">
        <v>821</v>
      </c>
    </row>
    <row r="44" spans="1:3" x14ac:dyDescent="0.25">
      <c r="A44" s="1">
        <v>44</v>
      </c>
      <c r="B44" s="40">
        <v>4.0599999999999996</v>
      </c>
      <c r="C44" s="1" t="s">
        <v>822</v>
      </c>
    </row>
    <row r="45" spans="1:3" x14ac:dyDescent="0.25">
      <c r="A45" s="1">
        <v>45</v>
      </c>
      <c r="B45" s="40">
        <v>16.8</v>
      </c>
      <c r="C45" s="1" t="s">
        <v>797</v>
      </c>
    </row>
    <row r="46" spans="1:3" x14ac:dyDescent="0.25">
      <c r="A46" s="1">
        <v>46</v>
      </c>
      <c r="B46" s="40">
        <v>0.31</v>
      </c>
      <c r="C46" s="1" t="s">
        <v>796</v>
      </c>
    </row>
    <row r="47" spans="1:3" x14ac:dyDescent="0.25">
      <c r="A47" s="1">
        <v>47</v>
      </c>
      <c r="B47" s="40">
        <v>8.06</v>
      </c>
      <c r="C47" s="1" t="s">
        <v>797</v>
      </c>
    </row>
    <row r="48" spans="1:3" x14ac:dyDescent="0.25">
      <c r="A48" s="1">
        <v>48</v>
      </c>
      <c r="B48" s="40">
        <v>13.09</v>
      </c>
      <c r="C48" s="1" t="s">
        <v>823</v>
      </c>
    </row>
    <row r="49" spans="1:3" x14ac:dyDescent="0.25">
      <c r="A49" s="1">
        <v>49</v>
      </c>
      <c r="B49" s="40">
        <v>2.2400000000000002</v>
      </c>
      <c r="C49" s="1" t="s">
        <v>812</v>
      </c>
    </row>
    <row r="50" spans="1:3" x14ac:dyDescent="0.25">
      <c r="A50" s="1">
        <v>50</v>
      </c>
      <c r="B50" s="40">
        <v>8.39</v>
      </c>
      <c r="C50" s="1" t="s">
        <v>824</v>
      </c>
    </row>
    <row r="51" spans="1:3" x14ac:dyDescent="0.25">
      <c r="A51" s="1">
        <v>51</v>
      </c>
      <c r="B51" s="40">
        <v>8.39</v>
      </c>
      <c r="C51" s="1" t="s">
        <v>825</v>
      </c>
    </row>
    <row r="52" spans="1:3" x14ac:dyDescent="0.25">
      <c r="A52" s="1">
        <v>53</v>
      </c>
      <c r="B52" s="40">
        <v>19.350000000000001</v>
      </c>
      <c r="C52" s="1" t="s">
        <v>826</v>
      </c>
    </row>
    <row r="53" spans="1:3" x14ac:dyDescent="0.25">
      <c r="A53" s="1">
        <v>54</v>
      </c>
      <c r="B53" s="40">
        <v>14.48</v>
      </c>
      <c r="C53" s="1" t="s">
        <v>826</v>
      </c>
    </row>
    <row r="54" spans="1:3" x14ac:dyDescent="0.25">
      <c r="A54" s="1">
        <v>55</v>
      </c>
      <c r="B54" s="40">
        <v>17.54</v>
      </c>
      <c r="C54" s="1" t="s">
        <v>826</v>
      </c>
    </row>
    <row r="55" spans="1:3" x14ac:dyDescent="0.25">
      <c r="A55" s="1">
        <v>56</v>
      </c>
      <c r="B55" s="40">
        <v>16.52</v>
      </c>
      <c r="C55" s="1" t="s">
        <v>826</v>
      </c>
    </row>
    <row r="56" spans="1:3" x14ac:dyDescent="0.25">
      <c r="A56" s="1">
        <v>57</v>
      </c>
      <c r="B56" s="40">
        <v>1.91</v>
      </c>
      <c r="C56" s="1" t="s">
        <v>827</v>
      </c>
    </row>
    <row r="57" spans="1:3" x14ac:dyDescent="0.25">
      <c r="A57" s="1">
        <v>58</v>
      </c>
      <c r="B57" s="40">
        <v>1.46</v>
      </c>
      <c r="C57" s="1" t="s">
        <v>827</v>
      </c>
    </row>
    <row r="58" spans="1:3" x14ac:dyDescent="0.25">
      <c r="A58" s="1">
        <v>59</v>
      </c>
      <c r="B58" s="40">
        <v>1.55</v>
      </c>
      <c r="C58" s="1" t="s">
        <v>827</v>
      </c>
    </row>
    <row r="59" spans="1:3" x14ac:dyDescent="0.25">
      <c r="A59" s="1">
        <v>60</v>
      </c>
      <c r="B59" s="40">
        <v>3.05</v>
      </c>
      <c r="C59" s="1" t="s">
        <v>827</v>
      </c>
    </row>
    <row r="60" spans="1:3" x14ac:dyDescent="0.25">
      <c r="A60" s="1">
        <v>61</v>
      </c>
      <c r="B60" s="40">
        <v>40.909999999999997</v>
      </c>
      <c r="C60" s="1" t="s">
        <v>828</v>
      </c>
    </row>
    <row r="61" spans="1:3" x14ac:dyDescent="0.25">
      <c r="A61" s="1">
        <v>73</v>
      </c>
      <c r="B61" s="40">
        <v>1.82</v>
      </c>
      <c r="C61" s="1" t="s">
        <v>829</v>
      </c>
    </row>
    <row r="62" spans="1:3" x14ac:dyDescent="0.25">
      <c r="A62" s="1">
        <v>74</v>
      </c>
      <c r="B62" s="40">
        <v>4.16</v>
      </c>
      <c r="C62" s="1" t="s">
        <v>830</v>
      </c>
    </row>
    <row r="63" spans="1:3" x14ac:dyDescent="0.25">
      <c r="A63" s="1">
        <v>75</v>
      </c>
      <c r="B63" s="40">
        <v>40.6</v>
      </c>
      <c r="C63" s="1" t="s">
        <v>831</v>
      </c>
    </row>
    <row r="64" spans="1:3" x14ac:dyDescent="0.25">
      <c r="A64" s="1">
        <v>76</v>
      </c>
      <c r="B64" s="40">
        <v>4.83</v>
      </c>
      <c r="C64" s="1" t="s">
        <v>830</v>
      </c>
    </row>
    <row r="65" spans="1:3" x14ac:dyDescent="0.25">
      <c r="A65" s="1">
        <v>80</v>
      </c>
      <c r="B65" s="40">
        <v>159.6</v>
      </c>
      <c r="C65" s="1" t="s">
        <v>832</v>
      </c>
    </row>
    <row r="66" spans="1:3" x14ac:dyDescent="0.25">
      <c r="A66" s="1">
        <v>82</v>
      </c>
      <c r="B66" s="40">
        <v>231</v>
      </c>
      <c r="C66" s="1" t="s">
        <v>833</v>
      </c>
    </row>
    <row r="67" spans="1:3" x14ac:dyDescent="0.25">
      <c r="A67" s="1">
        <v>83</v>
      </c>
      <c r="B67" s="40">
        <v>966.16</v>
      </c>
      <c r="C67" s="1" t="s">
        <v>834</v>
      </c>
    </row>
    <row r="68" spans="1:3" x14ac:dyDescent="0.25">
      <c r="A68" s="1">
        <v>84</v>
      </c>
      <c r="B68" s="40">
        <v>710.66</v>
      </c>
      <c r="C68" s="1" t="s">
        <v>835</v>
      </c>
    </row>
    <row r="69" spans="1:3" x14ac:dyDescent="0.25">
      <c r="A69" s="1">
        <v>88</v>
      </c>
      <c r="B69" s="40">
        <v>110.04</v>
      </c>
      <c r="C69" s="1" t="s">
        <v>836</v>
      </c>
    </row>
    <row r="70" spans="1:3" x14ac:dyDescent="0.25">
      <c r="A70" s="1">
        <v>89</v>
      </c>
      <c r="B70" s="40">
        <v>99.65</v>
      </c>
      <c r="C70" s="1" t="s">
        <v>837</v>
      </c>
    </row>
    <row r="71" spans="1:3" x14ac:dyDescent="0.25">
      <c r="A71" s="1">
        <v>98</v>
      </c>
      <c r="B71" s="40">
        <v>16.86</v>
      </c>
      <c r="C71" s="1" t="s">
        <v>817</v>
      </c>
    </row>
    <row r="72" spans="1:3" x14ac:dyDescent="0.25">
      <c r="A72" s="1">
        <v>99</v>
      </c>
      <c r="B72" s="40">
        <v>10.46</v>
      </c>
      <c r="C72" s="1" t="s">
        <v>838</v>
      </c>
    </row>
    <row r="73" spans="1:3" x14ac:dyDescent="0.25">
      <c r="A73" s="1">
        <v>100</v>
      </c>
      <c r="B73" s="40">
        <v>73.430000000000007</v>
      </c>
      <c r="C73" s="1" t="s">
        <v>839</v>
      </c>
    </row>
    <row r="74" spans="1:3" x14ac:dyDescent="0.25">
      <c r="A74" s="1">
        <v>101</v>
      </c>
      <c r="B74" s="40">
        <v>76.78</v>
      </c>
      <c r="C74" s="1" t="s">
        <v>840</v>
      </c>
    </row>
    <row r="75" spans="1:3" x14ac:dyDescent="0.25">
      <c r="A75" s="1">
        <v>102</v>
      </c>
      <c r="B75" s="40">
        <v>61.02</v>
      </c>
      <c r="C75" s="1" t="s">
        <v>841</v>
      </c>
    </row>
    <row r="76" spans="1:3" x14ac:dyDescent="0.25">
      <c r="A76" s="1">
        <v>103</v>
      </c>
      <c r="B76" s="40">
        <v>70.28</v>
      </c>
      <c r="C76" s="1" t="s">
        <v>839</v>
      </c>
    </row>
    <row r="77" spans="1:3" x14ac:dyDescent="0.25">
      <c r="A77" s="1">
        <v>104</v>
      </c>
      <c r="B77" s="40">
        <v>44.75</v>
      </c>
      <c r="C77" s="1" t="s">
        <v>842</v>
      </c>
    </row>
    <row r="78" spans="1:3" x14ac:dyDescent="0.25">
      <c r="A78" s="1">
        <v>110</v>
      </c>
      <c r="B78" s="40">
        <v>3.83</v>
      </c>
      <c r="C78" s="1" t="s">
        <v>807</v>
      </c>
    </row>
    <row r="79" spans="1:3" x14ac:dyDescent="0.25">
      <c r="A79" s="1">
        <v>111</v>
      </c>
      <c r="B79" s="40">
        <v>10.99</v>
      </c>
      <c r="C79" s="1" t="s">
        <v>812</v>
      </c>
    </row>
    <row r="80" spans="1:3" x14ac:dyDescent="0.25">
      <c r="A80" s="1">
        <v>112</v>
      </c>
      <c r="B80" s="40">
        <v>1.37</v>
      </c>
      <c r="C80" s="1" t="s">
        <v>801</v>
      </c>
    </row>
    <row r="81" spans="1:3" x14ac:dyDescent="0.25">
      <c r="A81" s="1">
        <v>113</v>
      </c>
      <c r="B81" s="40">
        <v>3.87</v>
      </c>
      <c r="C81" s="1" t="s">
        <v>843</v>
      </c>
    </row>
    <row r="82" spans="1:3" x14ac:dyDescent="0.25">
      <c r="A82" s="1">
        <v>114</v>
      </c>
      <c r="B82" s="40">
        <v>2.57</v>
      </c>
      <c r="C82" s="1" t="s">
        <v>803</v>
      </c>
    </row>
    <row r="83" spans="1:3" x14ac:dyDescent="0.25">
      <c r="A83" s="1">
        <v>126</v>
      </c>
      <c r="B83" s="40">
        <v>8.44</v>
      </c>
      <c r="C83" s="1" t="s">
        <v>844</v>
      </c>
    </row>
    <row r="84" spans="1:3" x14ac:dyDescent="0.25">
      <c r="A84" s="1">
        <v>127</v>
      </c>
      <c r="B84" s="40">
        <v>280</v>
      </c>
      <c r="C84" s="1" t="s">
        <v>845</v>
      </c>
    </row>
    <row r="85" spans="1:3" x14ac:dyDescent="0.25">
      <c r="A85" s="1">
        <v>129</v>
      </c>
      <c r="B85" s="40">
        <v>44.78</v>
      </c>
      <c r="C85" s="1" t="s">
        <v>846</v>
      </c>
    </row>
    <row r="86" spans="1:3" x14ac:dyDescent="0.25">
      <c r="A86" s="1">
        <v>138</v>
      </c>
      <c r="B86" s="40">
        <v>33.6</v>
      </c>
      <c r="C86" s="1" t="s">
        <v>847</v>
      </c>
    </row>
    <row r="87" spans="1:3" x14ac:dyDescent="0.25">
      <c r="A87" s="1">
        <v>139</v>
      </c>
      <c r="B87" s="40">
        <v>1.54</v>
      </c>
      <c r="C87" s="1" t="s">
        <v>848</v>
      </c>
    </row>
    <row r="88" spans="1:3" x14ac:dyDescent="0.25">
      <c r="A88" s="1">
        <v>146</v>
      </c>
      <c r="B88" s="40">
        <v>6.44</v>
      </c>
      <c r="C88" s="1" t="s">
        <v>849</v>
      </c>
    </row>
    <row r="89" spans="1:3" x14ac:dyDescent="0.25">
      <c r="A89" s="1">
        <v>163</v>
      </c>
      <c r="B89" s="40">
        <v>6.99</v>
      </c>
      <c r="C89" s="1" t="s">
        <v>824</v>
      </c>
    </row>
    <row r="90" spans="1:3" x14ac:dyDescent="0.25">
      <c r="A90" s="1">
        <v>164</v>
      </c>
      <c r="B90" s="40">
        <v>9.7899999999999991</v>
      </c>
      <c r="C90" s="1" t="s">
        <v>824</v>
      </c>
    </row>
    <row r="91" spans="1:3" x14ac:dyDescent="0.25">
      <c r="A91" s="1">
        <v>165</v>
      </c>
      <c r="B91" s="40">
        <v>0.63</v>
      </c>
      <c r="C91" s="1" t="s">
        <v>809</v>
      </c>
    </row>
    <row r="92" spans="1:3" x14ac:dyDescent="0.25">
      <c r="A92" s="1">
        <v>166</v>
      </c>
      <c r="B92" s="40">
        <v>1.06</v>
      </c>
      <c r="C92" s="1" t="s">
        <v>803</v>
      </c>
    </row>
    <row r="93" spans="1:3" x14ac:dyDescent="0.25">
      <c r="A93" s="1">
        <v>167</v>
      </c>
      <c r="B93" s="40">
        <v>0.14000000000000001</v>
      </c>
      <c r="C93" s="1" t="s">
        <v>803</v>
      </c>
    </row>
    <row r="94" spans="1:3" x14ac:dyDescent="0.25">
      <c r="A94" s="1">
        <v>168</v>
      </c>
      <c r="B94" s="40">
        <v>0.22</v>
      </c>
      <c r="C94" s="1" t="s">
        <v>811</v>
      </c>
    </row>
    <row r="95" spans="1:3" x14ac:dyDescent="0.25">
      <c r="A95" s="1">
        <v>169</v>
      </c>
      <c r="B95" s="40">
        <v>2.52</v>
      </c>
      <c r="C95" s="1" t="s">
        <v>796</v>
      </c>
    </row>
    <row r="96" spans="1:3" x14ac:dyDescent="0.25">
      <c r="A96" s="1">
        <v>170</v>
      </c>
      <c r="B96" s="40">
        <v>0.61</v>
      </c>
      <c r="C96" s="1" t="s">
        <v>809</v>
      </c>
    </row>
    <row r="97" spans="1:3" x14ac:dyDescent="0.25">
      <c r="A97" s="1">
        <v>171</v>
      </c>
      <c r="B97" s="40">
        <v>5.47</v>
      </c>
      <c r="C97" s="1" t="s">
        <v>801</v>
      </c>
    </row>
    <row r="98" spans="1:3" x14ac:dyDescent="0.25">
      <c r="A98" s="1">
        <v>173</v>
      </c>
      <c r="B98" s="40">
        <v>12.53</v>
      </c>
      <c r="C98" s="1" t="s">
        <v>815</v>
      </c>
    </row>
    <row r="99" spans="1:3" x14ac:dyDescent="0.25">
      <c r="A99" s="1">
        <v>174</v>
      </c>
      <c r="B99" s="40">
        <v>5.69</v>
      </c>
      <c r="C99" s="1" t="s">
        <v>797</v>
      </c>
    </row>
    <row r="100" spans="1:3" x14ac:dyDescent="0.25">
      <c r="A100" s="1">
        <v>175</v>
      </c>
      <c r="B100" s="40">
        <v>5.32</v>
      </c>
      <c r="C100" s="1" t="s">
        <v>797</v>
      </c>
    </row>
    <row r="101" spans="1:3" x14ac:dyDescent="0.25">
      <c r="A101" s="1">
        <v>176</v>
      </c>
      <c r="B101" s="40">
        <v>12.51</v>
      </c>
      <c r="C101" s="1" t="s">
        <v>807</v>
      </c>
    </row>
    <row r="102" spans="1:3" x14ac:dyDescent="0.25">
      <c r="A102" s="1">
        <v>177</v>
      </c>
      <c r="B102" s="40">
        <v>10.98</v>
      </c>
      <c r="C102" s="1" t="s">
        <v>796</v>
      </c>
    </row>
    <row r="103" spans="1:3" x14ac:dyDescent="0.25">
      <c r="A103" s="1">
        <v>178</v>
      </c>
      <c r="B103" s="40">
        <v>6.98</v>
      </c>
      <c r="C103" s="1" t="s">
        <v>807</v>
      </c>
    </row>
    <row r="104" spans="1:3" x14ac:dyDescent="0.25">
      <c r="A104" s="1">
        <v>179</v>
      </c>
      <c r="B104" s="40">
        <v>12.25</v>
      </c>
      <c r="C104" s="1" t="s">
        <v>796</v>
      </c>
    </row>
    <row r="105" spans="1:3" x14ac:dyDescent="0.25">
      <c r="A105" s="1">
        <v>180</v>
      </c>
      <c r="B105" s="40">
        <v>14.38</v>
      </c>
      <c r="C105" s="1" t="s">
        <v>807</v>
      </c>
    </row>
    <row r="106" spans="1:3" x14ac:dyDescent="0.25">
      <c r="A106" s="1">
        <v>181</v>
      </c>
      <c r="B106" s="40">
        <v>2.25</v>
      </c>
      <c r="C106" s="1" t="s">
        <v>850</v>
      </c>
    </row>
    <row r="107" spans="1:3" x14ac:dyDescent="0.25">
      <c r="A107" s="1">
        <v>182</v>
      </c>
      <c r="B107" s="40">
        <v>2.2400000000000002</v>
      </c>
      <c r="C107" s="1" t="s">
        <v>803</v>
      </c>
    </row>
    <row r="108" spans="1:3" x14ac:dyDescent="0.25">
      <c r="A108" s="1">
        <v>183</v>
      </c>
      <c r="B108" s="40">
        <v>2.16</v>
      </c>
      <c r="C108" s="1" t="s">
        <v>807</v>
      </c>
    </row>
    <row r="109" spans="1:3" x14ac:dyDescent="0.25">
      <c r="A109" s="1">
        <v>184</v>
      </c>
      <c r="B109" s="40">
        <v>12.16</v>
      </c>
      <c r="C109" s="1" t="s">
        <v>796</v>
      </c>
    </row>
    <row r="110" spans="1:3" x14ac:dyDescent="0.25">
      <c r="A110" s="1">
        <v>185</v>
      </c>
      <c r="B110" s="40">
        <v>2.27</v>
      </c>
      <c r="C110" s="1" t="s">
        <v>814</v>
      </c>
    </row>
    <row r="111" spans="1:3" x14ac:dyDescent="0.25">
      <c r="A111" s="1">
        <v>186</v>
      </c>
      <c r="B111" s="40">
        <v>50.4</v>
      </c>
      <c r="C111" s="1" t="s">
        <v>797</v>
      </c>
    </row>
    <row r="112" spans="1:3" x14ac:dyDescent="0.25">
      <c r="A112" s="1">
        <v>187</v>
      </c>
      <c r="B112" s="40">
        <v>15.56</v>
      </c>
      <c r="C112" s="1" t="s">
        <v>850</v>
      </c>
    </row>
    <row r="113" spans="1:3" x14ac:dyDescent="0.25">
      <c r="A113" s="1">
        <v>188</v>
      </c>
      <c r="B113" s="40">
        <v>0.59</v>
      </c>
      <c r="C113" s="1" t="s">
        <v>823</v>
      </c>
    </row>
    <row r="114" spans="1:3" x14ac:dyDescent="0.25">
      <c r="A114" s="1">
        <v>189</v>
      </c>
      <c r="B114" s="40">
        <v>2.1</v>
      </c>
      <c r="C114" s="1" t="s">
        <v>807</v>
      </c>
    </row>
    <row r="115" spans="1:3" x14ac:dyDescent="0.25">
      <c r="A115" s="1">
        <v>190</v>
      </c>
      <c r="B115" s="40">
        <v>2.4300000000000002</v>
      </c>
      <c r="C115" s="1" t="s">
        <v>850</v>
      </c>
    </row>
    <row r="116" spans="1:3" x14ac:dyDescent="0.25">
      <c r="A116" s="1">
        <v>191</v>
      </c>
      <c r="B116" s="40">
        <v>45.64</v>
      </c>
      <c r="C116" s="1" t="s">
        <v>851</v>
      </c>
    </row>
    <row r="117" spans="1:3" x14ac:dyDescent="0.25">
      <c r="A117" s="1">
        <v>192</v>
      </c>
      <c r="B117" s="40">
        <v>139.97</v>
      </c>
      <c r="C117" s="1" t="s">
        <v>852</v>
      </c>
    </row>
    <row r="118" spans="1:3" x14ac:dyDescent="0.25">
      <c r="A118" s="1">
        <v>193</v>
      </c>
      <c r="B118" s="40">
        <v>120.71</v>
      </c>
      <c r="C118" s="1" t="s">
        <v>820</v>
      </c>
    </row>
    <row r="119" spans="1:3" x14ac:dyDescent="0.25">
      <c r="A119" s="1">
        <v>194</v>
      </c>
      <c r="B119" s="40">
        <v>34.72</v>
      </c>
      <c r="C119" s="1" t="s">
        <v>812</v>
      </c>
    </row>
    <row r="120" spans="1:3" x14ac:dyDescent="0.25">
      <c r="A120" s="1">
        <v>195</v>
      </c>
      <c r="B120" s="40">
        <v>9.16</v>
      </c>
      <c r="C120" s="1" t="s">
        <v>853</v>
      </c>
    </row>
    <row r="121" spans="1:3" x14ac:dyDescent="0.25">
      <c r="A121" s="1">
        <v>196</v>
      </c>
      <c r="B121" s="40">
        <v>20.86</v>
      </c>
      <c r="C121" s="1" t="s">
        <v>854</v>
      </c>
    </row>
    <row r="122" spans="1:3" x14ac:dyDescent="0.25">
      <c r="A122" s="1">
        <v>197</v>
      </c>
      <c r="B122" s="40">
        <v>9.65</v>
      </c>
      <c r="C122" s="1" t="s">
        <v>854</v>
      </c>
    </row>
    <row r="123" spans="1:3" x14ac:dyDescent="0.25">
      <c r="A123" s="1">
        <v>198</v>
      </c>
      <c r="B123" s="40">
        <v>0.2</v>
      </c>
      <c r="C123" s="1" t="s">
        <v>820</v>
      </c>
    </row>
    <row r="124" spans="1:3" x14ac:dyDescent="0.25">
      <c r="A124" s="1">
        <v>199</v>
      </c>
      <c r="B124" s="40">
        <v>7.78</v>
      </c>
      <c r="C124" s="1" t="s">
        <v>801</v>
      </c>
    </row>
    <row r="125" spans="1:3" x14ac:dyDescent="0.25">
      <c r="A125" s="1">
        <v>200</v>
      </c>
      <c r="B125" s="40">
        <v>10.71</v>
      </c>
      <c r="C125" s="1" t="s">
        <v>803</v>
      </c>
    </row>
    <row r="126" spans="1:3" x14ac:dyDescent="0.25">
      <c r="A126" s="1">
        <v>201</v>
      </c>
      <c r="B126" s="40">
        <v>235.48</v>
      </c>
      <c r="C126" s="1" t="s">
        <v>855</v>
      </c>
    </row>
    <row r="127" spans="1:3" x14ac:dyDescent="0.25">
      <c r="A127" s="1">
        <v>202</v>
      </c>
      <c r="B127" s="40">
        <v>158.66999999999999</v>
      </c>
      <c r="C127" s="1" t="s">
        <v>856</v>
      </c>
    </row>
    <row r="128" spans="1:3" x14ac:dyDescent="0.25">
      <c r="A128" s="1">
        <v>206</v>
      </c>
      <c r="B128" s="40">
        <v>6.05</v>
      </c>
      <c r="C128" s="1" t="s">
        <v>857</v>
      </c>
    </row>
    <row r="129" spans="1:3" x14ac:dyDescent="0.25">
      <c r="A129" s="1">
        <v>207</v>
      </c>
      <c r="B129" s="40">
        <v>46.31</v>
      </c>
      <c r="C129" s="1" t="s">
        <v>795</v>
      </c>
    </row>
    <row r="130" spans="1:3" x14ac:dyDescent="0.25">
      <c r="A130" s="1">
        <v>208</v>
      </c>
      <c r="B130" s="40">
        <v>8.1199999999999992</v>
      </c>
      <c r="C130" s="1" t="s">
        <v>819</v>
      </c>
    </row>
    <row r="131" spans="1:3" x14ac:dyDescent="0.25">
      <c r="A131" s="1">
        <v>209</v>
      </c>
      <c r="B131" s="40">
        <v>30.8</v>
      </c>
      <c r="C131" s="1" t="s">
        <v>797</v>
      </c>
    </row>
    <row r="132" spans="1:3" x14ac:dyDescent="0.25">
      <c r="A132" s="1">
        <v>210</v>
      </c>
      <c r="B132" s="40">
        <v>3.05</v>
      </c>
      <c r="C132" s="1" t="s">
        <v>820</v>
      </c>
    </row>
    <row r="133" spans="1:3" x14ac:dyDescent="0.25">
      <c r="A133" s="1">
        <v>211</v>
      </c>
      <c r="B133" s="40">
        <v>2.64</v>
      </c>
      <c r="C133" s="1" t="s">
        <v>858</v>
      </c>
    </row>
    <row r="134" spans="1:3" x14ac:dyDescent="0.25">
      <c r="A134" s="1">
        <v>212</v>
      </c>
      <c r="B134" s="40">
        <v>1.01</v>
      </c>
      <c r="C134" s="1" t="s">
        <v>858</v>
      </c>
    </row>
    <row r="135" spans="1:3" x14ac:dyDescent="0.25">
      <c r="A135" s="1">
        <v>213</v>
      </c>
      <c r="B135" s="40">
        <v>4.0599999999999996</v>
      </c>
      <c r="C135" s="1" t="s">
        <v>801</v>
      </c>
    </row>
    <row r="136" spans="1:3" x14ac:dyDescent="0.25">
      <c r="A136" s="1">
        <v>214</v>
      </c>
      <c r="B136" s="40">
        <v>6.45</v>
      </c>
      <c r="C136" s="1" t="s">
        <v>812</v>
      </c>
    </row>
    <row r="137" spans="1:3" x14ac:dyDescent="0.25">
      <c r="A137" s="1">
        <v>215</v>
      </c>
      <c r="B137" s="40">
        <v>2.85</v>
      </c>
      <c r="C137" s="1" t="s">
        <v>859</v>
      </c>
    </row>
    <row r="138" spans="1:3" x14ac:dyDescent="0.25">
      <c r="A138" s="1">
        <v>216</v>
      </c>
      <c r="B138" s="40">
        <v>3.34</v>
      </c>
      <c r="C138" s="1" t="s">
        <v>823</v>
      </c>
    </row>
    <row r="139" spans="1:3" x14ac:dyDescent="0.25">
      <c r="A139" s="1">
        <v>217</v>
      </c>
      <c r="B139" s="40">
        <v>1.24</v>
      </c>
      <c r="C139" s="1" t="s">
        <v>803</v>
      </c>
    </row>
    <row r="140" spans="1:3" x14ac:dyDescent="0.25">
      <c r="A140" s="1">
        <v>226</v>
      </c>
      <c r="B140" s="40">
        <v>157.76</v>
      </c>
      <c r="C140" s="1" t="s">
        <v>833</v>
      </c>
    </row>
    <row r="141" spans="1:3" x14ac:dyDescent="0.25">
      <c r="A141" s="1">
        <v>227</v>
      </c>
      <c r="B141" s="40">
        <v>2.5299999999999998</v>
      </c>
      <c r="C141" s="1" t="s">
        <v>860</v>
      </c>
    </row>
    <row r="142" spans="1:3" x14ac:dyDescent="0.25">
      <c r="A142" s="1">
        <v>228</v>
      </c>
      <c r="B142" s="40">
        <v>1.91</v>
      </c>
      <c r="C142" s="1" t="s">
        <v>860</v>
      </c>
    </row>
    <row r="143" spans="1:3" x14ac:dyDescent="0.25">
      <c r="A143" s="1">
        <v>229</v>
      </c>
      <c r="B143" s="40">
        <v>2.0299999999999998</v>
      </c>
      <c r="C143" s="1" t="s">
        <v>860</v>
      </c>
    </row>
    <row r="144" spans="1:3" x14ac:dyDescent="0.25">
      <c r="A144" s="1">
        <v>230</v>
      </c>
      <c r="B144" s="40">
        <v>2.7</v>
      </c>
      <c r="C144" s="1" t="s">
        <v>860</v>
      </c>
    </row>
    <row r="145" spans="1:3" x14ac:dyDescent="0.25">
      <c r="A145" s="1">
        <v>231</v>
      </c>
      <c r="B145" s="40">
        <v>2.99</v>
      </c>
      <c r="C145" s="1" t="s">
        <v>860</v>
      </c>
    </row>
    <row r="146" spans="1:3" x14ac:dyDescent="0.25">
      <c r="A146" s="1">
        <v>232</v>
      </c>
      <c r="B146" s="40">
        <v>1.92</v>
      </c>
      <c r="C146" s="1" t="s">
        <v>860</v>
      </c>
    </row>
    <row r="147" spans="1:3" x14ac:dyDescent="0.25">
      <c r="A147" s="1">
        <v>233</v>
      </c>
      <c r="B147" s="40">
        <v>1.87</v>
      </c>
      <c r="C147" s="1" t="s">
        <v>860</v>
      </c>
    </row>
    <row r="148" spans="1:3" x14ac:dyDescent="0.25">
      <c r="A148" s="1">
        <v>234</v>
      </c>
      <c r="B148" s="40">
        <v>2.17</v>
      </c>
      <c r="C148" s="1" t="s">
        <v>860</v>
      </c>
    </row>
    <row r="149" spans="1:3" x14ac:dyDescent="0.25">
      <c r="A149" s="1">
        <v>235</v>
      </c>
      <c r="B149" s="40">
        <v>4.41</v>
      </c>
      <c r="C149" s="1" t="s">
        <v>861</v>
      </c>
    </row>
    <row r="150" spans="1:3" x14ac:dyDescent="0.25">
      <c r="A150" s="1">
        <v>236</v>
      </c>
      <c r="B150" s="40">
        <v>1.72</v>
      </c>
      <c r="C150" s="1" t="s">
        <v>861</v>
      </c>
    </row>
    <row r="151" spans="1:3" x14ac:dyDescent="0.25">
      <c r="A151" s="1">
        <v>237</v>
      </c>
      <c r="B151" s="40">
        <v>1.61</v>
      </c>
      <c r="C151" s="1" t="s">
        <v>861</v>
      </c>
    </row>
    <row r="152" spans="1:3" x14ac:dyDescent="0.25">
      <c r="A152" s="1">
        <v>238</v>
      </c>
      <c r="B152" s="40">
        <v>1.69</v>
      </c>
      <c r="C152" s="1" t="s">
        <v>861</v>
      </c>
    </row>
    <row r="153" spans="1:3" x14ac:dyDescent="0.25">
      <c r="A153" s="1">
        <v>240</v>
      </c>
      <c r="B153" s="40">
        <v>6.53</v>
      </c>
      <c r="C153" s="1" t="s">
        <v>861</v>
      </c>
    </row>
    <row r="154" spans="1:3" x14ac:dyDescent="0.25">
      <c r="A154" s="1">
        <v>241</v>
      </c>
      <c r="B154" s="40">
        <v>3.28</v>
      </c>
      <c r="C154" s="1" t="s">
        <v>862</v>
      </c>
    </row>
    <row r="155" spans="1:3" x14ac:dyDescent="0.25">
      <c r="A155" s="1">
        <v>242</v>
      </c>
      <c r="B155" s="40">
        <v>4.9800000000000004</v>
      </c>
      <c r="C155" s="1" t="s">
        <v>845</v>
      </c>
    </row>
    <row r="156" spans="1:3" x14ac:dyDescent="0.25">
      <c r="A156" s="1">
        <v>245</v>
      </c>
      <c r="B156" s="40">
        <v>17.84</v>
      </c>
      <c r="C156" s="1" t="s">
        <v>841</v>
      </c>
    </row>
    <row r="157" spans="1:3" x14ac:dyDescent="0.25">
      <c r="A157" s="1">
        <v>246</v>
      </c>
      <c r="B157" s="40">
        <v>0.96</v>
      </c>
      <c r="C157" s="1" t="s">
        <v>827</v>
      </c>
    </row>
    <row r="158" spans="1:3" x14ac:dyDescent="0.25">
      <c r="A158" s="1">
        <v>247</v>
      </c>
      <c r="B158" s="40">
        <v>1.22</v>
      </c>
      <c r="C158" s="1" t="s">
        <v>827</v>
      </c>
    </row>
    <row r="159" spans="1:3" x14ac:dyDescent="0.25">
      <c r="A159" s="1">
        <v>251</v>
      </c>
      <c r="B159" s="40">
        <v>0.77</v>
      </c>
      <c r="C159" s="1" t="s">
        <v>863</v>
      </c>
    </row>
    <row r="160" spans="1:3" x14ac:dyDescent="0.25">
      <c r="A160" s="1">
        <v>304</v>
      </c>
      <c r="B160" s="40">
        <v>188.55</v>
      </c>
      <c r="C160" s="1" t="s">
        <v>864</v>
      </c>
    </row>
    <row r="161" spans="1:3" x14ac:dyDescent="0.25">
      <c r="A161" s="1">
        <v>404</v>
      </c>
      <c r="B161" s="40">
        <v>44.02</v>
      </c>
      <c r="C161" s="1" t="s">
        <v>796</v>
      </c>
    </row>
    <row r="162" spans="1:3" x14ac:dyDescent="0.25">
      <c r="A162" s="1">
        <v>405</v>
      </c>
      <c r="B162" s="40">
        <v>23.83</v>
      </c>
      <c r="C162" s="1" t="s">
        <v>797</v>
      </c>
    </row>
    <row r="163" spans="1:3" x14ac:dyDescent="0.25">
      <c r="A163" s="1">
        <v>406</v>
      </c>
      <c r="B163" s="40">
        <v>18.53</v>
      </c>
      <c r="C163" s="1" t="s">
        <v>802</v>
      </c>
    </row>
    <row r="164" spans="1:3" x14ac:dyDescent="0.25">
      <c r="A164" s="1">
        <v>407</v>
      </c>
      <c r="B164" s="40">
        <v>0.93</v>
      </c>
      <c r="C164" s="1" t="s">
        <v>804</v>
      </c>
    </row>
    <row r="165" spans="1:3" x14ac:dyDescent="0.25">
      <c r="A165" s="1">
        <v>409</v>
      </c>
      <c r="B165" s="40">
        <v>8.26</v>
      </c>
      <c r="C165" s="1" t="s">
        <v>807</v>
      </c>
    </row>
    <row r="166" spans="1:3" x14ac:dyDescent="0.25">
      <c r="A166" s="1">
        <v>410</v>
      </c>
      <c r="B166" s="40">
        <v>19.46</v>
      </c>
      <c r="C166" s="1" t="s">
        <v>807</v>
      </c>
    </row>
    <row r="167" spans="1:3" x14ac:dyDescent="0.25">
      <c r="A167" s="1">
        <v>411</v>
      </c>
      <c r="B167" s="40">
        <v>4.34</v>
      </c>
      <c r="C167" s="1" t="s">
        <v>807</v>
      </c>
    </row>
    <row r="168" spans="1:3" x14ac:dyDescent="0.25">
      <c r="A168" s="1">
        <v>412</v>
      </c>
      <c r="B168" s="40">
        <v>1.4</v>
      </c>
      <c r="C168" s="1" t="s">
        <v>809</v>
      </c>
    </row>
    <row r="169" spans="1:3" x14ac:dyDescent="0.25">
      <c r="A169" s="1">
        <v>413</v>
      </c>
      <c r="B169" s="40">
        <v>8.39</v>
      </c>
      <c r="C169" s="1" t="s">
        <v>795</v>
      </c>
    </row>
    <row r="170" spans="1:3" x14ac:dyDescent="0.25">
      <c r="A170" s="1">
        <v>414</v>
      </c>
      <c r="B170" s="40">
        <v>19.46</v>
      </c>
      <c r="C170" s="1" t="s">
        <v>810</v>
      </c>
    </row>
    <row r="171" spans="1:3" x14ac:dyDescent="0.25">
      <c r="A171" s="1">
        <v>415</v>
      </c>
      <c r="B171" s="40">
        <v>0.93</v>
      </c>
      <c r="C171" s="1" t="s">
        <v>802</v>
      </c>
    </row>
    <row r="172" spans="1:3" x14ac:dyDescent="0.25">
      <c r="A172" s="1">
        <v>416</v>
      </c>
      <c r="B172" s="40">
        <v>1.26</v>
      </c>
      <c r="C172" s="1" t="s">
        <v>809</v>
      </c>
    </row>
    <row r="173" spans="1:3" x14ac:dyDescent="0.25">
      <c r="A173" s="1">
        <v>417</v>
      </c>
      <c r="B173" s="40">
        <v>1.4</v>
      </c>
      <c r="C173" s="1" t="s">
        <v>809</v>
      </c>
    </row>
    <row r="174" spans="1:3" x14ac:dyDescent="0.25">
      <c r="A174" s="1">
        <v>418</v>
      </c>
      <c r="B174" s="40">
        <v>0.34</v>
      </c>
      <c r="C174" s="1" t="s">
        <v>811</v>
      </c>
    </row>
    <row r="175" spans="1:3" x14ac:dyDescent="0.25">
      <c r="A175" s="1">
        <v>419</v>
      </c>
      <c r="B175" s="40">
        <v>0.92</v>
      </c>
      <c r="C175" s="1" t="s">
        <v>805</v>
      </c>
    </row>
    <row r="176" spans="1:3" x14ac:dyDescent="0.25">
      <c r="A176" s="1">
        <v>420</v>
      </c>
      <c r="B176" s="40">
        <v>16.8</v>
      </c>
      <c r="C176" s="1" t="s">
        <v>813</v>
      </c>
    </row>
    <row r="177" spans="1:3" x14ac:dyDescent="0.25">
      <c r="A177" s="1">
        <v>422</v>
      </c>
      <c r="B177" s="40">
        <v>17.75</v>
      </c>
      <c r="C177" s="1" t="s">
        <v>796</v>
      </c>
    </row>
    <row r="178" spans="1:3" x14ac:dyDescent="0.25">
      <c r="A178" s="1">
        <v>423</v>
      </c>
      <c r="B178" s="40">
        <v>2.52</v>
      </c>
      <c r="C178" s="1" t="s">
        <v>807</v>
      </c>
    </row>
    <row r="179" spans="1:3" x14ac:dyDescent="0.25">
      <c r="A179" s="1">
        <v>424</v>
      </c>
      <c r="B179" s="40">
        <v>2.79</v>
      </c>
      <c r="C179" s="1" t="s">
        <v>814</v>
      </c>
    </row>
    <row r="180" spans="1:3" x14ac:dyDescent="0.25">
      <c r="A180" s="1">
        <v>425</v>
      </c>
      <c r="B180" s="40">
        <v>19.16</v>
      </c>
      <c r="C180" s="1" t="s">
        <v>797</v>
      </c>
    </row>
    <row r="181" spans="1:3" x14ac:dyDescent="0.25">
      <c r="A181" s="1">
        <v>426</v>
      </c>
      <c r="B181" s="40">
        <v>30.75</v>
      </c>
      <c r="C181" s="1" t="s">
        <v>797</v>
      </c>
    </row>
    <row r="182" spans="1:3" x14ac:dyDescent="0.25">
      <c r="A182" s="1">
        <v>427</v>
      </c>
      <c r="B182" s="40">
        <v>2.42</v>
      </c>
      <c r="C182" s="1" t="s">
        <v>801</v>
      </c>
    </row>
    <row r="183" spans="1:3" x14ac:dyDescent="0.25">
      <c r="A183" s="1">
        <v>428</v>
      </c>
      <c r="B183" s="40">
        <v>15.26</v>
      </c>
      <c r="C183" s="1" t="s">
        <v>816</v>
      </c>
    </row>
    <row r="184" spans="1:3" x14ac:dyDescent="0.25">
      <c r="A184" s="1">
        <v>429</v>
      </c>
      <c r="B184" s="40">
        <v>2.19</v>
      </c>
      <c r="C184" s="1" t="s">
        <v>817</v>
      </c>
    </row>
    <row r="185" spans="1:3" x14ac:dyDescent="0.25">
      <c r="A185" s="1">
        <v>430</v>
      </c>
      <c r="B185" s="40">
        <v>10.6</v>
      </c>
      <c r="C185" s="1" t="s">
        <v>808</v>
      </c>
    </row>
    <row r="186" spans="1:3" x14ac:dyDescent="0.25">
      <c r="A186" s="1">
        <v>431</v>
      </c>
      <c r="B186" s="40">
        <v>0.89</v>
      </c>
      <c r="C186" s="1" t="s">
        <v>818</v>
      </c>
    </row>
    <row r="187" spans="1:3" x14ac:dyDescent="0.25">
      <c r="A187" s="1">
        <v>432</v>
      </c>
      <c r="B187" s="40">
        <v>0.53</v>
      </c>
      <c r="C187" s="1" t="s">
        <v>803</v>
      </c>
    </row>
    <row r="188" spans="1:3" x14ac:dyDescent="0.25">
      <c r="A188" s="1">
        <v>433</v>
      </c>
      <c r="B188" s="40">
        <v>0.78</v>
      </c>
      <c r="C188" s="1" t="s">
        <v>819</v>
      </c>
    </row>
    <row r="189" spans="1:3" x14ac:dyDescent="0.25">
      <c r="A189" s="1">
        <v>434</v>
      </c>
      <c r="B189" s="40">
        <v>0.78</v>
      </c>
      <c r="C189" s="1" t="s">
        <v>820</v>
      </c>
    </row>
    <row r="190" spans="1:3" x14ac:dyDescent="0.25">
      <c r="A190" s="1">
        <v>435</v>
      </c>
      <c r="B190" s="40">
        <v>0.38</v>
      </c>
      <c r="C190" s="1" t="s">
        <v>821</v>
      </c>
    </row>
    <row r="191" spans="1:3" x14ac:dyDescent="0.25">
      <c r="A191" s="1">
        <v>436</v>
      </c>
      <c r="B191" s="40">
        <v>4.0599999999999996</v>
      </c>
      <c r="C191" s="1" t="s">
        <v>822</v>
      </c>
    </row>
    <row r="192" spans="1:3" x14ac:dyDescent="0.25">
      <c r="A192" s="1">
        <v>437</v>
      </c>
      <c r="B192" s="40">
        <v>17.48</v>
      </c>
      <c r="C192" s="1" t="s">
        <v>797</v>
      </c>
    </row>
    <row r="193" spans="1:3" x14ac:dyDescent="0.25">
      <c r="A193" s="1">
        <v>438</v>
      </c>
      <c r="B193" s="40">
        <v>0.31</v>
      </c>
      <c r="C193" s="1" t="s">
        <v>796</v>
      </c>
    </row>
    <row r="194" spans="1:3" x14ac:dyDescent="0.25">
      <c r="A194" s="1">
        <v>439</v>
      </c>
      <c r="B194" s="40">
        <v>2.2400000000000002</v>
      </c>
      <c r="C194" s="1" t="s">
        <v>812</v>
      </c>
    </row>
    <row r="195" spans="1:3" x14ac:dyDescent="0.25">
      <c r="A195" s="1">
        <v>440</v>
      </c>
      <c r="B195" s="40">
        <v>8.39</v>
      </c>
      <c r="C195" s="1" t="s">
        <v>824</v>
      </c>
    </row>
    <row r="196" spans="1:3" x14ac:dyDescent="0.25">
      <c r="A196" s="1">
        <v>441</v>
      </c>
      <c r="B196" s="40">
        <v>8.39</v>
      </c>
      <c r="C196" s="1" t="s">
        <v>825</v>
      </c>
    </row>
    <row r="197" spans="1:3" x14ac:dyDescent="0.25">
      <c r="A197" s="1">
        <v>443</v>
      </c>
      <c r="B197" s="40">
        <v>1.55</v>
      </c>
      <c r="C197" s="1" t="s">
        <v>827</v>
      </c>
    </row>
    <row r="198" spans="1:3" x14ac:dyDescent="0.25">
      <c r="A198" s="1">
        <v>445</v>
      </c>
      <c r="B198" s="40">
        <v>9.98</v>
      </c>
      <c r="C198" s="1" t="s">
        <v>865</v>
      </c>
    </row>
    <row r="199" spans="1:3" x14ac:dyDescent="0.25">
      <c r="A199" s="1">
        <v>447</v>
      </c>
      <c r="B199" s="40">
        <v>1.92</v>
      </c>
      <c r="C199" s="1" t="s">
        <v>829</v>
      </c>
    </row>
    <row r="200" spans="1:3" x14ac:dyDescent="0.25">
      <c r="A200" s="1">
        <v>448</v>
      </c>
      <c r="B200" s="40">
        <v>4.16</v>
      </c>
      <c r="C200" s="1" t="s">
        <v>830</v>
      </c>
    </row>
    <row r="201" spans="1:3" x14ac:dyDescent="0.25">
      <c r="A201" s="1">
        <v>449</v>
      </c>
      <c r="B201" s="40">
        <v>40.6</v>
      </c>
      <c r="C201" s="1" t="s">
        <v>831</v>
      </c>
    </row>
    <row r="202" spans="1:3" x14ac:dyDescent="0.25">
      <c r="A202" s="1">
        <v>450</v>
      </c>
      <c r="B202" s="40">
        <v>4.83</v>
      </c>
      <c r="C202" s="1" t="s">
        <v>830</v>
      </c>
    </row>
    <row r="203" spans="1:3" x14ac:dyDescent="0.25">
      <c r="A203" s="1">
        <v>454</v>
      </c>
      <c r="B203" s="40">
        <v>159.6</v>
      </c>
      <c r="C203" s="1" t="s">
        <v>832</v>
      </c>
    </row>
    <row r="204" spans="1:3" x14ac:dyDescent="0.25">
      <c r="A204" s="1">
        <v>456</v>
      </c>
      <c r="B204" s="40">
        <v>175.65</v>
      </c>
      <c r="C204" s="1" t="s">
        <v>833</v>
      </c>
    </row>
    <row r="205" spans="1:3" x14ac:dyDescent="0.25">
      <c r="A205" s="1">
        <v>457</v>
      </c>
      <c r="B205" s="40">
        <v>966.16</v>
      </c>
      <c r="C205" s="1" t="s">
        <v>834</v>
      </c>
    </row>
    <row r="206" spans="1:3" x14ac:dyDescent="0.25">
      <c r="A206" s="1">
        <v>458</v>
      </c>
      <c r="B206" s="40">
        <v>710.66</v>
      </c>
      <c r="C206" s="1" t="s">
        <v>835</v>
      </c>
    </row>
    <row r="207" spans="1:3" x14ac:dyDescent="0.25">
      <c r="A207" s="1">
        <v>461</v>
      </c>
      <c r="B207" s="40">
        <v>110.04</v>
      </c>
      <c r="C207" s="1" t="s">
        <v>836</v>
      </c>
    </row>
    <row r="208" spans="1:3" x14ac:dyDescent="0.25">
      <c r="A208" s="1">
        <v>462</v>
      </c>
      <c r="B208" s="40">
        <v>99.65</v>
      </c>
      <c r="C208" s="1" t="s">
        <v>837</v>
      </c>
    </row>
    <row r="209" spans="1:3" x14ac:dyDescent="0.25">
      <c r="A209" s="1">
        <v>466</v>
      </c>
      <c r="B209" s="40">
        <v>10.46</v>
      </c>
      <c r="C209" s="1" t="s">
        <v>838</v>
      </c>
    </row>
    <row r="210" spans="1:3" x14ac:dyDescent="0.25">
      <c r="A210" s="1">
        <v>469</v>
      </c>
      <c r="B210" s="40">
        <v>3.83</v>
      </c>
      <c r="C210" s="1" t="s">
        <v>807</v>
      </c>
    </row>
    <row r="211" spans="1:3" x14ac:dyDescent="0.25">
      <c r="A211" s="1">
        <v>470</v>
      </c>
      <c r="B211" s="40">
        <v>10.99</v>
      </c>
      <c r="C211" s="1" t="s">
        <v>812</v>
      </c>
    </row>
    <row r="212" spans="1:3" x14ac:dyDescent="0.25">
      <c r="A212" s="1">
        <v>483</v>
      </c>
      <c r="B212" s="40">
        <v>280</v>
      </c>
      <c r="C212" s="1" t="s">
        <v>845</v>
      </c>
    </row>
    <row r="213" spans="1:3" x14ac:dyDescent="0.25">
      <c r="A213" s="1">
        <v>491</v>
      </c>
      <c r="B213" s="40">
        <v>33.6</v>
      </c>
      <c r="C213" s="1" t="s">
        <v>847</v>
      </c>
    </row>
    <row r="214" spans="1:3" x14ac:dyDescent="0.25">
      <c r="A214" s="1">
        <v>492</v>
      </c>
      <c r="B214" s="40">
        <v>1.54</v>
      </c>
      <c r="C214" s="1" t="s">
        <v>848</v>
      </c>
    </row>
    <row r="215" spans="1:3" x14ac:dyDescent="0.25">
      <c r="A215" s="1">
        <v>511</v>
      </c>
      <c r="B215" s="40">
        <v>1.06</v>
      </c>
      <c r="C215" s="1" t="s">
        <v>803</v>
      </c>
    </row>
    <row r="216" spans="1:3" x14ac:dyDescent="0.25">
      <c r="A216" s="1">
        <v>512</v>
      </c>
      <c r="B216" s="40">
        <v>0.19</v>
      </c>
      <c r="C216" s="1" t="s">
        <v>803</v>
      </c>
    </row>
    <row r="217" spans="1:3" x14ac:dyDescent="0.25">
      <c r="A217" s="1">
        <v>513</v>
      </c>
      <c r="B217" s="40">
        <v>0.22</v>
      </c>
      <c r="C217" s="1" t="s">
        <v>811</v>
      </c>
    </row>
    <row r="218" spans="1:3" x14ac:dyDescent="0.25">
      <c r="A218" s="1">
        <v>514</v>
      </c>
      <c r="B218" s="40">
        <v>2.52</v>
      </c>
      <c r="C218" s="1" t="s">
        <v>796</v>
      </c>
    </row>
    <row r="219" spans="1:3" x14ac:dyDescent="0.25">
      <c r="A219" s="1">
        <v>515</v>
      </c>
      <c r="B219" s="40">
        <v>5.47</v>
      </c>
      <c r="C219" s="1" t="s">
        <v>801</v>
      </c>
    </row>
    <row r="220" spans="1:3" x14ac:dyDescent="0.25">
      <c r="A220" s="1">
        <v>517</v>
      </c>
      <c r="B220" s="40">
        <v>6.98</v>
      </c>
      <c r="C220" s="1" t="s">
        <v>807</v>
      </c>
    </row>
    <row r="221" spans="1:3" x14ac:dyDescent="0.25">
      <c r="A221" s="1">
        <v>518</v>
      </c>
      <c r="B221" s="40">
        <v>12.25</v>
      </c>
      <c r="C221" s="1" t="s">
        <v>796</v>
      </c>
    </row>
    <row r="222" spans="1:3" x14ac:dyDescent="0.25">
      <c r="A222" s="1">
        <v>519</v>
      </c>
      <c r="B222" s="40">
        <v>14.38</v>
      </c>
      <c r="C222" s="1" t="s">
        <v>807</v>
      </c>
    </row>
    <row r="223" spans="1:3" x14ac:dyDescent="0.25">
      <c r="A223" s="1">
        <v>520</v>
      </c>
      <c r="B223" s="40">
        <v>2.25</v>
      </c>
      <c r="C223" s="1" t="s">
        <v>850</v>
      </c>
    </row>
    <row r="224" spans="1:3" x14ac:dyDescent="0.25">
      <c r="A224" s="1">
        <v>521</v>
      </c>
      <c r="B224" s="40">
        <v>2.2400000000000002</v>
      </c>
      <c r="C224" s="1" t="s">
        <v>803</v>
      </c>
    </row>
    <row r="225" spans="1:3" x14ac:dyDescent="0.25">
      <c r="A225" s="1">
        <v>522</v>
      </c>
      <c r="B225" s="40">
        <v>2.27</v>
      </c>
      <c r="C225" s="1" t="s">
        <v>814</v>
      </c>
    </row>
    <row r="226" spans="1:3" x14ac:dyDescent="0.25">
      <c r="A226" s="1">
        <v>523</v>
      </c>
      <c r="B226" s="40">
        <v>50.4</v>
      </c>
      <c r="C226" s="1" t="s">
        <v>797</v>
      </c>
    </row>
    <row r="227" spans="1:3" x14ac:dyDescent="0.25">
      <c r="A227" s="1">
        <v>524</v>
      </c>
      <c r="B227" s="40">
        <v>15.56</v>
      </c>
      <c r="C227" s="1" t="s">
        <v>850</v>
      </c>
    </row>
    <row r="228" spans="1:3" x14ac:dyDescent="0.25">
      <c r="A228" s="1">
        <v>525</v>
      </c>
      <c r="B228" s="40">
        <v>0.59</v>
      </c>
      <c r="C228" s="1" t="s">
        <v>823</v>
      </c>
    </row>
    <row r="229" spans="1:3" x14ac:dyDescent="0.25">
      <c r="A229" s="1">
        <v>526</v>
      </c>
      <c r="B229" s="40">
        <v>2.1</v>
      </c>
      <c r="C229" s="1" t="s">
        <v>807</v>
      </c>
    </row>
    <row r="230" spans="1:3" x14ac:dyDescent="0.25">
      <c r="A230" s="1">
        <v>527</v>
      </c>
      <c r="B230" s="40">
        <v>20.93</v>
      </c>
      <c r="C230" s="1" t="s">
        <v>854</v>
      </c>
    </row>
    <row r="231" spans="1:3" x14ac:dyDescent="0.25">
      <c r="A231" s="1">
        <v>528</v>
      </c>
      <c r="B231" s="40">
        <v>9.65</v>
      </c>
      <c r="C231" s="1" t="s">
        <v>854</v>
      </c>
    </row>
    <row r="232" spans="1:3" x14ac:dyDescent="0.25">
      <c r="A232" s="1">
        <v>529</v>
      </c>
      <c r="B232" s="40">
        <v>0.23</v>
      </c>
      <c r="C232" s="1" t="s">
        <v>820</v>
      </c>
    </row>
    <row r="233" spans="1:3" x14ac:dyDescent="0.25">
      <c r="A233" s="1">
        <v>530</v>
      </c>
      <c r="B233" s="40">
        <v>7.78</v>
      </c>
      <c r="C233" s="1" t="s">
        <v>801</v>
      </c>
    </row>
    <row r="234" spans="1:3" x14ac:dyDescent="0.25">
      <c r="A234" s="1">
        <v>531</v>
      </c>
      <c r="B234" s="40">
        <v>10.71</v>
      </c>
      <c r="C234" s="1" t="s">
        <v>803</v>
      </c>
    </row>
    <row r="235" spans="1:3" x14ac:dyDescent="0.25">
      <c r="A235" s="1">
        <v>532</v>
      </c>
      <c r="B235" s="40">
        <v>6.05</v>
      </c>
      <c r="C235" s="1" t="s">
        <v>857</v>
      </c>
    </row>
    <row r="236" spans="1:3" x14ac:dyDescent="0.25">
      <c r="A236" s="1">
        <v>533</v>
      </c>
      <c r="B236" s="40">
        <v>46.31</v>
      </c>
      <c r="C236" s="1" t="s">
        <v>795</v>
      </c>
    </row>
    <row r="237" spans="1:3" x14ac:dyDescent="0.25">
      <c r="A237" s="1">
        <v>534</v>
      </c>
      <c r="B237" s="40">
        <v>8.1199999999999992</v>
      </c>
      <c r="C237" s="1" t="s">
        <v>819</v>
      </c>
    </row>
    <row r="238" spans="1:3" x14ac:dyDescent="0.25">
      <c r="A238" s="1">
        <v>535</v>
      </c>
      <c r="B238" s="40">
        <v>30.8</v>
      </c>
      <c r="C238" s="1" t="s">
        <v>797</v>
      </c>
    </row>
    <row r="239" spans="1:3" x14ac:dyDescent="0.25">
      <c r="A239" s="1">
        <v>536</v>
      </c>
      <c r="B239" s="40">
        <v>1.01</v>
      </c>
      <c r="C239" s="1" t="s">
        <v>858</v>
      </c>
    </row>
    <row r="240" spans="1:3" x14ac:dyDescent="0.25">
      <c r="A240" s="1">
        <v>537</v>
      </c>
      <c r="B240" s="40">
        <v>6.45</v>
      </c>
      <c r="C240" s="1" t="s">
        <v>812</v>
      </c>
    </row>
    <row r="241" spans="1:3" x14ac:dyDescent="0.25">
      <c r="A241" s="1">
        <v>538</v>
      </c>
      <c r="B241" s="40">
        <v>1.24</v>
      </c>
      <c r="C241" s="1" t="s">
        <v>803</v>
      </c>
    </row>
    <row r="242" spans="1:3" x14ac:dyDescent="0.25">
      <c r="A242" s="1">
        <v>547</v>
      </c>
      <c r="B242" s="40">
        <v>157.76</v>
      </c>
      <c r="C242" s="1" t="s">
        <v>833</v>
      </c>
    </row>
    <row r="243" spans="1:3" x14ac:dyDescent="0.25">
      <c r="A243" s="1">
        <v>548</v>
      </c>
      <c r="B243" s="40">
        <v>2.5299999999999998</v>
      </c>
      <c r="C243" s="1" t="s">
        <v>860</v>
      </c>
    </row>
    <row r="244" spans="1:3" x14ac:dyDescent="0.25">
      <c r="A244" s="1">
        <v>549</v>
      </c>
      <c r="B244" s="40">
        <v>1.91</v>
      </c>
      <c r="C244" s="1" t="s">
        <v>860</v>
      </c>
    </row>
    <row r="245" spans="1:3" x14ac:dyDescent="0.25">
      <c r="A245" s="1">
        <v>550</v>
      </c>
      <c r="B245" s="40">
        <v>2.0299999999999998</v>
      </c>
      <c r="C245" s="1" t="s">
        <v>860</v>
      </c>
    </row>
    <row r="246" spans="1:3" x14ac:dyDescent="0.25">
      <c r="A246" s="1">
        <v>551</v>
      </c>
      <c r="B246" s="40">
        <v>2.7</v>
      </c>
      <c r="C246" s="1" t="s">
        <v>860</v>
      </c>
    </row>
    <row r="247" spans="1:3" x14ac:dyDescent="0.25">
      <c r="A247" s="1">
        <v>552</v>
      </c>
      <c r="B247" s="40">
        <v>2.99</v>
      </c>
      <c r="C247" s="1" t="s">
        <v>860</v>
      </c>
    </row>
    <row r="248" spans="1:3" x14ac:dyDescent="0.25">
      <c r="A248" s="1">
        <v>553</v>
      </c>
      <c r="B248" s="40">
        <v>1.92</v>
      </c>
      <c r="C248" s="1" t="s">
        <v>860</v>
      </c>
    </row>
    <row r="249" spans="1:3" x14ac:dyDescent="0.25">
      <c r="A249" s="1">
        <v>554</v>
      </c>
      <c r="B249" s="40">
        <v>1.87</v>
      </c>
      <c r="C249" s="1" t="s">
        <v>860</v>
      </c>
    </row>
    <row r="250" spans="1:3" x14ac:dyDescent="0.25">
      <c r="A250" s="1">
        <v>555</v>
      </c>
      <c r="B250" s="40">
        <v>2.17</v>
      </c>
      <c r="C250" s="1" t="s">
        <v>860</v>
      </c>
    </row>
    <row r="251" spans="1:3" x14ac:dyDescent="0.25">
      <c r="A251" s="1">
        <v>556</v>
      </c>
      <c r="B251" s="40">
        <v>4.41</v>
      </c>
      <c r="C251" s="1" t="s">
        <v>861</v>
      </c>
    </row>
    <row r="252" spans="1:3" x14ac:dyDescent="0.25">
      <c r="A252" s="1">
        <v>557</v>
      </c>
      <c r="B252" s="40">
        <v>1.72</v>
      </c>
      <c r="C252" s="1" t="s">
        <v>861</v>
      </c>
    </row>
    <row r="253" spans="1:3" x14ac:dyDescent="0.25">
      <c r="A253" s="1">
        <v>558</v>
      </c>
      <c r="B253" s="40">
        <v>1.61</v>
      </c>
      <c r="C253" s="1" t="s">
        <v>861</v>
      </c>
    </row>
    <row r="254" spans="1:3" x14ac:dyDescent="0.25">
      <c r="A254" s="1">
        <v>559</v>
      </c>
      <c r="B254" s="40">
        <v>1.69</v>
      </c>
      <c r="C254" s="1" t="s">
        <v>861</v>
      </c>
    </row>
    <row r="255" spans="1:3" x14ac:dyDescent="0.25">
      <c r="A255" s="1">
        <v>562</v>
      </c>
      <c r="B255" s="40">
        <v>3.28</v>
      </c>
      <c r="C255" s="1" t="s">
        <v>862</v>
      </c>
    </row>
    <row r="256" spans="1:3" x14ac:dyDescent="0.25">
      <c r="A256" s="1">
        <v>563</v>
      </c>
      <c r="B256" s="40">
        <v>4.9800000000000004</v>
      </c>
      <c r="C256" s="1" t="s">
        <v>845</v>
      </c>
    </row>
    <row r="257" spans="1:3" x14ac:dyDescent="0.25">
      <c r="A257" s="1">
        <v>566</v>
      </c>
      <c r="B257" s="40">
        <v>17.84</v>
      </c>
      <c r="C257" s="1" t="s">
        <v>841</v>
      </c>
    </row>
    <row r="258" spans="1:3" x14ac:dyDescent="0.25">
      <c r="A258" s="1">
        <v>571</v>
      </c>
      <c r="B258" s="40">
        <v>188.55</v>
      </c>
      <c r="C258" s="1" t="s">
        <v>864</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A7B564-87B7-4AFE-8CE5-DEE583BD62F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3</vt:i4>
      </vt:variant>
    </vt:vector>
  </HeadingPairs>
  <TitlesOfParts>
    <vt:vector size="10" baseType="lpstr">
      <vt:lpstr>Principal</vt:lpstr>
      <vt:lpstr>PlanilhaCustos</vt:lpstr>
      <vt:lpstr>itens_neg</vt:lpstr>
      <vt:lpstr>PropostaReadequada</vt:lpstr>
      <vt:lpstr>DadosProposta</vt:lpstr>
      <vt:lpstr>DadosModelo</vt:lpstr>
      <vt:lpstr>Planilha4</vt:lpstr>
      <vt:lpstr>TabelaModelo</vt:lpstr>
      <vt:lpstr>PropostaReadequada!TabelaProcesso</vt:lpstr>
      <vt:lpstr>TabelaProcesso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2024-03-20T13:48:25Z</cp:lastPrinted>
  <dcterms:created xsi:type="dcterms:W3CDTF">2015-06-05T18:19:34Z</dcterms:created>
  <dcterms:modified xsi:type="dcterms:W3CDTF">2024-05-24T12:16:15Z</dcterms:modified>
</cp:coreProperties>
</file>