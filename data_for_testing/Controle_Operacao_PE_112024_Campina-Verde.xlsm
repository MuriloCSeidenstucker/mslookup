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2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jects\LearningSeleniumAndPython\data_for_testing\"/>
    </mc:Choice>
  </mc:AlternateContent>
  <xr:revisionPtr revIDLastSave="0" documentId="13_ncr:1_{3FF27D7A-D1D9-4FD2-9803-F481E9FAEE31}" xr6:coauthVersionLast="47" xr6:coauthVersionMax="47" xr10:uidLastSave="{00000000-0000-0000-0000-000000000000}"/>
  <bookViews>
    <workbookView xWindow="20370" yWindow="-120" windowWidth="20730" windowHeight="11160" xr2:uid="{00000000-000D-0000-FFFF-FFFF00000000}"/>
  </bookViews>
  <sheets>
    <sheet name="Principal" sheetId="1" r:id="rId1"/>
    <sheet name="DadosProposta" sheetId="2" r:id="rId2"/>
    <sheet name="DadosModelo" sheetId="3" r:id="rId3"/>
  </sheets>
  <functionGroups builtInGroupCount="19"/>
  <definedNames>
    <definedName name="TabelaModelo">DadosModelo!$A$1:$C$139</definedName>
    <definedName name="TabelaProcesso">TabelaPrincipal[#All]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F3" i="2"/>
  <c r="F9" i="2"/>
  <c r="F10" i="2"/>
  <c r="F13" i="2"/>
  <c r="F15" i="2"/>
  <c r="F17" i="2"/>
  <c r="F30" i="2"/>
  <c r="F31" i="2"/>
  <c r="F41" i="2"/>
  <c r="F43" i="2"/>
  <c r="F50" i="2"/>
  <c r="F51" i="2"/>
  <c r="F53" i="2"/>
  <c r="F54" i="2"/>
  <c r="F60" i="2"/>
  <c r="F62" i="2"/>
  <c r="F65" i="2"/>
  <c r="F72" i="2"/>
  <c r="F75" i="2"/>
  <c r="F76" i="2"/>
  <c r="F77" i="2"/>
  <c r="F82" i="2"/>
  <c r="F83" i="2"/>
  <c r="F87" i="2"/>
  <c r="F91" i="2"/>
  <c r="F93" i="2"/>
  <c r="F99" i="2"/>
  <c r="F100" i="2"/>
  <c r="F101" i="2"/>
  <c r="F102" i="2"/>
  <c r="F104" i="2"/>
  <c r="F122" i="2"/>
  <c r="G127" i="1" l="1"/>
  <c r="H127" i="1" s="1"/>
  <c r="G126" i="1"/>
  <c r="H126" i="1" s="1"/>
  <c r="F126" i="2" s="1"/>
  <c r="G125" i="1"/>
  <c r="J125" i="1" s="1"/>
  <c r="K125" i="1" s="1"/>
  <c r="G124" i="1"/>
  <c r="G123" i="1"/>
  <c r="J123" i="1" s="1"/>
  <c r="K123" i="1" s="1"/>
  <c r="G122" i="1"/>
  <c r="G121" i="1"/>
  <c r="J121" i="1" s="1"/>
  <c r="K121" i="1" s="1"/>
  <c r="G120" i="1"/>
  <c r="G119" i="1"/>
  <c r="J119" i="1" s="1"/>
  <c r="K119" i="1" s="1"/>
  <c r="G118" i="1"/>
  <c r="H118" i="1" s="1"/>
  <c r="F118" i="2" s="1"/>
  <c r="G117" i="1"/>
  <c r="H117" i="1" s="1"/>
  <c r="F117" i="2" s="1"/>
  <c r="G116" i="1"/>
  <c r="G115" i="1"/>
  <c r="H115" i="1" s="1"/>
  <c r="F115" i="2" s="1"/>
  <c r="G114" i="1"/>
  <c r="H114" i="1" s="1"/>
  <c r="F114" i="2" s="1"/>
  <c r="G113" i="1"/>
  <c r="H113" i="1" s="1"/>
  <c r="F113" i="2" s="1"/>
  <c r="G112" i="1"/>
  <c r="G111" i="1"/>
  <c r="H111" i="1" s="1"/>
  <c r="F111" i="2" s="1"/>
  <c r="G110" i="1"/>
  <c r="H110" i="1" s="1"/>
  <c r="F110" i="2" s="1"/>
  <c r="G109" i="1"/>
  <c r="J109" i="1" s="1"/>
  <c r="K109" i="1" s="1"/>
  <c r="G108" i="1"/>
  <c r="G107" i="1"/>
  <c r="J107" i="1" s="1"/>
  <c r="K107" i="1" s="1"/>
  <c r="G106" i="1"/>
  <c r="H106" i="1" s="1"/>
  <c r="F106" i="2" s="1"/>
  <c r="G105" i="1"/>
  <c r="J105" i="1" s="1"/>
  <c r="K105" i="1" s="1"/>
  <c r="G104" i="1"/>
  <c r="G103" i="1"/>
  <c r="G102" i="1"/>
  <c r="G101" i="1"/>
  <c r="J101" i="1" s="1"/>
  <c r="K101" i="1" s="1"/>
  <c r="G100" i="1"/>
  <c r="G99" i="1"/>
  <c r="J99" i="1" s="1"/>
  <c r="K99" i="1" s="1"/>
  <c r="G98" i="1"/>
  <c r="H98" i="1" s="1"/>
  <c r="F98" i="2" s="1"/>
  <c r="G97" i="1"/>
  <c r="H97" i="1" s="1"/>
  <c r="F97" i="2" s="1"/>
  <c r="G96" i="1"/>
  <c r="G95" i="1"/>
  <c r="H95" i="1" s="1"/>
  <c r="F95" i="2" s="1"/>
  <c r="G94" i="1"/>
  <c r="H94" i="1" s="1"/>
  <c r="F94" i="2" s="1"/>
  <c r="G93" i="1"/>
  <c r="J93" i="1" s="1"/>
  <c r="K93" i="1" s="1"/>
  <c r="G92" i="1"/>
  <c r="G91" i="1"/>
  <c r="J91" i="1" s="1"/>
  <c r="K91" i="1" s="1"/>
  <c r="G90" i="1"/>
  <c r="H90" i="1" s="1"/>
  <c r="F90" i="2" s="1"/>
  <c r="G89" i="1"/>
  <c r="H89" i="1" s="1"/>
  <c r="F89" i="2" s="1"/>
  <c r="G88" i="1"/>
  <c r="G87" i="1"/>
  <c r="G86" i="1"/>
  <c r="H86" i="1" s="1"/>
  <c r="F86" i="2" s="1"/>
  <c r="G85" i="1"/>
  <c r="H85" i="1" s="1"/>
  <c r="F85" i="2" s="1"/>
  <c r="G84" i="1"/>
  <c r="G83" i="1"/>
  <c r="J83" i="1" s="1"/>
  <c r="K83" i="1" s="1"/>
  <c r="G82" i="1"/>
  <c r="G81" i="1"/>
  <c r="H81" i="1" s="1"/>
  <c r="F81" i="2" s="1"/>
  <c r="G80" i="1"/>
  <c r="G79" i="1"/>
  <c r="H79" i="1" s="1"/>
  <c r="F79" i="2" s="1"/>
  <c r="H78" i="1"/>
  <c r="F78" i="2" s="1"/>
  <c r="G77" i="1"/>
  <c r="J77" i="1" s="1"/>
  <c r="K77" i="1" s="1"/>
  <c r="G76" i="1"/>
  <c r="G75" i="1"/>
  <c r="J75" i="1" s="1"/>
  <c r="K75" i="1" s="1"/>
  <c r="G74" i="1"/>
  <c r="H74" i="1" s="1"/>
  <c r="F74" i="2" s="1"/>
  <c r="J73" i="1"/>
  <c r="K73" i="1" s="1"/>
  <c r="H73" i="1"/>
  <c r="F73" i="2" s="1"/>
  <c r="G73" i="1"/>
  <c r="G72" i="1"/>
  <c r="J71" i="1"/>
  <c r="K71" i="1" s="1"/>
  <c r="H71" i="1"/>
  <c r="F71" i="2" s="1"/>
  <c r="G71" i="1"/>
  <c r="G70" i="1"/>
  <c r="H70" i="1" s="1"/>
  <c r="F70" i="2" s="1"/>
  <c r="J69" i="1"/>
  <c r="K69" i="1" s="1"/>
  <c r="L69" i="1" s="1"/>
  <c r="G68" i="1"/>
  <c r="G67" i="1"/>
  <c r="H67" i="1" s="1"/>
  <c r="F67" i="2" s="1"/>
  <c r="G66" i="1"/>
  <c r="H66" i="1" s="1"/>
  <c r="F66" i="2" s="1"/>
  <c r="G65" i="1"/>
  <c r="G64" i="1"/>
  <c r="G63" i="1"/>
  <c r="H63" i="1" s="1"/>
  <c r="F63" i="2" s="1"/>
  <c r="G62" i="1"/>
  <c r="G61" i="1"/>
  <c r="H61" i="1" s="1"/>
  <c r="F61" i="2" s="1"/>
  <c r="G60" i="1"/>
  <c r="G59" i="1"/>
  <c r="H59" i="1" s="1"/>
  <c r="F59" i="2" s="1"/>
  <c r="G58" i="1"/>
  <c r="G57" i="1"/>
  <c r="J57" i="1" s="1"/>
  <c r="K57" i="1" s="1"/>
  <c r="G56" i="1"/>
  <c r="G55" i="1"/>
  <c r="H55" i="1" s="1"/>
  <c r="F55" i="2" s="1"/>
  <c r="G54" i="1"/>
  <c r="J54" i="1" s="1"/>
  <c r="K54" i="1" s="1"/>
  <c r="G53" i="1"/>
  <c r="J53" i="1" s="1"/>
  <c r="K53" i="1" s="1"/>
  <c r="G52" i="1"/>
  <c r="J52" i="1" s="1"/>
  <c r="K52" i="1" s="1"/>
  <c r="G51" i="1"/>
  <c r="G50" i="1"/>
  <c r="J50" i="1" s="1"/>
  <c r="K50" i="1" s="1"/>
  <c r="G49" i="1"/>
  <c r="J49" i="1" s="1"/>
  <c r="K49" i="1" s="1"/>
  <c r="J48" i="1"/>
  <c r="K48" i="1" s="1"/>
  <c r="L48" i="1" s="1"/>
  <c r="H48" i="1"/>
  <c r="F48" i="2" s="1"/>
  <c r="G47" i="1"/>
  <c r="H47" i="1" s="1"/>
  <c r="F47" i="2" s="1"/>
  <c r="G46" i="1"/>
  <c r="H46" i="1" s="1"/>
  <c r="F46" i="2" s="1"/>
  <c r="G45" i="1"/>
  <c r="J45" i="1" s="1"/>
  <c r="K45" i="1" s="1"/>
  <c r="G44" i="1"/>
  <c r="J44" i="1" s="1"/>
  <c r="K44" i="1" s="1"/>
  <c r="G43" i="1"/>
  <c r="G42" i="1"/>
  <c r="G41" i="1"/>
  <c r="J41" i="1" s="1"/>
  <c r="K41" i="1" s="1"/>
  <c r="G40" i="1"/>
  <c r="J40" i="1" s="1"/>
  <c r="K40" i="1" s="1"/>
  <c r="G39" i="1"/>
  <c r="H39" i="1" s="1"/>
  <c r="F39" i="2" s="1"/>
  <c r="G38" i="1"/>
  <c r="H38" i="1" s="1"/>
  <c r="F38" i="2" s="1"/>
  <c r="G37" i="1"/>
  <c r="J37" i="1" s="1"/>
  <c r="K37" i="1" s="1"/>
  <c r="G36" i="1"/>
  <c r="J36" i="1" s="1"/>
  <c r="K36" i="1" s="1"/>
  <c r="G35" i="1"/>
  <c r="H35" i="1" s="1"/>
  <c r="F35" i="2" s="1"/>
  <c r="G34" i="1"/>
  <c r="G33" i="1"/>
  <c r="J33" i="1" s="1"/>
  <c r="K33" i="1" s="1"/>
  <c r="G32" i="1"/>
  <c r="J32" i="1" s="1"/>
  <c r="K32" i="1" s="1"/>
  <c r="G31" i="1"/>
  <c r="G30" i="1"/>
  <c r="G29" i="1"/>
  <c r="J29" i="1" s="1"/>
  <c r="K29" i="1" s="1"/>
  <c r="G28" i="1"/>
  <c r="J28" i="1" s="1"/>
  <c r="K28" i="1" s="1"/>
  <c r="G27" i="1"/>
  <c r="H27" i="1" s="1"/>
  <c r="F27" i="2" s="1"/>
  <c r="G26" i="1"/>
  <c r="J26" i="1" s="1"/>
  <c r="K26" i="1" s="1"/>
  <c r="G25" i="1"/>
  <c r="J25" i="1" s="1"/>
  <c r="K25" i="1" s="1"/>
  <c r="G24" i="1"/>
  <c r="J24" i="1" s="1"/>
  <c r="K24" i="1" s="1"/>
  <c r="G23" i="1"/>
  <c r="H23" i="1" s="1"/>
  <c r="F23" i="2" s="1"/>
  <c r="G22" i="1"/>
  <c r="H22" i="1" s="1"/>
  <c r="F22" i="2" s="1"/>
  <c r="G21" i="1"/>
  <c r="J21" i="1" s="1"/>
  <c r="K21" i="1" s="1"/>
  <c r="G20" i="1"/>
  <c r="J20" i="1" s="1"/>
  <c r="K20" i="1" s="1"/>
  <c r="G19" i="1"/>
  <c r="H19" i="1" s="1"/>
  <c r="F19" i="2" s="1"/>
  <c r="G18" i="1"/>
  <c r="J18" i="1" s="1"/>
  <c r="K18" i="1" s="1"/>
  <c r="G17" i="1"/>
  <c r="J17" i="1" s="1"/>
  <c r="K17" i="1" s="1"/>
  <c r="G16" i="1"/>
  <c r="J16" i="1" s="1"/>
  <c r="K16" i="1" s="1"/>
  <c r="G15" i="1"/>
  <c r="G14" i="1"/>
  <c r="J14" i="1" s="1"/>
  <c r="K14" i="1" s="1"/>
  <c r="G13" i="1"/>
  <c r="J13" i="1" s="1"/>
  <c r="K13" i="1" s="1"/>
  <c r="G12" i="1"/>
  <c r="J12" i="1" s="1"/>
  <c r="K12" i="1" s="1"/>
  <c r="G11" i="1"/>
  <c r="H11" i="1" s="1"/>
  <c r="F11" i="2" s="1"/>
  <c r="G10" i="1"/>
  <c r="J10" i="1" s="1"/>
  <c r="K10" i="1" s="1"/>
  <c r="G9" i="1"/>
  <c r="J9" i="1" s="1"/>
  <c r="K9" i="1" s="1"/>
  <c r="G8" i="1"/>
  <c r="G7" i="1"/>
  <c r="H7" i="1" s="1"/>
  <c r="F7" i="2" s="1"/>
  <c r="G6" i="1"/>
  <c r="J6" i="1" s="1"/>
  <c r="K6" i="1" s="1"/>
  <c r="G5" i="1"/>
  <c r="J5" i="1" s="1"/>
  <c r="K5" i="1" s="1"/>
  <c r="G4" i="1"/>
  <c r="H4" i="1" s="1"/>
  <c r="F4" i="2" s="1"/>
  <c r="G3" i="1"/>
  <c r="G2" i="1"/>
  <c r="B2" i="1"/>
  <c r="B2" i="2" s="1"/>
  <c r="B3" i="1"/>
  <c r="B3" i="2" s="1"/>
  <c r="B4" i="1"/>
  <c r="B4" i="2" s="1"/>
  <c r="B5" i="1"/>
  <c r="B5" i="2" s="1"/>
  <c r="B6" i="1"/>
  <c r="B6" i="2" s="1"/>
  <c r="B7" i="1"/>
  <c r="B7" i="2" s="1"/>
  <c r="B8" i="1"/>
  <c r="B8" i="2" s="1"/>
  <c r="B9" i="1"/>
  <c r="B9" i="2" s="1"/>
  <c r="B10" i="1"/>
  <c r="B10" i="2" s="1"/>
  <c r="B11" i="1"/>
  <c r="B11" i="2" s="1"/>
  <c r="B12" i="1"/>
  <c r="B12" i="2" s="1"/>
  <c r="B13" i="1"/>
  <c r="B13" i="2" s="1"/>
  <c r="B14" i="1"/>
  <c r="B14" i="2" s="1"/>
  <c r="B15" i="1"/>
  <c r="B15" i="2" s="1"/>
  <c r="B16" i="1"/>
  <c r="B16" i="2" s="1"/>
  <c r="B17" i="1"/>
  <c r="B17" i="2" s="1"/>
  <c r="B18" i="1"/>
  <c r="B18" i="2" s="1"/>
  <c r="B19" i="1"/>
  <c r="B19" i="2" s="1"/>
  <c r="B20" i="1"/>
  <c r="B20" i="2" s="1"/>
  <c r="B21" i="1"/>
  <c r="B21" i="2" s="1"/>
  <c r="B22" i="1"/>
  <c r="B22" i="2" s="1"/>
  <c r="B23" i="1"/>
  <c r="B23" i="2" s="1"/>
  <c r="B24" i="1"/>
  <c r="B24" i="2" s="1"/>
  <c r="B25" i="1"/>
  <c r="B25" i="2" s="1"/>
  <c r="B26" i="1"/>
  <c r="B26" i="2" s="1"/>
  <c r="B27" i="1"/>
  <c r="B27" i="2" s="1"/>
  <c r="B28" i="1"/>
  <c r="B28" i="2" s="1"/>
  <c r="B29" i="1"/>
  <c r="B29" i="2" s="1"/>
  <c r="B30" i="1"/>
  <c r="B30" i="2" s="1"/>
  <c r="B31" i="1"/>
  <c r="B31" i="2" s="1"/>
  <c r="B32" i="1"/>
  <c r="B32" i="2" s="1"/>
  <c r="B33" i="1"/>
  <c r="B33" i="2" s="1"/>
  <c r="B34" i="1"/>
  <c r="B34" i="2" s="1"/>
  <c r="B35" i="1"/>
  <c r="B35" i="2" s="1"/>
  <c r="B36" i="1"/>
  <c r="B36" i="2" s="1"/>
  <c r="B37" i="1"/>
  <c r="B37" i="2" s="1"/>
  <c r="B38" i="1"/>
  <c r="B38" i="2" s="1"/>
  <c r="B39" i="1"/>
  <c r="B39" i="2" s="1"/>
  <c r="B40" i="1"/>
  <c r="B40" i="2" s="1"/>
  <c r="B41" i="1"/>
  <c r="B41" i="2" s="1"/>
  <c r="B42" i="1"/>
  <c r="B42" i="2" s="1"/>
  <c r="B43" i="1"/>
  <c r="B43" i="2" s="1"/>
  <c r="B44" i="1"/>
  <c r="B44" i="2" s="1"/>
  <c r="B45" i="1"/>
  <c r="B45" i="2" s="1"/>
  <c r="B46" i="1"/>
  <c r="B46" i="2" s="1"/>
  <c r="B47" i="1"/>
  <c r="B47" i="2" s="1"/>
  <c r="B48" i="1"/>
  <c r="B48" i="2" s="1"/>
  <c r="B49" i="1"/>
  <c r="B49" i="2" s="1"/>
  <c r="B50" i="1"/>
  <c r="B50" i="2" s="1"/>
  <c r="B51" i="1"/>
  <c r="B51" i="2" s="1"/>
  <c r="B52" i="1"/>
  <c r="B52" i="2" s="1"/>
  <c r="B53" i="1"/>
  <c r="B53" i="2" s="1"/>
  <c r="B54" i="1"/>
  <c r="B54" i="2" s="1"/>
  <c r="B55" i="1"/>
  <c r="B55" i="2" s="1"/>
  <c r="B56" i="1"/>
  <c r="B56" i="2" s="1"/>
  <c r="B57" i="1"/>
  <c r="B57" i="2" s="1"/>
  <c r="B58" i="1"/>
  <c r="B58" i="2" s="1"/>
  <c r="B59" i="1"/>
  <c r="B59" i="2" s="1"/>
  <c r="B60" i="1"/>
  <c r="B60" i="2" s="1"/>
  <c r="B61" i="1"/>
  <c r="B61" i="2" s="1"/>
  <c r="B62" i="1"/>
  <c r="B62" i="2" s="1"/>
  <c r="B63" i="1"/>
  <c r="B63" i="2" s="1"/>
  <c r="B64" i="1"/>
  <c r="B64" i="2" s="1"/>
  <c r="B65" i="1"/>
  <c r="B65" i="2" s="1"/>
  <c r="B66" i="1"/>
  <c r="B66" i="2" s="1"/>
  <c r="B67" i="1"/>
  <c r="B67" i="2" s="1"/>
  <c r="B68" i="1"/>
  <c r="B68" i="2" s="1"/>
  <c r="B69" i="1"/>
  <c r="B69" i="2" s="1"/>
  <c r="B70" i="1"/>
  <c r="B70" i="2" s="1"/>
  <c r="B71" i="1"/>
  <c r="B71" i="2" s="1"/>
  <c r="B72" i="1"/>
  <c r="B72" i="2" s="1"/>
  <c r="B73" i="1"/>
  <c r="B73" i="2" s="1"/>
  <c r="B74" i="1"/>
  <c r="B74" i="2" s="1"/>
  <c r="B75" i="1"/>
  <c r="B75" i="2" s="1"/>
  <c r="B76" i="1"/>
  <c r="B76" i="2" s="1"/>
  <c r="B77" i="1"/>
  <c r="B77" i="2" s="1"/>
  <c r="B78" i="1"/>
  <c r="B78" i="2" s="1"/>
  <c r="B79" i="1"/>
  <c r="B79" i="2" s="1"/>
  <c r="B80" i="1"/>
  <c r="B80" i="2" s="1"/>
  <c r="B81" i="1"/>
  <c r="B81" i="2" s="1"/>
  <c r="B82" i="1"/>
  <c r="B82" i="2" s="1"/>
  <c r="B83" i="1"/>
  <c r="B83" i="2" s="1"/>
  <c r="B84" i="1"/>
  <c r="B84" i="2" s="1"/>
  <c r="B85" i="1"/>
  <c r="B85" i="2" s="1"/>
  <c r="B86" i="1"/>
  <c r="B86" i="2" s="1"/>
  <c r="B87" i="1"/>
  <c r="B87" i="2" s="1"/>
  <c r="B88" i="1"/>
  <c r="B88" i="2" s="1"/>
  <c r="B89" i="1"/>
  <c r="B89" i="2" s="1"/>
  <c r="B90" i="1"/>
  <c r="B90" i="2" s="1"/>
  <c r="B91" i="1"/>
  <c r="B91" i="2" s="1"/>
  <c r="B92" i="1"/>
  <c r="B92" i="2" s="1"/>
  <c r="B93" i="1"/>
  <c r="B93" i="2" s="1"/>
  <c r="B94" i="1"/>
  <c r="B94" i="2" s="1"/>
  <c r="B95" i="1"/>
  <c r="B95" i="2" s="1"/>
  <c r="B96" i="1"/>
  <c r="B96" i="2" s="1"/>
  <c r="B97" i="1"/>
  <c r="B97" i="2" s="1"/>
  <c r="B98" i="1"/>
  <c r="B98" i="2" s="1"/>
  <c r="B99" i="1"/>
  <c r="B99" i="2" s="1"/>
  <c r="B100" i="1"/>
  <c r="B100" i="2" s="1"/>
  <c r="B101" i="1"/>
  <c r="B101" i="2" s="1"/>
  <c r="B102" i="1"/>
  <c r="B102" i="2" s="1"/>
  <c r="B103" i="1"/>
  <c r="B103" i="2" s="1"/>
  <c r="B104" i="1"/>
  <c r="B104" i="2" s="1"/>
  <c r="B105" i="1"/>
  <c r="B105" i="2" s="1"/>
  <c r="B106" i="1"/>
  <c r="B106" i="2" s="1"/>
  <c r="B107" i="1"/>
  <c r="B107" i="2" s="1"/>
  <c r="B108" i="1"/>
  <c r="B108" i="2" s="1"/>
  <c r="B109" i="1"/>
  <c r="B109" i="2" s="1"/>
  <c r="B110" i="1"/>
  <c r="B110" i="2" s="1"/>
  <c r="B111" i="1"/>
  <c r="B111" i="2" s="1"/>
  <c r="B112" i="1"/>
  <c r="B112" i="2" s="1"/>
  <c r="B113" i="1"/>
  <c r="B113" i="2" s="1"/>
  <c r="B114" i="1"/>
  <c r="B114" i="2" s="1"/>
  <c r="B115" i="1"/>
  <c r="B115" i="2" s="1"/>
  <c r="B116" i="1"/>
  <c r="B116" i="2" s="1"/>
  <c r="B117" i="1"/>
  <c r="B117" i="2" s="1"/>
  <c r="B118" i="1"/>
  <c r="B118" i="2" s="1"/>
  <c r="B119" i="1"/>
  <c r="B119" i="2" s="1"/>
  <c r="B120" i="1"/>
  <c r="B120" i="2" s="1"/>
  <c r="B121" i="1"/>
  <c r="B121" i="2" s="1"/>
  <c r="B122" i="1"/>
  <c r="B122" i="2" s="1"/>
  <c r="B123" i="1"/>
  <c r="B123" i="2" s="1"/>
  <c r="B124" i="1"/>
  <c r="B124" i="2" s="1"/>
  <c r="B125" i="1"/>
  <c r="B125" i="2" s="1"/>
  <c r="B126" i="1"/>
  <c r="B126" i="2" s="1"/>
  <c r="B127" i="1"/>
  <c r="D2" i="1"/>
  <c r="D2" i="2" s="1"/>
  <c r="D3" i="1"/>
  <c r="D3" i="2" s="1"/>
  <c r="D4" i="1"/>
  <c r="D4" i="2" s="1"/>
  <c r="D5" i="1"/>
  <c r="D5" i="2" s="1"/>
  <c r="D6" i="1"/>
  <c r="D6" i="2" s="1"/>
  <c r="D7" i="1"/>
  <c r="D7" i="2" s="1"/>
  <c r="D8" i="1"/>
  <c r="D8" i="2" s="1"/>
  <c r="D9" i="1"/>
  <c r="D9" i="2" s="1"/>
  <c r="D10" i="1"/>
  <c r="D10" i="2" s="1"/>
  <c r="D11" i="1"/>
  <c r="D11" i="2" s="1"/>
  <c r="D12" i="1"/>
  <c r="D12" i="2" s="1"/>
  <c r="D13" i="1"/>
  <c r="D13" i="2" s="1"/>
  <c r="D14" i="1"/>
  <c r="D14" i="2" s="1"/>
  <c r="D15" i="1"/>
  <c r="D15" i="2" s="1"/>
  <c r="D16" i="1"/>
  <c r="D16" i="2" s="1"/>
  <c r="D17" i="1"/>
  <c r="D17" i="2" s="1"/>
  <c r="D18" i="1"/>
  <c r="D18" i="2" s="1"/>
  <c r="D19" i="1"/>
  <c r="D19" i="2" s="1"/>
  <c r="D20" i="1"/>
  <c r="D20" i="2" s="1"/>
  <c r="D21" i="1"/>
  <c r="D21" i="2" s="1"/>
  <c r="D22" i="1"/>
  <c r="D22" i="2" s="1"/>
  <c r="D23" i="1"/>
  <c r="D23" i="2" s="1"/>
  <c r="D24" i="1"/>
  <c r="D24" i="2" s="1"/>
  <c r="D25" i="1"/>
  <c r="D25" i="2" s="1"/>
  <c r="D26" i="1"/>
  <c r="D27" i="1"/>
  <c r="D27" i="2" s="1"/>
  <c r="D28" i="1"/>
  <c r="D28" i="2" s="1"/>
  <c r="D29" i="1"/>
  <c r="D29" i="2" s="1"/>
  <c r="D30" i="1"/>
  <c r="D30" i="2" s="1"/>
  <c r="D31" i="1"/>
  <c r="D31" i="2" s="1"/>
  <c r="D32" i="1"/>
  <c r="D32" i="2" s="1"/>
  <c r="D33" i="1"/>
  <c r="D33" i="2" s="1"/>
  <c r="D34" i="1"/>
  <c r="D34" i="2" s="1"/>
  <c r="D35" i="1"/>
  <c r="D35" i="2" s="1"/>
  <c r="D36" i="1"/>
  <c r="D36" i="2" s="1"/>
  <c r="D37" i="1"/>
  <c r="D37" i="2" s="1"/>
  <c r="D38" i="1"/>
  <c r="D38" i="2" s="1"/>
  <c r="D39" i="1"/>
  <c r="D39" i="2" s="1"/>
  <c r="D40" i="1"/>
  <c r="D40" i="2" s="1"/>
  <c r="D41" i="1"/>
  <c r="D41" i="2" s="1"/>
  <c r="D42" i="1"/>
  <c r="D42" i="2" s="1"/>
  <c r="D43" i="1"/>
  <c r="D43" i="2" s="1"/>
  <c r="D44" i="1"/>
  <c r="D44" i="2" s="1"/>
  <c r="D45" i="1"/>
  <c r="D45" i="2" s="1"/>
  <c r="D46" i="1"/>
  <c r="D46" i="2" s="1"/>
  <c r="D47" i="1"/>
  <c r="D47" i="2" s="1"/>
  <c r="D48" i="1"/>
  <c r="D48" i="2" s="1"/>
  <c r="D49" i="1"/>
  <c r="D49" i="2" s="1"/>
  <c r="D50" i="1"/>
  <c r="D50" i="2" s="1"/>
  <c r="D51" i="1"/>
  <c r="D51" i="2" s="1"/>
  <c r="D52" i="1"/>
  <c r="D52" i="2" s="1"/>
  <c r="D53" i="1"/>
  <c r="D53" i="2" s="1"/>
  <c r="D54" i="1"/>
  <c r="D54" i="2" s="1"/>
  <c r="D55" i="1"/>
  <c r="D55" i="2" s="1"/>
  <c r="D56" i="1"/>
  <c r="D56" i="2" s="1"/>
  <c r="D57" i="1"/>
  <c r="D57" i="2" s="1"/>
  <c r="D58" i="1"/>
  <c r="D58" i="2" s="1"/>
  <c r="D59" i="1"/>
  <c r="D59" i="2" s="1"/>
  <c r="D60" i="1"/>
  <c r="D60" i="2" s="1"/>
  <c r="D61" i="1"/>
  <c r="D61" i="2" s="1"/>
  <c r="D62" i="1"/>
  <c r="D62" i="2" s="1"/>
  <c r="D63" i="1"/>
  <c r="D63" i="2" s="1"/>
  <c r="D64" i="1"/>
  <c r="D64" i="2" s="1"/>
  <c r="D65" i="1"/>
  <c r="D65" i="2" s="1"/>
  <c r="D66" i="1"/>
  <c r="D66" i="2" s="1"/>
  <c r="D67" i="1"/>
  <c r="D67" i="2" s="1"/>
  <c r="D68" i="1"/>
  <c r="D68" i="2" s="1"/>
  <c r="D69" i="1"/>
  <c r="D69" i="2" s="1"/>
  <c r="D70" i="1"/>
  <c r="D70" i="2" s="1"/>
  <c r="D71" i="1"/>
  <c r="D71" i="2" s="1"/>
  <c r="D72" i="1"/>
  <c r="D72" i="2" s="1"/>
  <c r="D73" i="1"/>
  <c r="D73" i="2" s="1"/>
  <c r="D74" i="1"/>
  <c r="D75" i="1"/>
  <c r="D75" i="2" s="1"/>
  <c r="D76" i="1"/>
  <c r="D76" i="2" s="1"/>
  <c r="D77" i="1"/>
  <c r="D77" i="2" s="1"/>
  <c r="D78" i="1"/>
  <c r="D78" i="2" s="1"/>
  <c r="D79" i="1"/>
  <c r="D79" i="2" s="1"/>
  <c r="D80" i="1"/>
  <c r="D80" i="2" s="1"/>
  <c r="D81" i="1"/>
  <c r="D81" i="2" s="1"/>
  <c r="D82" i="1"/>
  <c r="D83" i="1"/>
  <c r="D83" i="2" s="1"/>
  <c r="D84" i="1"/>
  <c r="D84" i="2" s="1"/>
  <c r="D85" i="1"/>
  <c r="D85" i="2" s="1"/>
  <c r="D86" i="1"/>
  <c r="D87" i="1"/>
  <c r="D87" i="2" s="1"/>
  <c r="D88" i="1"/>
  <c r="D88" i="2" s="1"/>
  <c r="D89" i="1"/>
  <c r="D89" i="2" s="1"/>
  <c r="D90" i="1"/>
  <c r="D91" i="1"/>
  <c r="D91" i="2" s="1"/>
  <c r="D92" i="1"/>
  <c r="D92" i="2" s="1"/>
  <c r="D93" i="1"/>
  <c r="D93" i="2" s="1"/>
  <c r="D94" i="1"/>
  <c r="D94" i="2" s="1"/>
  <c r="D95" i="1"/>
  <c r="D95" i="2" s="1"/>
  <c r="D96" i="1"/>
  <c r="D96" i="2" s="1"/>
  <c r="D97" i="1"/>
  <c r="D97" i="2" s="1"/>
  <c r="D98" i="1"/>
  <c r="D98" i="2" s="1"/>
  <c r="D99" i="1"/>
  <c r="D99" i="2" s="1"/>
  <c r="D100" i="1"/>
  <c r="D100" i="2" s="1"/>
  <c r="D101" i="1"/>
  <c r="D101" i="2" s="1"/>
  <c r="D102" i="1"/>
  <c r="D102" i="2" s="1"/>
  <c r="D103" i="1"/>
  <c r="D103" i="2" s="1"/>
  <c r="D104" i="1"/>
  <c r="D104" i="2" s="1"/>
  <c r="D105" i="1"/>
  <c r="D105" i="2" s="1"/>
  <c r="D106" i="1"/>
  <c r="D106" i="2" s="1"/>
  <c r="D107" i="1"/>
  <c r="D107" i="2" s="1"/>
  <c r="D108" i="1"/>
  <c r="D108" i="2" s="1"/>
  <c r="D109" i="1"/>
  <c r="D109" i="2" s="1"/>
  <c r="D110" i="1"/>
  <c r="D110" i="2" s="1"/>
  <c r="D111" i="1"/>
  <c r="D111" i="2" s="1"/>
  <c r="D112" i="1"/>
  <c r="D112" i="2" s="1"/>
  <c r="D113" i="1"/>
  <c r="D113" i="2" s="1"/>
  <c r="D114" i="1"/>
  <c r="D114" i="2" s="1"/>
  <c r="D115" i="1"/>
  <c r="D115" i="2" s="1"/>
  <c r="D116" i="1"/>
  <c r="D116" i="2" s="1"/>
  <c r="D117" i="1"/>
  <c r="D117" i="2" s="1"/>
  <c r="D118" i="1"/>
  <c r="D119" i="1"/>
  <c r="D119" i="2" s="1"/>
  <c r="D120" i="1"/>
  <c r="D120" i="2" s="1"/>
  <c r="D121" i="1"/>
  <c r="D121" i="2" s="1"/>
  <c r="D122" i="1"/>
  <c r="D123" i="1"/>
  <c r="D123" i="2" s="1"/>
  <c r="D124" i="1"/>
  <c r="D124" i="2" s="1"/>
  <c r="D125" i="1"/>
  <c r="D125" i="2" s="1"/>
  <c r="D126" i="1"/>
  <c r="D126" i="2" s="1"/>
  <c r="D127" i="1"/>
  <c r="N52" i="1"/>
  <c r="J22" i="1" l="1"/>
  <c r="K22" i="1" s="1"/>
  <c r="H119" i="1"/>
  <c r="F119" i="2" s="1"/>
  <c r="H121" i="1"/>
  <c r="F121" i="2" s="1"/>
  <c r="I122" i="1"/>
  <c r="G122" i="2" s="1"/>
  <c r="D122" i="2"/>
  <c r="I118" i="1"/>
  <c r="G118" i="2" s="1"/>
  <c r="D118" i="2"/>
  <c r="I90" i="1"/>
  <c r="G90" i="2" s="1"/>
  <c r="D90" i="2"/>
  <c r="I86" i="1"/>
  <c r="G86" i="2" s="1"/>
  <c r="D86" i="2"/>
  <c r="I82" i="1"/>
  <c r="G82" i="2" s="1"/>
  <c r="D82" i="2"/>
  <c r="I74" i="1"/>
  <c r="G74" i="2" s="1"/>
  <c r="D74" i="2"/>
  <c r="D26" i="2"/>
  <c r="N6" i="1"/>
  <c r="N34" i="1"/>
  <c r="N97" i="1"/>
  <c r="N45" i="1"/>
  <c r="N26" i="1"/>
  <c r="H12" i="1"/>
  <c r="F12" i="2" s="1"/>
  <c r="H14" i="1"/>
  <c r="F14" i="2" s="1"/>
  <c r="H26" i="1"/>
  <c r="F26" i="2" s="1"/>
  <c r="H28" i="1"/>
  <c r="F28" i="2" s="1"/>
  <c r="J89" i="1"/>
  <c r="K89" i="1" s="1"/>
  <c r="H24" i="1"/>
  <c r="F24" i="2" s="1"/>
  <c r="I71" i="1"/>
  <c r="G71" i="2" s="1"/>
  <c r="N87" i="1"/>
  <c r="N42" i="1"/>
  <c r="N2" i="1"/>
  <c r="H2" i="1"/>
  <c r="F2" i="2" s="1"/>
  <c r="H6" i="1"/>
  <c r="F6" i="2" s="1"/>
  <c r="H32" i="1"/>
  <c r="F32" i="2" s="1"/>
  <c r="H36" i="1"/>
  <c r="H40" i="1"/>
  <c r="F40" i="2" s="1"/>
  <c r="H44" i="1"/>
  <c r="F44" i="2" s="1"/>
  <c r="N119" i="1"/>
  <c r="N44" i="1"/>
  <c r="N36" i="1"/>
  <c r="N125" i="1"/>
  <c r="N117" i="1"/>
  <c r="N105" i="1"/>
  <c r="N73" i="1"/>
  <c r="J2" i="1"/>
  <c r="K2" i="1" s="1"/>
  <c r="J4" i="1"/>
  <c r="K4" i="1" s="1"/>
  <c r="J8" i="1"/>
  <c r="K8" i="1" s="1"/>
  <c r="H16" i="1"/>
  <c r="H18" i="1"/>
  <c r="F18" i="2" s="1"/>
  <c r="N30" i="1"/>
  <c r="J34" i="1"/>
  <c r="K34" i="1" s="1"/>
  <c r="J38" i="1"/>
  <c r="K38" i="1" s="1"/>
  <c r="J42" i="1"/>
  <c r="K42" i="1" s="1"/>
  <c r="J46" i="1"/>
  <c r="K46" i="1" s="1"/>
  <c r="H52" i="1"/>
  <c r="J85" i="1"/>
  <c r="K85" i="1" s="1"/>
  <c r="H105" i="1"/>
  <c r="F105" i="2" s="1"/>
  <c r="N112" i="1"/>
  <c r="J115" i="1"/>
  <c r="K115" i="1" s="1"/>
  <c r="N38" i="1"/>
  <c r="N20" i="1"/>
  <c r="N106" i="1"/>
  <c r="N46" i="1"/>
  <c r="H8" i="1"/>
  <c r="F8" i="2" s="1"/>
  <c r="H20" i="1"/>
  <c r="H34" i="1"/>
  <c r="F34" i="2" s="1"/>
  <c r="H42" i="1"/>
  <c r="F42" i="2" s="1"/>
  <c r="J117" i="1"/>
  <c r="K117" i="1" s="1"/>
  <c r="H125" i="1"/>
  <c r="N123" i="1"/>
  <c r="N57" i="1"/>
  <c r="N19" i="1"/>
  <c r="N18" i="1"/>
  <c r="J67" i="1"/>
  <c r="K67" i="1" s="1"/>
  <c r="J127" i="1"/>
  <c r="K127" i="1" s="1"/>
  <c r="N127" i="1"/>
  <c r="I127" i="1"/>
  <c r="I126" i="1"/>
  <c r="G126" i="2" s="1"/>
  <c r="N126" i="1"/>
  <c r="N124" i="1"/>
  <c r="H123" i="1"/>
  <c r="F123" i="2" s="1"/>
  <c r="I123" i="1"/>
  <c r="G123" i="2" s="1"/>
  <c r="N122" i="1"/>
  <c r="N121" i="1"/>
  <c r="N120" i="1"/>
  <c r="I119" i="1"/>
  <c r="G119" i="2" s="1"/>
  <c r="N118" i="1"/>
  <c r="I117" i="1"/>
  <c r="G117" i="2" s="1"/>
  <c r="N116" i="1"/>
  <c r="I115" i="1"/>
  <c r="G115" i="2" s="1"/>
  <c r="N115" i="1"/>
  <c r="N114" i="1"/>
  <c r="I114" i="1"/>
  <c r="G114" i="2" s="1"/>
  <c r="N113" i="1"/>
  <c r="J113" i="1"/>
  <c r="K113" i="1" s="1"/>
  <c r="I113" i="1"/>
  <c r="G113" i="2" s="1"/>
  <c r="N111" i="1"/>
  <c r="J111" i="1"/>
  <c r="K111" i="1" s="1"/>
  <c r="I111" i="1"/>
  <c r="G111" i="2" s="1"/>
  <c r="I110" i="1"/>
  <c r="G110" i="2" s="1"/>
  <c r="N110" i="1"/>
  <c r="N109" i="1"/>
  <c r="H109" i="1"/>
  <c r="F109" i="2" s="1"/>
  <c r="N108" i="1"/>
  <c r="H107" i="1"/>
  <c r="N107" i="1"/>
  <c r="I106" i="1"/>
  <c r="G106" i="2" s="1"/>
  <c r="I105" i="1"/>
  <c r="G105" i="2" s="1"/>
  <c r="N104" i="1"/>
  <c r="H103" i="1"/>
  <c r="J103" i="1"/>
  <c r="K103" i="1" s="1"/>
  <c r="N103" i="1"/>
  <c r="I102" i="1"/>
  <c r="G102" i="2" s="1"/>
  <c r="N102" i="1"/>
  <c r="N101" i="1"/>
  <c r="I101" i="1"/>
  <c r="G101" i="2" s="1"/>
  <c r="N100" i="1"/>
  <c r="N99" i="1"/>
  <c r="I99" i="1"/>
  <c r="G99" i="2" s="1"/>
  <c r="N98" i="1"/>
  <c r="I98" i="1"/>
  <c r="G98" i="2" s="1"/>
  <c r="J97" i="1"/>
  <c r="K97" i="1" s="1"/>
  <c r="I97" i="1"/>
  <c r="G97" i="2" s="1"/>
  <c r="N96" i="1"/>
  <c r="N95" i="1"/>
  <c r="J95" i="1"/>
  <c r="K95" i="1" s="1"/>
  <c r="I95" i="1"/>
  <c r="G95" i="2" s="1"/>
  <c r="N94" i="1"/>
  <c r="I94" i="1"/>
  <c r="G94" i="2" s="1"/>
  <c r="N93" i="1"/>
  <c r="I93" i="1"/>
  <c r="G93" i="2" s="1"/>
  <c r="N92" i="1"/>
  <c r="N91" i="1"/>
  <c r="I91" i="1"/>
  <c r="G91" i="2" s="1"/>
  <c r="N90" i="1"/>
  <c r="N89" i="1"/>
  <c r="I89" i="1"/>
  <c r="G89" i="2" s="1"/>
  <c r="N88" i="1"/>
  <c r="J87" i="1"/>
  <c r="K87" i="1" s="1"/>
  <c r="I87" i="1"/>
  <c r="G87" i="2" s="1"/>
  <c r="N86" i="1"/>
  <c r="N85" i="1"/>
  <c r="I85" i="1"/>
  <c r="G85" i="2" s="1"/>
  <c r="N84" i="1"/>
  <c r="I83" i="1"/>
  <c r="G83" i="2" s="1"/>
  <c r="N83" i="1"/>
  <c r="N82" i="1"/>
  <c r="J81" i="1"/>
  <c r="K81" i="1" s="1"/>
  <c r="N81" i="1"/>
  <c r="I81" i="1"/>
  <c r="G81" i="2" s="1"/>
  <c r="N80" i="1"/>
  <c r="J79" i="1"/>
  <c r="K79" i="1" s="1"/>
  <c r="N79" i="1"/>
  <c r="I79" i="1"/>
  <c r="G79" i="2" s="1"/>
  <c r="I78" i="1"/>
  <c r="G78" i="2" s="1"/>
  <c r="N77" i="1"/>
  <c r="I77" i="1"/>
  <c r="G77" i="2" s="1"/>
  <c r="N76" i="1"/>
  <c r="N75" i="1"/>
  <c r="I75" i="1"/>
  <c r="G75" i="2" s="1"/>
  <c r="H57" i="1"/>
  <c r="F57" i="2" s="1"/>
  <c r="N74" i="1"/>
  <c r="I73" i="1"/>
  <c r="G73" i="2" s="1"/>
  <c r="N72" i="1"/>
  <c r="N71" i="1"/>
  <c r="I70" i="1"/>
  <c r="G70" i="2" s="1"/>
  <c r="N70" i="1"/>
  <c r="N69" i="1"/>
  <c r="H69" i="1"/>
  <c r="N68" i="1"/>
  <c r="I67" i="1"/>
  <c r="G67" i="2" s="1"/>
  <c r="N67" i="1"/>
  <c r="I66" i="1"/>
  <c r="G66" i="2" s="1"/>
  <c r="N66" i="1"/>
  <c r="J65" i="1"/>
  <c r="K65" i="1" s="1"/>
  <c r="N65" i="1"/>
  <c r="I65" i="1"/>
  <c r="G65" i="2" s="1"/>
  <c r="N64" i="1"/>
  <c r="J63" i="1"/>
  <c r="K63" i="1" s="1"/>
  <c r="N63" i="1"/>
  <c r="I63" i="1"/>
  <c r="G63" i="2" s="1"/>
  <c r="N62" i="1"/>
  <c r="J61" i="1"/>
  <c r="K61" i="1" s="1"/>
  <c r="N61" i="1"/>
  <c r="I61" i="1"/>
  <c r="G61" i="2" s="1"/>
  <c r="N60" i="1"/>
  <c r="J59" i="1"/>
  <c r="K59" i="1" s="1"/>
  <c r="N59" i="1"/>
  <c r="I59" i="1"/>
  <c r="G59" i="2" s="1"/>
  <c r="N58" i="1"/>
  <c r="N56" i="1"/>
  <c r="J55" i="1"/>
  <c r="K55" i="1" s="1"/>
  <c r="N55" i="1"/>
  <c r="I55" i="1"/>
  <c r="G55" i="2" s="1"/>
  <c r="N54" i="1"/>
  <c r="I54" i="1"/>
  <c r="G54" i="2" s="1"/>
  <c r="N53" i="1"/>
  <c r="N51" i="1"/>
  <c r="I51" i="1"/>
  <c r="G51" i="2" s="1"/>
  <c r="N50" i="1"/>
  <c r="I50" i="1"/>
  <c r="G50" i="2" s="1"/>
  <c r="N49" i="1"/>
  <c r="N48" i="1"/>
  <c r="I48" i="1"/>
  <c r="G48" i="2" s="1"/>
  <c r="N47" i="1"/>
  <c r="I47" i="1"/>
  <c r="G47" i="2" s="1"/>
  <c r="I46" i="1"/>
  <c r="G46" i="2" s="1"/>
  <c r="I44" i="1"/>
  <c r="G44" i="2" s="1"/>
  <c r="N43" i="1"/>
  <c r="I43" i="1"/>
  <c r="G43" i="2" s="1"/>
  <c r="I42" i="1"/>
  <c r="G42" i="2" s="1"/>
  <c r="N40" i="1"/>
  <c r="N39" i="1"/>
  <c r="I39" i="1"/>
  <c r="G39" i="2" s="1"/>
  <c r="I38" i="1"/>
  <c r="G38" i="2" s="1"/>
  <c r="N35" i="1"/>
  <c r="I35" i="1"/>
  <c r="G35" i="2" s="1"/>
  <c r="N32" i="1"/>
  <c r="I32" i="1"/>
  <c r="G32" i="2" s="1"/>
  <c r="N31" i="1"/>
  <c r="I31" i="1"/>
  <c r="G31" i="2" s="1"/>
  <c r="J30" i="1"/>
  <c r="K30" i="1" s="1"/>
  <c r="I30" i="1"/>
  <c r="G30" i="2" s="1"/>
  <c r="I28" i="1"/>
  <c r="G28" i="2" s="1"/>
  <c r="N28" i="1"/>
  <c r="N27" i="1"/>
  <c r="I27" i="1"/>
  <c r="G27" i="2" s="1"/>
  <c r="N24" i="1"/>
  <c r="I24" i="1"/>
  <c r="G24" i="2" s="1"/>
  <c r="N23" i="1"/>
  <c r="I23" i="1"/>
  <c r="G23" i="2" s="1"/>
  <c r="N22" i="1"/>
  <c r="I22" i="1"/>
  <c r="G22" i="2" s="1"/>
  <c r="I19" i="1"/>
  <c r="G19" i="2" s="1"/>
  <c r="I18" i="1"/>
  <c r="G18" i="2" s="1"/>
  <c r="N16" i="1"/>
  <c r="N15" i="1"/>
  <c r="I15" i="1"/>
  <c r="G15" i="2" s="1"/>
  <c r="N14" i="1"/>
  <c r="I14" i="1"/>
  <c r="G14" i="2" s="1"/>
  <c r="N12" i="1"/>
  <c r="I12" i="1"/>
  <c r="G12" i="2" s="1"/>
  <c r="N11" i="1"/>
  <c r="I11" i="1"/>
  <c r="G11" i="2" s="1"/>
  <c r="N10" i="1"/>
  <c r="I10" i="1"/>
  <c r="G10" i="2" s="1"/>
  <c r="N8" i="1"/>
  <c r="N7" i="1"/>
  <c r="I7" i="1"/>
  <c r="G7" i="2" s="1"/>
  <c r="I6" i="1"/>
  <c r="G6" i="2" s="1"/>
  <c r="I4" i="1"/>
  <c r="G4" i="2" s="1"/>
  <c r="N4" i="1"/>
  <c r="N3" i="1"/>
  <c r="I3" i="1"/>
  <c r="G3" i="2" s="1"/>
  <c r="J68" i="1"/>
  <c r="K68" i="1" s="1"/>
  <c r="H68" i="1"/>
  <c r="J76" i="1"/>
  <c r="K76" i="1" s="1"/>
  <c r="I76" i="1"/>
  <c r="G76" i="2" s="1"/>
  <c r="J84" i="1"/>
  <c r="K84" i="1" s="1"/>
  <c r="H84" i="1"/>
  <c r="J92" i="1"/>
  <c r="K92" i="1" s="1"/>
  <c r="H92" i="1"/>
  <c r="J100" i="1"/>
  <c r="K100" i="1" s="1"/>
  <c r="I100" i="1"/>
  <c r="G100" i="2" s="1"/>
  <c r="J108" i="1"/>
  <c r="K108" i="1" s="1"/>
  <c r="H108" i="1"/>
  <c r="J116" i="1"/>
  <c r="K116" i="1" s="1"/>
  <c r="H116" i="1"/>
  <c r="J124" i="1"/>
  <c r="K124" i="1" s="1"/>
  <c r="H124" i="1"/>
  <c r="N41" i="1"/>
  <c r="N37" i="1"/>
  <c r="N33" i="1"/>
  <c r="N29" i="1"/>
  <c r="N25" i="1"/>
  <c r="N21" i="1"/>
  <c r="N17" i="1"/>
  <c r="N13" i="1"/>
  <c r="N9" i="1"/>
  <c r="N5" i="1"/>
  <c r="J3" i="1"/>
  <c r="K3" i="1" s="1"/>
  <c r="H5" i="1"/>
  <c r="J7" i="1"/>
  <c r="K7" i="1" s="1"/>
  <c r="I9" i="1"/>
  <c r="G9" i="2" s="1"/>
  <c r="J11" i="1"/>
  <c r="K11" i="1" s="1"/>
  <c r="I13" i="1"/>
  <c r="G13" i="2" s="1"/>
  <c r="J15" i="1"/>
  <c r="K15" i="1" s="1"/>
  <c r="I17" i="1"/>
  <c r="G17" i="2" s="1"/>
  <c r="J19" i="1"/>
  <c r="K19" i="1" s="1"/>
  <c r="H21" i="1"/>
  <c r="J23" i="1"/>
  <c r="K23" i="1" s="1"/>
  <c r="H25" i="1"/>
  <c r="J27" i="1"/>
  <c r="K27" i="1" s="1"/>
  <c r="H29" i="1"/>
  <c r="J31" i="1"/>
  <c r="K31" i="1" s="1"/>
  <c r="H33" i="1"/>
  <c r="J35" i="1"/>
  <c r="K35" i="1" s="1"/>
  <c r="H37" i="1"/>
  <c r="J39" i="1"/>
  <c r="K39" i="1" s="1"/>
  <c r="I41" i="1"/>
  <c r="G41" i="2" s="1"/>
  <c r="J43" i="1"/>
  <c r="K43" i="1" s="1"/>
  <c r="H45" i="1"/>
  <c r="J47" i="1"/>
  <c r="K47" i="1" s="1"/>
  <c r="H49" i="1"/>
  <c r="J51" i="1"/>
  <c r="K51" i="1" s="1"/>
  <c r="I53" i="1"/>
  <c r="G53" i="2" s="1"/>
  <c r="J56" i="1"/>
  <c r="K56" i="1" s="1"/>
  <c r="H56" i="1"/>
  <c r="J60" i="1"/>
  <c r="K60" i="1" s="1"/>
  <c r="I60" i="1"/>
  <c r="G60" i="2" s="1"/>
  <c r="J64" i="1"/>
  <c r="K64" i="1" s="1"/>
  <c r="H64" i="1"/>
  <c r="J72" i="1"/>
  <c r="K72" i="1" s="1"/>
  <c r="I72" i="1"/>
  <c r="G72" i="2" s="1"/>
  <c r="J80" i="1"/>
  <c r="K80" i="1" s="1"/>
  <c r="H80" i="1"/>
  <c r="J88" i="1"/>
  <c r="K88" i="1" s="1"/>
  <c r="H88" i="1"/>
  <c r="J96" i="1"/>
  <c r="K96" i="1" s="1"/>
  <c r="H96" i="1"/>
  <c r="J104" i="1"/>
  <c r="K104" i="1" s="1"/>
  <c r="I104" i="1"/>
  <c r="G104" i="2" s="1"/>
  <c r="J112" i="1"/>
  <c r="K112" i="1" s="1"/>
  <c r="H112" i="1"/>
  <c r="J120" i="1"/>
  <c r="K120" i="1" s="1"/>
  <c r="H120" i="1"/>
  <c r="H58" i="1"/>
  <c r="J58" i="1"/>
  <c r="K58" i="1" s="1"/>
  <c r="I62" i="1"/>
  <c r="G62" i="2" s="1"/>
  <c r="J62" i="1"/>
  <c r="K62" i="1" s="1"/>
  <c r="J66" i="1"/>
  <c r="K66" i="1" s="1"/>
  <c r="J70" i="1"/>
  <c r="K70" i="1" s="1"/>
  <c r="J74" i="1"/>
  <c r="K74" i="1" s="1"/>
  <c r="J78" i="1"/>
  <c r="K78" i="1" s="1"/>
  <c r="L78" i="1" s="1"/>
  <c r="N78" i="1" s="1"/>
  <c r="J82" i="1"/>
  <c r="K82" i="1" s="1"/>
  <c r="J86" i="1"/>
  <c r="K86" i="1" s="1"/>
  <c r="J90" i="1"/>
  <c r="K90" i="1" s="1"/>
  <c r="J94" i="1"/>
  <c r="K94" i="1" s="1"/>
  <c r="J98" i="1"/>
  <c r="K98" i="1" s="1"/>
  <c r="J102" i="1"/>
  <c r="K102" i="1" s="1"/>
  <c r="J106" i="1"/>
  <c r="K106" i="1" s="1"/>
  <c r="J110" i="1"/>
  <c r="K110" i="1" s="1"/>
  <c r="J114" i="1"/>
  <c r="K114" i="1" s="1"/>
  <c r="J118" i="1"/>
  <c r="K118" i="1" s="1"/>
  <c r="J122" i="1"/>
  <c r="K122" i="1" s="1"/>
  <c r="J126" i="1"/>
  <c r="K126" i="1" s="1"/>
  <c r="A127" i="2"/>
  <c r="B127" i="2"/>
  <c r="C127" i="2"/>
  <c r="D127" i="2"/>
  <c r="E127" i="2"/>
  <c r="I2" i="1" l="1"/>
  <c r="G2" i="2" s="1"/>
  <c r="I8" i="1"/>
  <c r="G8" i="2" s="1"/>
  <c r="I57" i="1"/>
  <c r="G57" i="2" s="1"/>
  <c r="I109" i="1"/>
  <c r="G109" i="2" s="1"/>
  <c r="I121" i="1"/>
  <c r="G121" i="2" s="1"/>
  <c r="I88" i="1"/>
  <c r="G88" i="2" s="1"/>
  <c r="F88" i="2"/>
  <c r="I37" i="1"/>
  <c r="G37" i="2" s="1"/>
  <c r="F37" i="2"/>
  <c r="I29" i="1"/>
  <c r="G29" i="2" s="1"/>
  <c r="F29" i="2"/>
  <c r="I21" i="1"/>
  <c r="G21" i="2" s="1"/>
  <c r="F21" i="2"/>
  <c r="I5" i="1"/>
  <c r="G5" i="2" s="1"/>
  <c r="F5" i="2"/>
  <c r="I16" i="1"/>
  <c r="G16" i="2" s="1"/>
  <c r="G128" i="2" s="1"/>
  <c r="F16" i="2"/>
  <c r="I34" i="1"/>
  <c r="G34" i="2" s="1"/>
  <c r="I40" i="1"/>
  <c r="G40" i="2" s="1"/>
  <c r="I125" i="1"/>
  <c r="G125" i="2" s="1"/>
  <c r="F125" i="2"/>
  <c r="I36" i="1"/>
  <c r="G36" i="2" s="1"/>
  <c r="F36" i="2"/>
  <c r="I112" i="1"/>
  <c r="G112" i="2" s="1"/>
  <c r="F112" i="2"/>
  <c r="I96" i="1"/>
  <c r="G96" i="2" s="1"/>
  <c r="F96" i="2"/>
  <c r="I80" i="1"/>
  <c r="G80" i="2" s="1"/>
  <c r="F80" i="2"/>
  <c r="I64" i="1"/>
  <c r="G64" i="2" s="1"/>
  <c r="F64" i="2"/>
  <c r="I56" i="1"/>
  <c r="G56" i="2" s="1"/>
  <c r="F56" i="2"/>
  <c r="I49" i="1"/>
  <c r="G49" i="2" s="1"/>
  <c r="F49" i="2"/>
  <c r="I33" i="1"/>
  <c r="G33" i="2" s="1"/>
  <c r="F33" i="2"/>
  <c r="I25" i="1"/>
  <c r="G25" i="2" s="1"/>
  <c r="F25" i="2"/>
  <c r="I116" i="1"/>
  <c r="G116" i="2" s="1"/>
  <c r="F116" i="2"/>
  <c r="I84" i="1"/>
  <c r="G84" i="2" s="1"/>
  <c r="F84" i="2"/>
  <c r="I68" i="1"/>
  <c r="G68" i="2" s="1"/>
  <c r="F68" i="2"/>
  <c r="I26" i="1"/>
  <c r="G26" i="2" s="1"/>
  <c r="I107" i="1"/>
  <c r="G107" i="2" s="1"/>
  <c r="F107" i="2"/>
  <c r="I120" i="1"/>
  <c r="G120" i="2" s="1"/>
  <c r="F120" i="2"/>
  <c r="I45" i="1"/>
  <c r="G45" i="2" s="1"/>
  <c r="F45" i="2"/>
  <c r="I124" i="1"/>
  <c r="G124" i="2" s="1"/>
  <c r="F124" i="2"/>
  <c r="I108" i="1"/>
  <c r="G108" i="2" s="1"/>
  <c r="F108" i="2"/>
  <c r="I92" i="1"/>
  <c r="G92" i="2" s="1"/>
  <c r="F92" i="2"/>
  <c r="I103" i="1"/>
  <c r="G103" i="2" s="1"/>
  <c r="F103" i="2"/>
  <c r="I20" i="1"/>
  <c r="G20" i="2" s="1"/>
  <c r="F20" i="2"/>
  <c r="I52" i="1"/>
  <c r="G52" i="2" s="1"/>
  <c r="F52" i="2"/>
  <c r="I58" i="1"/>
  <c r="G58" i="2" s="1"/>
  <c r="F58" i="2"/>
  <c r="I69" i="1"/>
  <c r="G69" i="2" s="1"/>
  <c r="F69" i="2"/>
  <c r="G127" i="2"/>
  <c r="F127" i="2"/>
  <c r="H128" i="2"/>
</calcChain>
</file>

<file path=xl/sharedStrings.xml><?xml version="1.0" encoding="utf-8"?>
<sst xmlns="http://schemas.openxmlformats.org/spreadsheetml/2006/main" count="416" uniqueCount="202">
  <si>
    <t>ITEM</t>
  </si>
  <si>
    <t>QTD</t>
  </si>
  <si>
    <t>UND</t>
  </si>
  <si>
    <t>VALOR TOTAL</t>
  </si>
  <si>
    <t>VALOR DE CUSTO</t>
  </si>
  <si>
    <t>DESCRIÇÃO</t>
  </si>
  <si>
    <t>MARCA</t>
  </si>
  <si>
    <t>Total</t>
  </si>
  <si>
    <t>VALOR UNITÁRIO</t>
  </si>
  <si>
    <t>TOTAL POR EXTENSO</t>
  </si>
  <si>
    <t>PERCENTUAL MÍNIMO</t>
  </si>
  <si>
    <t>VALOR MÍNIMO</t>
  </si>
  <si>
    <t>LANCE ATUAL</t>
  </si>
  <si>
    <t>POSIÇÃO</t>
  </si>
  <si>
    <t>VALOR TOTAL DO LANCE</t>
  </si>
  <si>
    <t>CUSTO + PERCENTUAL DE ENTRADA</t>
  </si>
  <si>
    <t>PERCENTUAL DE ENTRADA</t>
  </si>
  <si>
    <t>LOTE</t>
  </si>
  <si>
    <t>DESCRIÇÃO DO ITEM</t>
  </si>
  <si>
    <t>QUANTIDADE DO ITEM</t>
  </si>
  <si>
    <t>ACETATO DE DEXAMETASONA CREME 1MG//G TUBO 10 G</t>
  </si>
  <si>
    <t>ACETATO DE MEDROXIPROGESTERONA SUSPENSAO INJETAVEL 150 MG/ML</t>
  </si>
  <si>
    <t>ACIDO ACETILSALICILICO 100 MG COMPRIMIDO</t>
  </si>
  <si>
    <t>ACIDO FOLICO 5MG</t>
  </si>
  <si>
    <t>ACIDO VALPROICO 250MG</t>
  </si>
  <si>
    <t>ACIDO VALPROICO 500 MG</t>
  </si>
  <si>
    <t>ALBENDAZOL 40 MG/ML SUSPENSAO ORAL   - FRASCO COM 10 ML  - FRASCO COM 10 ML</t>
  </si>
  <si>
    <t>ALBENDAZOL 400 MG COMPRIMIDO MASTIGAVEL</t>
  </si>
  <si>
    <t>ALENDRONATO SODIO 70 MG COMPRIMIDO</t>
  </si>
  <si>
    <t>ALOPURINOL 100 MG</t>
  </si>
  <si>
    <t>ALOPURINOL 300 MG COMPRIMIDO</t>
  </si>
  <si>
    <t>AMOXICILINA 250MG/5ML SUSPENSAO ORAL 150ML</t>
  </si>
  <si>
    <t>AMOXILINA + CLAVULANATO DE POTASSIO 50+12,5 MG/ML PO PARA SUSPENSAO ORAL</t>
  </si>
  <si>
    <t>AMOXILINA + CLAVULANATO DE POTASSIO 500+125 MG COMPRIMIDO</t>
  </si>
  <si>
    <t>AMOXILINA 500MG CAPSULA</t>
  </si>
  <si>
    <t>ANLODIPINO BESILATO 10 MG COMPRIMIDO</t>
  </si>
  <si>
    <t>ATENOLOL 50MG</t>
  </si>
  <si>
    <t>AZITROMICINA 40 MG/ML (600 MG) PO PARA SUSPENSAO ORAL</t>
  </si>
  <si>
    <t>AZITROMICINA DI-HIDRATADA 500MG</t>
  </si>
  <si>
    <t>BENZOILMETRONIDAZOL 40MG/ML SUSPENSAO ORAL</t>
  </si>
  <si>
    <t>BESILATO DE ANLODIPINO  5MG</t>
  </si>
  <si>
    <t>CAPTOPRIL 25 MG COMPRIMIDO</t>
  </si>
  <si>
    <t>CARBAMAZEPINA 20 MG/ML SUSPENSAO ORAL</t>
  </si>
  <si>
    <t>CARBAMAZEPINA 200 MG</t>
  </si>
  <si>
    <t>CARBAMAZEPINA 400 MG COMPRIMIDO</t>
  </si>
  <si>
    <t>CARBONATO DE CALCIO 500MG</t>
  </si>
  <si>
    <t>CARBONATO DE LITIO 300MG</t>
  </si>
  <si>
    <t>CARVEDILOL 12,5 MG COMPRIMIDO</t>
  </si>
  <si>
    <t>CARVEDILOL 25 MG COMPRIMIDO</t>
  </si>
  <si>
    <t>CARVEDILOL 3,125 MG COMPRIMIDO</t>
  </si>
  <si>
    <t>CARVEDILOL 6,25 MG COMPRIMIDO</t>
  </si>
  <si>
    <t>CEFALEXINA 500 MG COMPRIMIDO</t>
  </si>
  <si>
    <t>CEFALEXINA SUSPENSAO ORAL 250MG/5ML 100ML</t>
  </si>
  <si>
    <t>CETOCONAZOL 20MG/ML SHAMPOO</t>
  </si>
  <si>
    <t>CICLO 21 LEVONORGESTREL 0,15MG + ETINILESTRADIOL 0,03MG</t>
  </si>
  <si>
    <t>CIPROFLOXACINO CLORIDRATO 500 MG COMPRIMIDO</t>
  </si>
  <si>
    <t>CLARITROMICINA 500MG COMPRIMIDO</t>
  </si>
  <si>
    <t>DIPROPIONATO DE BECLOMETASONA 200MCG SPRAY 200 DOSES 10ML</t>
  </si>
  <si>
    <t>DIPROPIONATO DE BECLOMETASONA 50MCG SPRAY 200 DOSES 10ML</t>
  </si>
  <si>
    <t>DIPROPIONATO DE BECLOMETASONA 250 MCG/DOSE SOL AER CT TB AL + DISPOSITIVO ORAL X 200 DOSES</t>
  </si>
  <si>
    <t>CLONAZEPAM 2,5MG/ML</t>
  </si>
  <si>
    <t>CLORETO DE SODIO 9 MG/ML SOLUCAO NASAL (NASOJET)</t>
  </si>
  <si>
    <t>CLORIDRATO DE AMIODARONA 200MG</t>
  </si>
  <si>
    <t>CLORIDRATO DE AMITRIPTILINA 25 MG CAIXA COM 30</t>
  </si>
  <si>
    <t>CLORIDRATO DE BIPERIDENO 2MG</t>
  </si>
  <si>
    <t>CLORIDRATO DE CLOMIPRAMINA 25 MG</t>
  </si>
  <si>
    <t>CLORIDRATO DE CLORPROMAZINA 100MG</t>
  </si>
  <si>
    <t>CLORIDRATO DE CLORPROMAZINA 25MG</t>
  </si>
  <si>
    <t>CLORIDRATO DE CLORPROMAZINA 40MG/ML SOL OR CT FR VD GOTAS X 20ML 4%</t>
  </si>
  <si>
    <t>CLORIDRATO DE HIDRALAZINA 25MG</t>
  </si>
  <si>
    <t>CLORIDRATO DE IMIPRAMINA 25 MG</t>
  </si>
  <si>
    <t>CLORIDRATO DE PROPRANOLOL 40MG</t>
  </si>
  <si>
    <t>CLORIDRATO DE VERAPAMIL 80MG</t>
  </si>
  <si>
    <t>DEXAMETASONA 1 MG/ML (0,1%) SUSPENSAO OFTALMICA</t>
  </si>
  <si>
    <t>DEXCLORFENIRAMINA MALEATO 0,4 MG/ML SOLUCAO ORAL</t>
  </si>
  <si>
    <t>DEXCLORFENIRAMINA MALEATO 2MG</t>
  </si>
  <si>
    <t>DIAZEPAM 10 MG</t>
  </si>
  <si>
    <t>DIAZEPAM 5 MG</t>
  </si>
  <si>
    <t>DIGOXINA 0,25 MG</t>
  </si>
  <si>
    <t>DINITRATO DE ISOSSORBIDA 5MG SUBLINGUAL</t>
  </si>
  <si>
    <t>DIPIRONA SODICA 500 MG COMPRIMIDO</t>
  </si>
  <si>
    <t>DIPIRONA SODICA 500MG/ML FRASCO 20ML</t>
  </si>
  <si>
    <t>DOXAZOSINA 2MG</t>
  </si>
  <si>
    <t>DOXAZOSINA MESILATO 4MG</t>
  </si>
  <si>
    <t>ENALAPRIL MALEATO 10 MG COMPRIMIDO</t>
  </si>
  <si>
    <t>ENALAPRIL MALEATO 20 MG</t>
  </si>
  <si>
    <t>ENALAPRIL MALEATO 5 MG COMPRIMIDO</t>
  </si>
  <si>
    <t>ESPIRONOCTONA 25 MG</t>
  </si>
  <si>
    <t>ESTRIOL 1MG/G CREME VAGINAL</t>
  </si>
  <si>
    <t>FENITOINA SODICA 100 MG COMPRIMIDO</t>
  </si>
  <si>
    <t>FENOBARBITAL 100MG</t>
  </si>
  <si>
    <t>FENOBARBITAL SODICO 40 MG/ML SOLUCAO ORAL</t>
  </si>
  <si>
    <t>FLUCONAZOL 150 MG - CAPSULA</t>
  </si>
  <si>
    <t>FLUOXETINA CLORIDRATO 20 MG CAPSULA</t>
  </si>
  <si>
    <t>FOSFATO DE SODIO DE PREDNISOLONA 3MG/ML XAROPE</t>
  </si>
  <si>
    <t>FOSFATO SODICO PREDNISOLONA 1MG/ML</t>
  </si>
  <si>
    <t>FUROSEMIDA 40 MG COMPRIMIDO</t>
  </si>
  <si>
    <t>GLIBENCLAMIDA 5 MG COMPRIMIDO</t>
  </si>
  <si>
    <t>GLICLAZIDA 30 MG</t>
  </si>
  <si>
    <t>GLICLAZIDA 60MG COMPRIMIDO DE LIBERACAO PROLONGADA</t>
  </si>
  <si>
    <t>GLICOSIMETROS (MEDIDOR DE GLICOSE)</t>
  </si>
  <si>
    <t>HALO DECANOATO 70,52 MG/ML (HALOPERIDOL) AMPOLA 1 ML</t>
  </si>
  <si>
    <t>HALOPERIDOL 1MG</t>
  </si>
  <si>
    <t>HALOPERIDOL 2 MG/ML SOLUCAO ORAL</t>
  </si>
  <si>
    <t>HALOPERIDOL 5 MG COMPRIMIDO</t>
  </si>
  <si>
    <t>HIDROCLOROTIAZIDA 25 MG COMPRIMIDO</t>
  </si>
  <si>
    <t>HIDROCORTISONA ACETATO 10MG/G CREME DERMATOLOGICO</t>
  </si>
  <si>
    <t>IBUPROFENO 50MG/ML</t>
  </si>
  <si>
    <t>IBUPROFENO 600 MG COMPRIMIDO</t>
  </si>
  <si>
    <t>ISOSSORBIDA MONONITRATO 20 MG COMPRIMIDO</t>
  </si>
  <si>
    <t>ISOSSORBIDA MONONITRATO 40 MG</t>
  </si>
  <si>
    <t>ITRACONAZOL 100MG</t>
  </si>
  <si>
    <t>IVERMECTINA 6MG</t>
  </si>
  <si>
    <t>LANCETA PARA PUNCAO - LANCETA PARA LANCETADOR</t>
  </si>
  <si>
    <t>LEVODOPA + CARBIDOPA 250 + 25 MG COMPRIMIDO</t>
  </si>
  <si>
    <t>LEVOTIROXINA SODICA 100 MCG</t>
  </si>
  <si>
    <t>LEVOTIROXINA SODICA 25 MCG COMPRIMIDO</t>
  </si>
  <si>
    <t>LEVOTIROXINA SODICA 50 MCG COMPRIMIDO</t>
  </si>
  <si>
    <t>LORATADINA 1 MG/ML XAROPE</t>
  </si>
  <si>
    <t>LORATADINA 10MG</t>
  </si>
  <si>
    <t>LOSARTANA POTASSICA 50MG</t>
  </si>
  <si>
    <t>MALEATO DE TIMOLOL 5MG/ML 0,5%</t>
  </si>
  <si>
    <t>METFORMINA CLORIDRATO  850 MG COMPRIMIDO</t>
  </si>
  <si>
    <t>METFORMINA CLORIDRATO 500 MG COMPRIMIDO</t>
  </si>
  <si>
    <t>METILDOPA 250 MG COMPRIMIDO</t>
  </si>
  <si>
    <t>METOCLOPRAMIDA CLORIDRATO 10 MG COMPRIMIDO</t>
  </si>
  <si>
    <t>METOCLOPRAMIDA CLORIDRATO 4 MG/ML SOLUCAO ORAL</t>
  </si>
  <si>
    <t>METOPROLOL SUCCINATO 100 MCG COMPRIMIDO REVESTIDO DE LIBERACAO CONTROLADA</t>
  </si>
  <si>
    <t>METOPROLOL SUCCINATO 25 MG COMPRIMIDO REVESTIDO DE LIBERACAO CONTROLADA</t>
  </si>
  <si>
    <t>METOPROLOL SUCCINATO 50 MG COMPRIMIDO REVESTIDO DE LIBERACAO CONTROLADA</t>
  </si>
  <si>
    <t>METRONIDAZOL 250 MG COMPRIMIDO</t>
  </si>
  <si>
    <t>METRONIDAZOL 400 MG</t>
  </si>
  <si>
    <t>MICONAZOL NITRATO 20 MG/G CREME VAGINAL</t>
  </si>
  <si>
    <t>NITRATO DE MICONAZOL 20 MG CREME DERMATOLOGICO - EMBALAGEM 28 GRAMAS</t>
  </si>
  <si>
    <t>NITROFURANTOINA 100 MG CAPSULA</t>
  </si>
  <si>
    <t>ENANTATO DE NORETISTERONA + VALERATO DE ESTRADIOL 50 + 5 MG/ML SOLUÇÃO INJETÁVEL C/ 1 AMPOLA 1 ML</t>
  </si>
  <si>
    <t>NORTRIPTILINA CLORIDRATO 25 MG</t>
  </si>
  <si>
    <t>NORTRIPTILINA CLORIDRATO 50 MG CAPSULA</t>
  </si>
  <si>
    <t>OMEPRAZOL 20MG</t>
  </si>
  <si>
    <t>PARACETAMOL 200 MG/ML SOLUCAO ORAL</t>
  </si>
  <si>
    <t>PARACETAMOL 500 MG COMPRIMIDO</t>
  </si>
  <si>
    <t>PREDNISONA 20 MG COMPRIMIDO</t>
  </si>
  <si>
    <t>PREDNISONA 5 MG COMPRIMIDO</t>
  </si>
  <si>
    <t>LEVODORA + CLORIDRATO DE BENZERAZIDA 100/25 MG BD</t>
  </si>
  <si>
    <t>LEVODORA + CORIDRATO DE BENZERAZIDA 200MG/50 MG</t>
  </si>
  <si>
    <t>REIDRATANTE ORAL PO PARA SOLUCAO ORAL DE 27,9G CADA</t>
  </si>
  <si>
    <t>SINVASTATINA 10MG</t>
  </si>
  <si>
    <t>SINVASTATINA 20 MG</t>
  </si>
  <si>
    <t>SINVASTATINA 40 MG</t>
  </si>
  <si>
    <t>SULFADIAZINA DE PRATA 10 MG/G CREME</t>
  </si>
  <si>
    <t>SULFAMETOXAZOL + TRIMETROPRIMA 40 + 8 MG/ML SUSPENSAO ORAL</t>
  </si>
  <si>
    <t>SULFAMETOXAZOL + TRIMETROPRIMA 400 + 80 MG COMPRIMIDO</t>
  </si>
  <si>
    <t>SULFATO DE GENTAMICINA 5MG SOLUCAO OFTALMICA 5ML</t>
  </si>
  <si>
    <t>SULFATO DE SALBUTAMOL 100MCG AEROSOL ORAL</t>
  </si>
  <si>
    <t>SULFATO FERROSO 125 MG/ML GOTAS</t>
  </si>
  <si>
    <t>SULFATO FERROSO 199,13 MG</t>
  </si>
  <si>
    <t xml:space="preserve">FITA PARA TESTES DE GLICEMIA COMPATIVEL PARA O APARELHO ACCU-CHEK ACTIVE </t>
  </si>
  <si>
    <t>VARFARINA SODICA 5 MG COMPRIMIDO</t>
  </si>
  <si>
    <t>TB</t>
  </si>
  <si>
    <t>Osório de Moraes</t>
  </si>
  <si>
    <t>AM</t>
  </si>
  <si>
    <t>EMS</t>
  </si>
  <si>
    <t>Brasterápica</t>
  </si>
  <si>
    <t>CP</t>
  </si>
  <si>
    <t>Geolab</t>
  </si>
  <si>
    <t>Biolab</t>
  </si>
  <si>
    <t>UN</t>
  </si>
  <si>
    <t>Cellera</t>
  </si>
  <si>
    <t>Sandoz</t>
  </si>
  <si>
    <t>FR</t>
  </si>
  <si>
    <t>Eurofarma</t>
  </si>
  <si>
    <t>Brainfarma</t>
  </si>
  <si>
    <t>Vitamedic</t>
  </si>
  <si>
    <t>Pharlab</t>
  </si>
  <si>
    <t>Belfar</t>
  </si>
  <si>
    <t>Novartis</t>
  </si>
  <si>
    <t>Germed</t>
  </si>
  <si>
    <t>Nova Química</t>
  </si>
  <si>
    <t>Nativita</t>
  </si>
  <si>
    <t>Chiesi</t>
  </si>
  <si>
    <t>Natulab</t>
  </si>
  <si>
    <t>CX</t>
  </si>
  <si>
    <t>Sanofi</t>
  </si>
  <si>
    <t>Cristália</t>
  </si>
  <si>
    <t>Airela</t>
  </si>
  <si>
    <t>BN</t>
  </si>
  <si>
    <t>Teuto</t>
  </si>
  <si>
    <t>CA</t>
  </si>
  <si>
    <t>Medquímica</t>
  </si>
  <si>
    <t>Aché</t>
  </si>
  <si>
    <t>On Call Plus</t>
  </si>
  <si>
    <t>Legrand</t>
  </si>
  <si>
    <t>Merck</t>
  </si>
  <si>
    <t>Multilab</t>
  </si>
  <si>
    <t>Cifarma</t>
  </si>
  <si>
    <t>Ranbaxy</t>
  </si>
  <si>
    <t>Globo</t>
  </si>
  <si>
    <t>Roche</t>
  </si>
  <si>
    <t>Pharmascience</t>
  </si>
  <si>
    <t>Arte Nativa</t>
  </si>
  <si>
    <t>União Química</t>
  </si>
  <si>
    <t>Nutivit/Imec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</si>
</sst>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44" fontId="0" fillId="0" borderId="1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44" fontId="3" fillId="0" borderId="3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4" fontId="1" fillId="0" borderId="1" xfId="1" applyFont="1" applyBorder="1" applyAlignment="1">
      <alignment horizontal="center" vertical="center"/>
    </xf>
    <xf numFmtId="44" fontId="1" fillId="2" borderId="1" xfId="1" applyFont="1" applyFill="1" applyBorder="1" applyAlignment="1">
      <alignment horizontal="center" vertical="center"/>
    </xf>
    <xf numFmtId="0" fontId="1" fillId="0" borderId="1" xfId="1" applyNumberFormat="1" applyFon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17/10/relationships/person" Target="persons/pers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1.xml"/><Relationship Id="rId5" Type="http://schemas.openxmlformats.org/officeDocument/2006/relationships/styles" Target="styles.xml"/><Relationship Id="rId10" Type="http://schemas.microsoft.com/office/2017/10/relationships/person" Target="persons/person0.xml"/><Relationship Id="rId4" Type="http://schemas.openxmlformats.org/officeDocument/2006/relationships/theme" Target="theme/theme1.xml"/><Relationship Id="rId9" Type="http://schemas.microsoft.com/office/2017/10/relationships/person" Target="persons/person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1C68C0-8F04-4F32-8E6D-C50711AF0188}" name="TabelaPrincipal" displayName="TabelaPrincipal" ref="A1:N127" headerRowDxfId="44" dataDxfId="42" headerRowBorderDxfId="43" tableBorderDxfId="41" totalsRowBorderDxfId="40">
  <autoFilter ref="A1:N127" xr:uid="{0F1C68C0-8F04-4F32-8E6D-C50711AF0188}"/>
  <tableColumns count="14">
    <tableColumn id="1" xr3:uid="{51CFE57C-AFCD-46C7-A72C-4E116E9357EE}" name="ITEM" totalsRowLabel="Total" dataDxfId="39"/>
    <tableColumn id="2" xr3:uid="{E7B80085-C079-4ECA-B98E-E82F5E46696A}" name="DESCRIÇÃO" dataDxfId="38">
      <calculatedColumnFormula>VLOOKUP(TabelaPrincipal[[#This Row],[ITEM]],TabelaModelo,2,FALSE)</calculatedColumnFormula>
    </tableColumn>
    <tableColumn id="3" xr3:uid="{74DD09F8-5DE7-492D-ABF9-CC0D01F7D44D}" name="UND" dataDxfId="37"/>
    <tableColumn id="4" xr3:uid="{2D7CF20C-95AF-448A-964A-706613067BC5}" name="QTD" dataDxfId="36">
      <calculatedColumnFormula>VLOOKUP(TabelaPrincipal[[#This Row],[ITEM]],TabelaModelo,3,FALSE)</calculatedColumnFormula>
    </tableColumn>
    <tableColumn id="5" xr3:uid="{888FDB53-36CC-46AE-AFEA-75AF1F77389D}" name="MARCA" dataDxfId="35"/>
    <tableColumn id="6" xr3:uid="{E7330FE1-ADA8-42A4-B3C8-35EEACF8E856}" name="VALOR DE CUSTO" dataDxfId="34" dataCellStyle="Moeda"/>
    <tableColumn id="14" xr3:uid="{A34B0AAF-F1D2-4671-A532-9BD185994D6B}" name="PERCENTUAL DE ENTRADA" dataDxfId="33" dataCellStyle="Moeda">
      <calculatedColumnFormula>IF(_xlfn.ISFORMULA(TabelaPrincipal[[#This Row],[CUSTO + PERCENTUAL DE ENTRADA]]),0.4,(TabelaPrincipal[[#This Row],[CUSTO + PERCENTUAL DE ENTRADA]]-TabelaPrincipal[[#This Row],[VALOR DE CUSTO]])/TabelaPrincipal[[#This Row],[VALOR DE CUSTO]])</calculatedColumnFormula>
    </tableColumn>
    <tableColumn id="7" xr3:uid="{03389115-425F-4153-AA8F-FD518F675069}" name="CUSTO + PERCENTUAL DE ENTRADA" dataDxfId="32" totalsRowDxfId="31" dataCellStyle="Moeda">
      <calculatedColumnFormula>ROUND(F2+(F2*TabelaPrincipal[[#This Row],[PERCENTUAL DE ENTRADA]]), 2)</calculatedColumnFormula>
    </tableColumn>
    <tableColumn id="8" xr3:uid="{532B9320-507F-43A8-833D-2CFD5BDC3030}" name="VALOR TOTAL" dataDxfId="30" totalsRowDxfId="29" dataCellStyle="Moeda">
      <calculatedColumnFormula>D2*H2</calculatedColumnFormula>
    </tableColumn>
    <tableColumn id="12" xr3:uid="{47060763-EEF9-4198-9C8A-B2079FE74328}" name="PERCENTUAL MÍNIMO" dataDxfId="28" totalsRowDxfId="27">
      <calculatedColumnFormula>IF(TabelaPrincipal[[#This Row],[PERCENTUAL DE ENTRADA]]&gt;0,0.15,0)</calculatedColumnFormula>
    </tableColumn>
    <tableColumn id="13" xr3:uid="{8FA6F66F-B93C-4DF5-A099-D33323ED11B8}" name="VALOR MÍNIMO" totalsRowFunction="sum" dataDxfId="26" totalsRowDxfId="25">
      <calculatedColumnFormula>ROUND(F2+(F2*TabelaPrincipal[[#This Row],[PERCENTUAL MÍNIMO]]), 2)</calculatedColumnFormula>
    </tableColumn>
    <tableColumn id="9" xr3:uid="{9D0B07B5-0269-49DC-A3EC-C170D6496473}" name="LANCE ATUAL" dataDxfId="24" dataCellStyle="Moeda"/>
    <tableColumn id="10" xr3:uid="{2B3A16CA-ACFA-4765-8367-A064C061C94F}" name="POSIÇÃO" dataDxfId="23" dataCellStyle="Moeda"/>
    <tableColumn id="11" xr3:uid="{059F3929-D102-4D03-9013-A9DF3FD97FD7}" name="VALOR TOTAL DO LANCE" dataDxfId="22" dataCellStyle="Moeda">
      <calculatedColumnFormula>TabelaPrincipal[[#This Row],[LANCE ATUAL]]*TabelaPrincipal[[#This Row],[QTD]]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FAA1B4-814E-4223-B7E6-683C9654D63D}" name="TabelaProposta" displayName="TabelaProposta" ref="A1:H128" totalsRowCount="1" headerRowDxfId="21" dataDxfId="19" totalsRowDxfId="17" headerRowBorderDxfId="20" tableBorderDxfId="18" totalsRowBorderDxfId="16">
  <autoFilter ref="A1:H127" xr:uid="{2CFAA1B4-814E-4223-B7E6-683C9654D6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C2A8540-55DA-471A-8023-1DC82AFF521D}" name="ITEM" totalsRowLabel="Total" dataDxfId="15" totalsRowDxfId="14">
      <calculatedColumnFormula>TabelaPrincipal[[#This Row],[ITEM]]</calculatedColumnFormula>
    </tableColumn>
    <tableColumn id="2" xr3:uid="{F915D416-2888-4C08-B603-DD427B80EC39}" name="DESCRIÇÃO" dataDxfId="13" totalsRowDxfId="12">
      <calculatedColumnFormula>TabelaPrincipal[[#This Row],[DESCRIÇÃO]]</calculatedColumnFormula>
    </tableColumn>
    <tableColumn id="3" xr3:uid="{49DB4880-9F6A-4C83-B06A-2BE3AF89B478}" name="UND" dataDxfId="11" totalsRowDxfId="10">
      <calculatedColumnFormula>TabelaPrincipal[[#This Row],[UND]]</calculatedColumnFormula>
    </tableColumn>
    <tableColumn id="4" xr3:uid="{88402F2B-2E49-4C7B-B78B-F865BFB0E1DD}" name="QTD" dataDxfId="9" totalsRowDxfId="8">
      <calculatedColumnFormula>TabelaPrincipal[[#This Row],[QTD]]</calculatedColumnFormula>
    </tableColumn>
    <tableColumn id="5" xr3:uid="{3DB67E5A-8A24-45E8-8217-4846CFFF15A4}" name="MARCA" dataDxfId="7" totalsRowDxfId="6">
      <calculatedColumnFormula>TabelaPrincipal[[#This Row],[MARCA]]</calculatedColumnFormula>
    </tableColumn>
    <tableColumn id="6" xr3:uid="{B69EC1DE-FD02-4E24-9A4E-2413AAC85E68}" name="VALOR UNITÁRIO" dataDxfId="5" totalsRowDxfId="4">
      <calculatedColumnFormula>TabelaPrincipal[[#This Row],[CUSTO + PERCENTUAL DE ENTRADA]]</calculatedColumnFormula>
    </tableColumn>
    <tableColumn id="7" xr3:uid="{AB54B16F-01C8-42F8-BA21-D18026C5F589}" name="VALOR TOTAL" totalsRowFunction="sum" dataDxfId="3" totalsRowDxfId="2">
      <calculatedColumnFormula>TabelaPrincipal[[#This Row],[VALOR TOTAL]]</calculatedColumnFormula>
    </tableColumn>
    <tableColumn id="8" xr3:uid="{937D679C-928B-4903-8AF2-2ECD36984D55}" name="TOTAL POR EXTENSO" totalsRowFunction="custom" dataDxfId="1" totalsRowDxfId="0">
      <totalsRowFormula>Extenso_Valor(TabelaProposta[[#Totals],[VALOR TOTAL]])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127"/>
  <sheetViews>
    <sheetView tabSelected="1" zoomScale="80" zoomScaleNormal="80" workbookViewId="0">
      <pane ySplit="1" topLeftCell="A44" activePane="bottomLeft" state="frozen"/>
      <selection pane="bottomLeft" activeCell="B59" sqref="B59"/>
    </sheetView>
  </sheetViews>
  <sheetFormatPr defaultRowHeight="15" customHeight="1" x14ac:dyDescent="0.25"/>
  <cols>
    <col min="1" max="1" width="7" customWidth="1"/>
    <col min="2" max="2" width="60.7109375" customWidth="1"/>
    <col min="3" max="3" width="10.85546875" customWidth="1"/>
    <col min="4" max="4" width="11.28515625" customWidth="1"/>
    <col min="5" max="5" width="13.5703125" customWidth="1"/>
    <col min="6" max="6" width="16" customWidth="1"/>
    <col min="7" max="7" width="12.7109375" customWidth="1"/>
    <col min="8" max="8" width="16.5703125" customWidth="1"/>
    <col min="9" max="9" width="17.28515625" customWidth="1"/>
    <col min="10" max="10" width="13" customWidth="1"/>
    <col min="11" max="11" width="12.85546875" bestFit="1" customWidth="1"/>
    <col min="12" max="12" width="13.42578125" customWidth="1"/>
    <col min="13" max="13" width="12" customWidth="1"/>
    <col min="14" max="14" width="17.28515625" customWidth="1"/>
  </cols>
  <sheetData>
    <row r="1" spans="1:14" ht="45" x14ac:dyDescent="0.25">
      <c r="A1" s="3" t="s">
        <v>0</v>
      </c>
      <c r="B1" s="4" t="s">
        <v>5</v>
      </c>
      <c r="C1" s="4" t="s">
        <v>2</v>
      </c>
      <c r="D1" s="4" t="s">
        <v>1</v>
      </c>
      <c r="E1" s="4" t="s">
        <v>6</v>
      </c>
      <c r="F1" s="18" t="s">
        <v>4</v>
      </c>
      <c r="G1" s="18" t="s">
        <v>16</v>
      </c>
      <c r="H1" s="18" t="s">
        <v>15</v>
      </c>
      <c r="I1" s="19" t="s">
        <v>3</v>
      </c>
      <c r="J1" s="18" t="s">
        <v>10</v>
      </c>
      <c r="K1" s="18" t="s">
        <v>11</v>
      </c>
      <c r="L1" s="18" t="s">
        <v>12</v>
      </c>
      <c r="M1" s="4" t="s">
        <v>13</v>
      </c>
      <c r="N1" s="18" t="s">
        <v>14</v>
      </c>
    </row>
    <row r="2" spans="1:14" ht="15" customHeight="1" x14ac:dyDescent="0.25">
      <c r="A2" s="20">
        <v>1</v>
      </c>
      <c r="B2" s="21" t="str">
        <f>VLOOKUP(TabelaPrincipal[[#This Row],[ITEM]],TabelaModelo,2,FALSE)</f>
        <v>ACETATO DE DEXAMETASONA CREME 1MG//G TUBO 10 G</v>
      </c>
      <c r="C2" s="22" t="s">
        <v>158</v>
      </c>
      <c r="D2" s="22">
        <f>VLOOKUP(TabelaPrincipal[[#This Row],[ITEM]],TabelaModelo,3,FALSE)</f>
        <v>700</v>
      </c>
      <c r="E2" s="22" t="s">
        <v>159</v>
      </c>
      <c r="F2" s="23">
        <v>3.24</v>
      </c>
      <c r="G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" s="1">
        <f>ROUND(F2+(F2*TabelaPrincipal[[#This Row],[PERCENTUAL DE ENTRADA]]), 2)</f>
        <v>4.54</v>
      </c>
      <c r="I2" s="2">
        <f t="shared" ref="I2:I65" si="0">D2*H2</f>
        <v>3178</v>
      </c>
      <c r="J2" s="5">
        <f>IF(TabelaPrincipal[[#This Row],[PERCENTUAL DE ENTRADA]]&gt;0,0.15,0)</f>
        <v>0.15</v>
      </c>
      <c r="K2" s="1">
        <f>ROUND(F2+(F2*TabelaPrincipal[[#This Row],[PERCENTUAL MÍNIMO]]), 2)</f>
        <v>3.73</v>
      </c>
      <c r="L2" s="24">
        <v>3.73</v>
      </c>
      <c r="M2" s="25"/>
      <c r="N2" s="23">
        <f>TabelaPrincipal[[#This Row],[LANCE ATUAL]]*TabelaPrincipal[[#This Row],[QTD]]</f>
        <v>2611</v>
      </c>
    </row>
    <row r="3" spans="1:14" ht="15" customHeight="1" x14ac:dyDescent="0.25">
      <c r="A3" s="20">
        <v>2</v>
      </c>
      <c r="B3" s="21" t="str">
        <f>VLOOKUP(TabelaPrincipal[[#This Row],[ITEM]],TabelaModelo,2,FALSE)</f>
        <v>ACETATO DE MEDROXIPROGESTERONA SUSPENSAO INJETAVEL 150 MG/ML</v>
      </c>
      <c r="C3" s="22" t="s">
        <v>160</v>
      </c>
      <c r="D3" s="22">
        <f>VLOOKUP(TabelaPrincipal[[#This Row],[ITEM]],TabelaModelo,3,FALSE)</f>
        <v>100</v>
      </c>
      <c r="E3" s="22" t="s">
        <v>161</v>
      </c>
      <c r="F3" s="23">
        <v>28.2</v>
      </c>
      <c r="G3" s="5">
        <f>IF(_xlfn.ISFORMULA(TabelaPrincipal[[#This Row],[CUSTO + PERCENTUAL DE ENTRADA]]),0.4,(TabelaPrincipal[[#This Row],[CUSTO + PERCENTUAL DE ENTRADA]]-TabelaPrincipal[[#This Row],[VALOR DE CUSTO]])/TabelaPrincipal[[#This Row],[VALOR DE CUSTO]])</f>
        <v>0.69574468085106389</v>
      </c>
      <c r="H3" s="1">
        <v>47.82</v>
      </c>
      <c r="I3" s="2">
        <f t="shared" si="0"/>
        <v>4782</v>
      </c>
      <c r="J3" s="5">
        <f>IF(TabelaPrincipal[[#This Row],[PERCENTUAL DE ENTRADA]]&gt;0,0.15,0)</f>
        <v>0.15</v>
      </c>
      <c r="K3" s="1">
        <f>ROUND(F3+(F3*TabelaPrincipal[[#This Row],[PERCENTUAL MÍNIMO]]), 2)</f>
        <v>32.43</v>
      </c>
      <c r="L3" s="24">
        <v>32.43</v>
      </c>
      <c r="M3" s="25"/>
      <c r="N3" s="23">
        <f>TabelaPrincipal[[#This Row],[LANCE ATUAL]]*TabelaPrincipal[[#This Row],[QTD]]</f>
        <v>3243</v>
      </c>
    </row>
    <row r="4" spans="1:14" ht="15" customHeight="1" x14ac:dyDescent="0.25">
      <c r="A4" s="20">
        <v>3</v>
      </c>
      <c r="B4" s="21" t="str">
        <f>VLOOKUP(TabelaPrincipal[[#This Row],[ITEM]],TabelaModelo,2,FALSE)</f>
        <v>ACIDO ACETILSALICILICO 100 MG COMPRIMIDO</v>
      </c>
      <c r="C4" s="22" t="s">
        <v>163</v>
      </c>
      <c r="D4" s="22">
        <f>VLOOKUP(TabelaPrincipal[[#This Row],[ITEM]],TabelaModelo,3,FALSE)</f>
        <v>62000</v>
      </c>
      <c r="E4" s="22" t="s">
        <v>162</v>
      </c>
      <c r="F4" s="23">
        <v>0.06</v>
      </c>
      <c r="G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" s="1">
        <f>ROUND(F4+(F4*TabelaPrincipal[[#This Row],[PERCENTUAL DE ENTRADA]]), 2)</f>
        <v>0.08</v>
      </c>
      <c r="I4" s="2">
        <f t="shared" si="0"/>
        <v>4960</v>
      </c>
      <c r="J4" s="5">
        <f>IF(TabelaPrincipal[[#This Row],[PERCENTUAL DE ENTRADA]]&gt;0,0.15,0)</f>
        <v>0.15</v>
      </c>
      <c r="K4" s="1">
        <f>ROUND(F4+(F4*TabelaPrincipal[[#This Row],[PERCENTUAL MÍNIMO]]), 2)</f>
        <v>7.0000000000000007E-2</v>
      </c>
      <c r="L4" s="24">
        <v>0.08</v>
      </c>
      <c r="M4" s="25"/>
      <c r="N4" s="23">
        <f>TabelaPrincipal[[#This Row],[LANCE ATUAL]]*TabelaPrincipal[[#This Row],[QTD]]</f>
        <v>4960</v>
      </c>
    </row>
    <row r="5" spans="1:14" ht="15" customHeight="1" x14ac:dyDescent="0.25">
      <c r="A5" s="20">
        <v>4</v>
      </c>
      <c r="B5" s="21" t="str">
        <f>VLOOKUP(TabelaPrincipal[[#This Row],[ITEM]],TabelaModelo,2,FALSE)</f>
        <v>ACIDO FOLICO 5MG</v>
      </c>
      <c r="C5" s="22" t="s">
        <v>163</v>
      </c>
      <c r="D5" s="22">
        <f>VLOOKUP(TabelaPrincipal[[#This Row],[ITEM]],TabelaModelo,3,FALSE)</f>
        <v>10000</v>
      </c>
      <c r="E5" s="22" t="s">
        <v>164</v>
      </c>
      <c r="F5" s="23">
        <v>0.2</v>
      </c>
      <c r="G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" s="1">
        <f>ROUND(F5+(F5*TabelaPrincipal[[#This Row],[PERCENTUAL DE ENTRADA]]), 2)</f>
        <v>0.28000000000000003</v>
      </c>
      <c r="I5" s="2">
        <f t="shared" si="0"/>
        <v>2800.0000000000005</v>
      </c>
      <c r="J5" s="5">
        <f>IF(TabelaPrincipal[[#This Row],[PERCENTUAL DE ENTRADA]]&gt;0,0.15,0)</f>
        <v>0.15</v>
      </c>
      <c r="K5" s="1">
        <f>ROUND(F5+(F5*TabelaPrincipal[[#This Row],[PERCENTUAL MÍNIMO]]), 2)</f>
        <v>0.23</v>
      </c>
      <c r="L5" s="24">
        <v>0.23</v>
      </c>
      <c r="M5" s="25"/>
      <c r="N5" s="23">
        <f>TabelaPrincipal[[#This Row],[LANCE ATUAL]]*TabelaPrincipal[[#This Row],[QTD]]</f>
        <v>2300</v>
      </c>
    </row>
    <row r="6" spans="1:14" ht="15" customHeight="1" x14ac:dyDescent="0.25">
      <c r="A6" s="20">
        <v>5</v>
      </c>
      <c r="B6" s="21" t="str">
        <f>VLOOKUP(TabelaPrincipal[[#This Row],[ITEM]],TabelaModelo,2,FALSE)</f>
        <v>ACIDO VALPROICO 250MG</v>
      </c>
      <c r="C6" s="22" t="s">
        <v>163</v>
      </c>
      <c r="D6" s="22">
        <f>VLOOKUP(TabelaPrincipal[[#This Row],[ITEM]],TabelaModelo,3,FALSE)</f>
        <v>30000</v>
      </c>
      <c r="E6" s="22" t="s">
        <v>165</v>
      </c>
      <c r="F6" s="23">
        <v>0.63</v>
      </c>
      <c r="G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" s="1">
        <f>ROUND(F6+(F6*TabelaPrincipal[[#This Row],[PERCENTUAL DE ENTRADA]]), 2)</f>
        <v>0.88</v>
      </c>
      <c r="I6" s="2">
        <f t="shared" si="0"/>
        <v>26400</v>
      </c>
      <c r="J6" s="5">
        <f>IF(TabelaPrincipal[[#This Row],[PERCENTUAL DE ENTRADA]]&gt;0,0.15,0)</f>
        <v>0.15</v>
      </c>
      <c r="K6" s="1">
        <f>ROUND(F6+(F6*TabelaPrincipal[[#This Row],[PERCENTUAL MÍNIMO]]), 2)</f>
        <v>0.72</v>
      </c>
      <c r="L6" s="24">
        <v>0.72</v>
      </c>
      <c r="M6" s="25"/>
      <c r="N6" s="23">
        <f>TabelaPrincipal[[#This Row],[LANCE ATUAL]]*TabelaPrincipal[[#This Row],[QTD]]</f>
        <v>21600</v>
      </c>
    </row>
    <row r="7" spans="1:14" ht="15" customHeight="1" x14ac:dyDescent="0.25">
      <c r="A7" s="20">
        <v>6</v>
      </c>
      <c r="B7" s="21" t="str">
        <f>VLOOKUP(TabelaPrincipal[[#This Row],[ITEM]],TabelaModelo,2,FALSE)</f>
        <v>ACIDO VALPROICO 500 MG</v>
      </c>
      <c r="C7" s="22" t="s">
        <v>163</v>
      </c>
      <c r="D7" s="22">
        <f>VLOOKUP(TabelaPrincipal[[#This Row],[ITEM]],TabelaModelo,3,FALSE)</f>
        <v>2800</v>
      </c>
      <c r="E7" s="22" t="s">
        <v>165</v>
      </c>
      <c r="F7" s="23">
        <v>0.94</v>
      </c>
      <c r="G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" s="1">
        <f>ROUND(F7+(F7*TabelaPrincipal[[#This Row],[PERCENTUAL DE ENTRADA]]), 2)</f>
        <v>1.32</v>
      </c>
      <c r="I7" s="2">
        <f t="shared" si="0"/>
        <v>3696</v>
      </c>
      <c r="J7" s="5">
        <f>IF(TabelaPrincipal[[#This Row],[PERCENTUAL DE ENTRADA]]&gt;0,0.15,0)</f>
        <v>0.15</v>
      </c>
      <c r="K7" s="1">
        <f>ROUND(F7+(F7*TabelaPrincipal[[#This Row],[PERCENTUAL MÍNIMO]]), 2)</f>
        <v>1.08</v>
      </c>
      <c r="L7" s="24">
        <v>1.08</v>
      </c>
      <c r="M7" s="25"/>
      <c r="N7" s="23">
        <f>TabelaPrincipal[[#This Row],[LANCE ATUAL]]*TabelaPrincipal[[#This Row],[QTD]]</f>
        <v>3024</v>
      </c>
    </row>
    <row r="8" spans="1:14" ht="15" customHeight="1" x14ac:dyDescent="0.25">
      <c r="A8" s="20">
        <v>7</v>
      </c>
      <c r="B8" s="21" t="str">
        <f>VLOOKUP(TabelaPrincipal[[#This Row],[ITEM]],TabelaModelo,2,FALSE)</f>
        <v>ALBENDAZOL 40 MG/ML SUSPENSAO ORAL   - FRASCO COM 10 ML  - FRASCO COM 10 ML</v>
      </c>
      <c r="C8" s="22" t="s">
        <v>166</v>
      </c>
      <c r="D8" s="22">
        <f>VLOOKUP(TabelaPrincipal[[#This Row],[ITEM]],TabelaModelo,3,FALSE)</f>
        <v>250</v>
      </c>
      <c r="E8" s="22" t="s">
        <v>164</v>
      </c>
      <c r="F8" s="23">
        <v>3.45</v>
      </c>
      <c r="G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" s="1">
        <f>ROUND(F8+(F8*TabelaPrincipal[[#This Row],[PERCENTUAL DE ENTRADA]]), 2)</f>
        <v>4.83</v>
      </c>
      <c r="I8" s="2">
        <f t="shared" si="0"/>
        <v>1207.5</v>
      </c>
      <c r="J8" s="5">
        <f>IF(TabelaPrincipal[[#This Row],[PERCENTUAL DE ENTRADA]]&gt;0,0.15,0)</f>
        <v>0.15</v>
      </c>
      <c r="K8" s="1">
        <f>ROUND(F8+(F8*TabelaPrincipal[[#This Row],[PERCENTUAL MÍNIMO]]), 2)</f>
        <v>3.97</v>
      </c>
      <c r="L8" s="24">
        <v>3.97</v>
      </c>
      <c r="M8" s="25"/>
      <c r="N8" s="23">
        <f>TabelaPrincipal[[#This Row],[LANCE ATUAL]]*TabelaPrincipal[[#This Row],[QTD]]</f>
        <v>992.5</v>
      </c>
    </row>
    <row r="9" spans="1:14" ht="15" customHeight="1" x14ac:dyDescent="0.25">
      <c r="A9" s="20">
        <v>8</v>
      </c>
      <c r="B9" s="21" t="str">
        <f>VLOOKUP(TabelaPrincipal[[#This Row],[ITEM]],TabelaModelo,2,FALSE)</f>
        <v>ALBENDAZOL 400 MG COMPRIMIDO MASTIGAVEL</v>
      </c>
      <c r="C9" s="22" t="s">
        <v>163</v>
      </c>
      <c r="D9" s="22">
        <f>VLOOKUP(TabelaPrincipal[[#This Row],[ITEM]],TabelaModelo,3,FALSE)</f>
        <v>500</v>
      </c>
      <c r="E9" s="22" t="s">
        <v>164</v>
      </c>
      <c r="F9" s="23">
        <v>2</v>
      </c>
      <c r="G9" s="5">
        <f>IF(_xlfn.ISFORMULA(TabelaPrincipal[[#This Row],[CUSTO + PERCENTUAL DE ENTRADA]]),0.4,(TabelaPrincipal[[#This Row],[CUSTO + PERCENTUAL DE ENTRADA]]-TabelaPrincipal[[#This Row],[VALOR DE CUSTO]])/TabelaPrincipal[[#This Row],[VALOR DE CUSTO]])</f>
        <v>1.46</v>
      </c>
      <c r="H9" s="1">
        <v>4.92</v>
      </c>
      <c r="I9" s="2">
        <f t="shared" si="0"/>
        <v>2460</v>
      </c>
      <c r="J9" s="5">
        <f>IF(TabelaPrincipal[[#This Row],[PERCENTUAL DE ENTRADA]]&gt;0,0.15,0)</f>
        <v>0.15</v>
      </c>
      <c r="K9" s="1">
        <f>ROUND(F9+(F9*TabelaPrincipal[[#This Row],[PERCENTUAL MÍNIMO]]), 2)</f>
        <v>2.2999999999999998</v>
      </c>
      <c r="L9" s="24">
        <v>2.2999999999999998</v>
      </c>
      <c r="M9" s="25"/>
      <c r="N9" s="23">
        <f>TabelaPrincipal[[#This Row],[LANCE ATUAL]]*TabelaPrincipal[[#This Row],[QTD]]</f>
        <v>1150</v>
      </c>
    </row>
    <row r="10" spans="1:14" ht="15" customHeight="1" x14ac:dyDescent="0.25">
      <c r="A10" s="20">
        <v>9</v>
      </c>
      <c r="B10" s="21" t="str">
        <f>VLOOKUP(TabelaPrincipal[[#This Row],[ITEM]],TabelaModelo,2,FALSE)</f>
        <v>ALENDRONATO SODIO 70 MG COMPRIMIDO</v>
      </c>
      <c r="C10" s="22" t="s">
        <v>163</v>
      </c>
      <c r="D10" s="22">
        <f>VLOOKUP(TabelaPrincipal[[#This Row],[ITEM]],TabelaModelo,3,FALSE)</f>
        <v>5000</v>
      </c>
      <c r="E10" s="22" t="s">
        <v>167</v>
      </c>
      <c r="F10" s="23">
        <v>0.4</v>
      </c>
      <c r="G10" s="5">
        <f>IF(_xlfn.ISFORMULA(TabelaPrincipal[[#This Row],[CUSTO + PERCENTUAL DE ENTRADA]]),0.4,(TabelaPrincipal[[#This Row],[CUSTO + PERCENTUAL DE ENTRADA]]-TabelaPrincipal[[#This Row],[VALOR DE CUSTO]])/TabelaPrincipal[[#This Row],[VALOR DE CUSTO]])</f>
        <v>1.3499999999999996</v>
      </c>
      <c r="H10" s="1">
        <v>0.94</v>
      </c>
      <c r="I10" s="2">
        <f t="shared" si="0"/>
        <v>4700</v>
      </c>
      <c r="J10" s="5">
        <f>IF(TabelaPrincipal[[#This Row],[PERCENTUAL DE ENTRADA]]&gt;0,0.15,0)</f>
        <v>0.15</v>
      </c>
      <c r="K10" s="1">
        <f>ROUND(F10+(F10*TabelaPrincipal[[#This Row],[PERCENTUAL MÍNIMO]]), 2)</f>
        <v>0.46</v>
      </c>
      <c r="L10" s="24">
        <v>0.46</v>
      </c>
      <c r="M10" s="25"/>
      <c r="N10" s="23">
        <f>TabelaPrincipal[[#This Row],[LANCE ATUAL]]*TabelaPrincipal[[#This Row],[QTD]]</f>
        <v>2300</v>
      </c>
    </row>
    <row r="11" spans="1:14" ht="15" customHeight="1" x14ac:dyDescent="0.25">
      <c r="A11" s="20">
        <v>10</v>
      </c>
      <c r="B11" s="21" t="str">
        <f>VLOOKUP(TabelaPrincipal[[#This Row],[ITEM]],TabelaModelo,2,FALSE)</f>
        <v>ALOPURINOL 100 MG</v>
      </c>
      <c r="C11" s="22" t="s">
        <v>163</v>
      </c>
      <c r="D11" s="22">
        <f>VLOOKUP(TabelaPrincipal[[#This Row],[ITEM]],TabelaModelo,3,FALSE)</f>
        <v>18000</v>
      </c>
      <c r="E11" s="22" t="s">
        <v>168</v>
      </c>
      <c r="F11" s="23">
        <v>0.22</v>
      </c>
      <c r="G1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" s="1">
        <f>ROUND(F11+(F11*TabelaPrincipal[[#This Row],[PERCENTUAL DE ENTRADA]]), 2)</f>
        <v>0.31</v>
      </c>
      <c r="I11" s="2">
        <f t="shared" si="0"/>
        <v>5580</v>
      </c>
      <c r="J11" s="5">
        <f>IF(TabelaPrincipal[[#This Row],[PERCENTUAL DE ENTRADA]]&gt;0,0.15,0)</f>
        <v>0.15</v>
      </c>
      <c r="K11" s="1">
        <f>ROUND(F11+(F11*TabelaPrincipal[[#This Row],[PERCENTUAL MÍNIMO]]), 2)</f>
        <v>0.25</v>
      </c>
      <c r="L11" s="24">
        <v>0.25</v>
      </c>
      <c r="M11" s="25"/>
      <c r="N11" s="23">
        <f>TabelaPrincipal[[#This Row],[LANCE ATUAL]]*TabelaPrincipal[[#This Row],[QTD]]</f>
        <v>4500</v>
      </c>
    </row>
    <row r="12" spans="1:14" ht="15" customHeight="1" x14ac:dyDescent="0.25">
      <c r="A12" s="20">
        <v>11</v>
      </c>
      <c r="B12" s="21" t="str">
        <f>VLOOKUP(TabelaPrincipal[[#This Row],[ITEM]],TabelaModelo,2,FALSE)</f>
        <v>ALOPURINOL 300 MG COMPRIMIDO</v>
      </c>
      <c r="C12" s="22" t="s">
        <v>163</v>
      </c>
      <c r="D12" s="22">
        <f>VLOOKUP(TabelaPrincipal[[#This Row],[ITEM]],TabelaModelo,3,FALSE)</f>
        <v>18000</v>
      </c>
      <c r="E12" s="22" t="s">
        <v>168</v>
      </c>
      <c r="F12" s="23">
        <v>0.37</v>
      </c>
      <c r="G1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" s="1">
        <f>ROUND(F12+(F12*TabelaPrincipal[[#This Row],[PERCENTUAL DE ENTRADA]]), 2)</f>
        <v>0.52</v>
      </c>
      <c r="I12" s="2">
        <f t="shared" si="0"/>
        <v>9360</v>
      </c>
      <c r="J12" s="5">
        <f>IF(TabelaPrincipal[[#This Row],[PERCENTUAL DE ENTRADA]]&gt;0,0.15,0)</f>
        <v>0.15</v>
      </c>
      <c r="K12" s="1">
        <f>ROUND(F12+(F12*TabelaPrincipal[[#This Row],[PERCENTUAL MÍNIMO]]), 2)</f>
        <v>0.43</v>
      </c>
      <c r="L12" s="24">
        <v>0.43</v>
      </c>
      <c r="M12" s="25"/>
      <c r="N12" s="23">
        <f>TabelaPrincipal[[#This Row],[LANCE ATUAL]]*TabelaPrincipal[[#This Row],[QTD]]</f>
        <v>7740</v>
      </c>
    </row>
    <row r="13" spans="1:14" ht="15" customHeight="1" x14ac:dyDescent="0.25">
      <c r="A13" s="20">
        <v>12</v>
      </c>
      <c r="B13" s="21" t="str">
        <f>VLOOKUP(TabelaPrincipal[[#This Row],[ITEM]],TabelaModelo,2,FALSE)</f>
        <v>AMOXICILINA 250MG/5ML SUSPENSAO ORAL 150ML</v>
      </c>
      <c r="C13" s="22" t="s">
        <v>169</v>
      </c>
      <c r="D13" s="22">
        <f>VLOOKUP(TabelaPrincipal[[#This Row],[ITEM]],TabelaModelo,3,FALSE)</f>
        <v>500</v>
      </c>
      <c r="E13" s="22" t="s">
        <v>170</v>
      </c>
      <c r="F13" s="23">
        <v>15.65</v>
      </c>
      <c r="G13" s="5">
        <f>IF(_xlfn.ISFORMULA(TabelaPrincipal[[#This Row],[CUSTO + PERCENTUAL DE ENTRADA]]),0.4,(TabelaPrincipal[[#This Row],[CUSTO + PERCENTUAL DE ENTRADA]]-TabelaPrincipal[[#This Row],[VALOR DE CUSTO]])/TabelaPrincipal[[#This Row],[VALOR DE CUSTO]])</f>
        <v>0.88562300319488818</v>
      </c>
      <c r="H13" s="1">
        <v>29.51</v>
      </c>
      <c r="I13" s="2">
        <f t="shared" si="0"/>
        <v>14755</v>
      </c>
      <c r="J13" s="5">
        <f>IF(TabelaPrincipal[[#This Row],[PERCENTUAL DE ENTRADA]]&gt;0,0.15,0)</f>
        <v>0.15</v>
      </c>
      <c r="K13" s="1">
        <f>ROUND(F13+(F13*TabelaPrincipal[[#This Row],[PERCENTUAL MÍNIMO]]), 2)</f>
        <v>18</v>
      </c>
      <c r="L13" s="24">
        <v>18</v>
      </c>
      <c r="M13" s="25"/>
      <c r="N13" s="23">
        <f>TabelaPrincipal[[#This Row],[LANCE ATUAL]]*TabelaPrincipal[[#This Row],[QTD]]</f>
        <v>9000</v>
      </c>
    </row>
    <row r="14" spans="1:14" ht="15" customHeight="1" x14ac:dyDescent="0.25">
      <c r="A14" s="20">
        <v>13</v>
      </c>
      <c r="B14" s="21" t="str">
        <f>VLOOKUP(TabelaPrincipal[[#This Row],[ITEM]],TabelaModelo,2,FALSE)</f>
        <v>AMOXILINA + CLAVULANATO DE POTASSIO 50+12,5 MG/ML PO PARA SUSPENSAO ORAL</v>
      </c>
      <c r="C14" s="22" t="s">
        <v>166</v>
      </c>
      <c r="D14" s="22">
        <f>VLOOKUP(TabelaPrincipal[[#This Row],[ITEM]],TabelaModelo,3,FALSE)</f>
        <v>150</v>
      </c>
      <c r="E14" s="22" t="s">
        <v>161</v>
      </c>
      <c r="F14" s="23">
        <v>34.4</v>
      </c>
      <c r="G1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4" s="1">
        <f>ROUND(F14+(F14*TabelaPrincipal[[#This Row],[PERCENTUAL DE ENTRADA]]), 2)</f>
        <v>48.16</v>
      </c>
      <c r="I14" s="2">
        <f t="shared" si="0"/>
        <v>7223.9999999999991</v>
      </c>
      <c r="J14" s="5">
        <f>IF(TabelaPrincipal[[#This Row],[PERCENTUAL DE ENTRADA]]&gt;0,0.15,0)</f>
        <v>0.15</v>
      </c>
      <c r="K14" s="1">
        <f>ROUND(F14+(F14*TabelaPrincipal[[#This Row],[PERCENTUAL MÍNIMO]]), 2)</f>
        <v>39.56</v>
      </c>
      <c r="L14" s="24">
        <v>39.56</v>
      </c>
      <c r="M14" s="25"/>
      <c r="N14" s="23">
        <f>TabelaPrincipal[[#This Row],[LANCE ATUAL]]*TabelaPrincipal[[#This Row],[QTD]]</f>
        <v>5934</v>
      </c>
    </row>
    <row r="15" spans="1:14" ht="15" customHeight="1" x14ac:dyDescent="0.25">
      <c r="A15" s="20">
        <v>14</v>
      </c>
      <c r="B15" s="21" t="str">
        <f>VLOOKUP(TabelaPrincipal[[#This Row],[ITEM]],TabelaModelo,2,FALSE)</f>
        <v>AMOXILINA + CLAVULANATO DE POTASSIO 500+125 MG COMPRIMIDO</v>
      </c>
      <c r="C15" s="22" t="s">
        <v>166</v>
      </c>
      <c r="D15" s="22">
        <f>VLOOKUP(TabelaPrincipal[[#This Row],[ITEM]],TabelaModelo,3,FALSE)</f>
        <v>15000</v>
      </c>
      <c r="E15" s="22" t="s">
        <v>161</v>
      </c>
      <c r="F15" s="23">
        <v>3.62</v>
      </c>
      <c r="G15" s="5">
        <f>IF(_xlfn.ISFORMULA(TabelaPrincipal[[#This Row],[CUSTO + PERCENTUAL DE ENTRADA]]),0.4,(TabelaPrincipal[[#This Row],[CUSTO + PERCENTUAL DE ENTRADA]]-TabelaPrincipal[[#This Row],[VALOR DE CUSTO]])/TabelaPrincipal[[#This Row],[VALOR DE CUSTO]])</f>
        <v>0.53038674033149169</v>
      </c>
      <c r="H15" s="1">
        <v>5.54</v>
      </c>
      <c r="I15" s="2">
        <f t="shared" si="0"/>
        <v>83100</v>
      </c>
      <c r="J15" s="5">
        <f>IF(TabelaPrincipal[[#This Row],[PERCENTUAL DE ENTRADA]]&gt;0,0.15,0)</f>
        <v>0.15</v>
      </c>
      <c r="K15" s="1">
        <f>ROUND(F15+(F15*TabelaPrincipal[[#This Row],[PERCENTUAL MÍNIMO]]), 2)</f>
        <v>4.16</v>
      </c>
      <c r="L15" s="24">
        <v>4.16</v>
      </c>
      <c r="M15" s="25"/>
      <c r="N15" s="23">
        <f>TabelaPrincipal[[#This Row],[LANCE ATUAL]]*TabelaPrincipal[[#This Row],[QTD]]</f>
        <v>62400</v>
      </c>
    </row>
    <row r="16" spans="1:14" ht="15" customHeight="1" x14ac:dyDescent="0.25">
      <c r="A16" s="20">
        <v>15</v>
      </c>
      <c r="B16" s="21" t="str">
        <f>VLOOKUP(TabelaPrincipal[[#This Row],[ITEM]],TabelaModelo,2,FALSE)</f>
        <v>AMOXILINA 500MG CAPSULA</v>
      </c>
      <c r="C16" s="22" t="s">
        <v>166</v>
      </c>
      <c r="D16" s="22">
        <f>VLOOKUP(TabelaPrincipal[[#This Row],[ITEM]],TabelaModelo,3,FALSE)</f>
        <v>20000</v>
      </c>
      <c r="E16" s="22" t="s">
        <v>171</v>
      </c>
      <c r="F16" s="23">
        <v>0.53</v>
      </c>
      <c r="G1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6" s="1">
        <f>ROUND(F16+(F16*TabelaPrincipal[[#This Row],[PERCENTUAL DE ENTRADA]]), 2)</f>
        <v>0.74</v>
      </c>
      <c r="I16" s="2">
        <f t="shared" si="0"/>
        <v>14800</v>
      </c>
      <c r="J16" s="5">
        <f>IF(TabelaPrincipal[[#This Row],[PERCENTUAL DE ENTRADA]]&gt;0,0.15,0)</f>
        <v>0.15</v>
      </c>
      <c r="K16" s="1">
        <f>ROUND(F16+(F16*TabelaPrincipal[[#This Row],[PERCENTUAL MÍNIMO]]), 2)</f>
        <v>0.61</v>
      </c>
      <c r="L16" s="24">
        <v>0.61</v>
      </c>
      <c r="M16" s="25"/>
      <c r="N16" s="23">
        <f>TabelaPrincipal[[#This Row],[LANCE ATUAL]]*TabelaPrincipal[[#This Row],[QTD]]</f>
        <v>12200</v>
      </c>
    </row>
    <row r="17" spans="1:14" ht="15" customHeight="1" x14ac:dyDescent="0.25">
      <c r="A17" s="20">
        <v>16</v>
      </c>
      <c r="B17" s="21" t="str">
        <f>VLOOKUP(TabelaPrincipal[[#This Row],[ITEM]],TabelaModelo,2,FALSE)</f>
        <v>ANLODIPINO BESILATO 10 MG COMPRIMIDO</v>
      </c>
      <c r="C17" s="22" t="s">
        <v>163</v>
      </c>
      <c r="D17" s="22">
        <f>VLOOKUP(TabelaPrincipal[[#This Row],[ITEM]],TabelaModelo,3,FALSE)</f>
        <v>22000</v>
      </c>
      <c r="E17" s="22" t="s">
        <v>172</v>
      </c>
      <c r="F17" s="23">
        <v>0.1</v>
      </c>
      <c r="G17" s="5">
        <f>IF(_xlfn.ISFORMULA(TabelaPrincipal[[#This Row],[CUSTO + PERCENTUAL DE ENTRADA]]),0.4,(TabelaPrincipal[[#This Row],[CUSTO + PERCENTUAL DE ENTRADA]]-TabelaPrincipal[[#This Row],[VALOR DE CUSTO]])/TabelaPrincipal[[#This Row],[VALOR DE CUSTO]])</f>
        <v>2.8000000000000003</v>
      </c>
      <c r="H17" s="1">
        <v>0.38</v>
      </c>
      <c r="I17" s="2">
        <f t="shared" si="0"/>
        <v>8360</v>
      </c>
      <c r="J17" s="5">
        <f>IF(TabelaPrincipal[[#This Row],[PERCENTUAL DE ENTRADA]]&gt;0,0.15,0)</f>
        <v>0.15</v>
      </c>
      <c r="K17" s="1">
        <f>ROUND(F17+(F17*TabelaPrincipal[[#This Row],[PERCENTUAL MÍNIMO]]), 2)</f>
        <v>0.12</v>
      </c>
      <c r="L17" s="24">
        <v>0.12</v>
      </c>
      <c r="M17" s="25"/>
      <c r="N17" s="23">
        <f>TabelaPrincipal[[#This Row],[LANCE ATUAL]]*TabelaPrincipal[[#This Row],[QTD]]</f>
        <v>2640</v>
      </c>
    </row>
    <row r="18" spans="1:14" ht="15" customHeight="1" x14ac:dyDescent="0.25">
      <c r="A18" s="20">
        <v>17</v>
      </c>
      <c r="B18" s="21" t="str">
        <f>VLOOKUP(TabelaPrincipal[[#This Row],[ITEM]],TabelaModelo,2,FALSE)</f>
        <v>ATENOLOL 50MG</v>
      </c>
      <c r="C18" s="22" t="s">
        <v>163</v>
      </c>
      <c r="D18" s="22">
        <f>VLOOKUP(TabelaPrincipal[[#This Row],[ITEM]],TabelaModelo,3,FALSE)</f>
        <v>50000</v>
      </c>
      <c r="E18" s="22" t="s">
        <v>168</v>
      </c>
      <c r="F18" s="23">
        <v>7.0000000000000007E-2</v>
      </c>
      <c r="G1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8" s="1">
        <f>ROUND(F18+(F18*TabelaPrincipal[[#This Row],[PERCENTUAL DE ENTRADA]]), 2)</f>
        <v>0.1</v>
      </c>
      <c r="I18" s="2">
        <f t="shared" si="0"/>
        <v>5000</v>
      </c>
      <c r="J18" s="5">
        <f>IF(TabelaPrincipal[[#This Row],[PERCENTUAL DE ENTRADA]]&gt;0,0.15,0)</f>
        <v>0.15</v>
      </c>
      <c r="K18" s="1">
        <f>ROUND(F18+(F18*TabelaPrincipal[[#This Row],[PERCENTUAL MÍNIMO]]), 2)</f>
        <v>0.08</v>
      </c>
      <c r="L18" s="24">
        <v>0.1</v>
      </c>
      <c r="M18" s="25"/>
      <c r="N18" s="23">
        <f>TabelaPrincipal[[#This Row],[LANCE ATUAL]]*TabelaPrincipal[[#This Row],[QTD]]</f>
        <v>5000</v>
      </c>
    </row>
    <row r="19" spans="1:14" ht="15" customHeight="1" x14ac:dyDescent="0.25">
      <c r="A19" s="20">
        <v>18</v>
      </c>
      <c r="B19" s="21" t="str">
        <f>VLOOKUP(TabelaPrincipal[[#This Row],[ITEM]],TabelaModelo,2,FALSE)</f>
        <v>AZITROMICINA 40 MG/ML (600 MG) PO PARA SUSPENSAO ORAL</v>
      </c>
      <c r="C19" s="22" t="s">
        <v>166</v>
      </c>
      <c r="D19" s="22">
        <f>VLOOKUP(TabelaPrincipal[[#This Row],[ITEM]],TabelaModelo,3,FALSE)</f>
        <v>300</v>
      </c>
      <c r="E19" s="22" t="s">
        <v>173</v>
      </c>
      <c r="F19" s="23">
        <v>13.45</v>
      </c>
      <c r="G1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9" s="1">
        <f>ROUND(F19+(F19*TabelaPrincipal[[#This Row],[PERCENTUAL DE ENTRADA]]), 2)</f>
        <v>18.829999999999998</v>
      </c>
      <c r="I19" s="2">
        <f t="shared" si="0"/>
        <v>5648.9999999999991</v>
      </c>
      <c r="J19" s="5">
        <f>IF(TabelaPrincipal[[#This Row],[PERCENTUAL DE ENTRADA]]&gt;0,0.15,0)</f>
        <v>0.15</v>
      </c>
      <c r="K19" s="1">
        <f>ROUND(F19+(F19*TabelaPrincipal[[#This Row],[PERCENTUAL MÍNIMO]]), 2)</f>
        <v>15.47</v>
      </c>
      <c r="L19" s="24">
        <v>15.47</v>
      </c>
      <c r="M19" s="25"/>
      <c r="N19" s="23">
        <f>TabelaPrincipal[[#This Row],[LANCE ATUAL]]*TabelaPrincipal[[#This Row],[QTD]]</f>
        <v>4641</v>
      </c>
    </row>
    <row r="20" spans="1:14" ht="15" customHeight="1" x14ac:dyDescent="0.25">
      <c r="A20" s="20">
        <v>19</v>
      </c>
      <c r="B20" s="21" t="str">
        <f>VLOOKUP(TabelaPrincipal[[#This Row],[ITEM]],TabelaModelo,2,FALSE)</f>
        <v>AZITROMICINA DI-HIDRATADA 500MG</v>
      </c>
      <c r="C20" s="22" t="s">
        <v>163</v>
      </c>
      <c r="D20" s="22">
        <f>VLOOKUP(TabelaPrincipal[[#This Row],[ITEM]],TabelaModelo,3,FALSE)</f>
        <v>8000</v>
      </c>
      <c r="E20" s="22" t="s">
        <v>164</v>
      </c>
      <c r="F20" s="23">
        <v>1.43</v>
      </c>
      <c r="G2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0" s="1">
        <f>ROUND(F20+(F20*TabelaPrincipal[[#This Row],[PERCENTUAL DE ENTRADA]]), 2)</f>
        <v>2</v>
      </c>
      <c r="I20" s="2">
        <f t="shared" si="0"/>
        <v>16000</v>
      </c>
      <c r="J20" s="5">
        <f>IF(TabelaPrincipal[[#This Row],[PERCENTUAL DE ENTRADA]]&gt;0,0.15,0)</f>
        <v>0.15</v>
      </c>
      <c r="K20" s="1">
        <f>ROUND(F20+(F20*TabelaPrincipal[[#This Row],[PERCENTUAL MÍNIMO]]), 2)</f>
        <v>1.64</v>
      </c>
      <c r="L20" s="24">
        <v>1.64</v>
      </c>
      <c r="M20" s="25"/>
      <c r="N20" s="23">
        <f>TabelaPrincipal[[#This Row],[LANCE ATUAL]]*TabelaPrincipal[[#This Row],[QTD]]</f>
        <v>13120</v>
      </c>
    </row>
    <row r="21" spans="1:14" ht="15" customHeight="1" x14ac:dyDescent="0.25">
      <c r="A21" s="20">
        <v>20</v>
      </c>
      <c r="B21" s="21" t="str">
        <f>VLOOKUP(TabelaPrincipal[[#This Row],[ITEM]],TabelaModelo,2,FALSE)</f>
        <v>BENZOILMETRONIDAZOL 40MG/ML SUSPENSAO ORAL</v>
      </c>
      <c r="C21" s="22" t="s">
        <v>166</v>
      </c>
      <c r="D21" s="22">
        <f>VLOOKUP(TabelaPrincipal[[#This Row],[ITEM]],TabelaModelo,3,FALSE)</f>
        <v>100</v>
      </c>
      <c r="E21" s="22" t="s">
        <v>174</v>
      </c>
      <c r="F21" s="23">
        <v>9</v>
      </c>
      <c r="G2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1" s="1">
        <f>ROUND(F21+(F21*TabelaPrincipal[[#This Row],[PERCENTUAL DE ENTRADA]]), 2)</f>
        <v>12.6</v>
      </c>
      <c r="I21" s="2">
        <f t="shared" si="0"/>
        <v>1260</v>
      </c>
      <c r="J21" s="5">
        <f>IF(TabelaPrincipal[[#This Row],[PERCENTUAL DE ENTRADA]]&gt;0,0.15,0)</f>
        <v>0.15</v>
      </c>
      <c r="K21" s="1">
        <f>ROUND(F21+(F21*TabelaPrincipal[[#This Row],[PERCENTUAL MÍNIMO]]), 2)</f>
        <v>10.35</v>
      </c>
      <c r="L21" s="24">
        <v>10.35</v>
      </c>
      <c r="M21" s="25"/>
      <c r="N21" s="23">
        <f>TabelaPrincipal[[#This Row],[LANCE ATUAL]]*TabelaPrincipal[[#This Row],[QTD]]</f>
        <v>1035</v>
      </c>
    </row>
    <row r="22" spans="1:14" ht="15" customHeight="1" x14ac:dyDescent="0.25">
      <c r="A22" s="20">
        <v>21</v>
      </c>
      <c r="B22" s="21" t="str">
        <f>VLOOKUP(TabelaPrincipal[[#This Row],[ITEM]],TabelaModelo,2,FALSE)</f>
        <v>BESILATO DE ANLODIPINO  5MG</v>
      </c>
      <c r="C22" s="22" t="s">
        <v>163</v>
      </c>
      <c r="D22" s="22">
        <f>VLOOKUP(TabelaPrincipal[[#This Row],[ITEM]],TabelaModelo,3,FALSE)</f>
        <v>100000</v>
      </c>
      <c r="E22" s="22" t="s">
        <v>172</v>
      </c>
      <c r="F22" s="23">
        <v>0.06</v>
      </c>
      <c r="G2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2" s="1">
        <f>ROUND(F22+(F22*TabelaPrincipal[[#This Row],[PERCENTUAL DE ENTRADA]]), 2)</f>
        <v>0.08</v>
      </c>
      <c r="I22" s="2">
        <f t="shared" si="0"/>
        <v>8000</v>
      </c>
      <c r="J22" s="5">
        <f>IF(TabelaPrincipal[[#This Row],[PERCENTUAL DE ENTRADA]]&gt;0,0.15,0)</f>
        <v>0.15</v>
      </c>
      <c r="K22" s="1">
        <f>ROUND(F22+(F22*TabelaPrincipal[[#This Row],[PERCENTUAL MÍNIMO]]), 2)</f>
        <v>7.0000000000000007E-2</v>
      </c>
      <c r="L22" s="24">
        <v>0.08</v>
      </c>
      <c r="M22" s="25"/>
      <c r="N22" s="23">
        <f>TabelaPrincipal[[#This Row],[LANCE ATUAL]]*TabelaPrincipal[[#This Row],[QTD]]</f>
        <v>8000</v>
      </c>
    </row>
    <row r="23" spans="1:14" ht="15" customHeight="1" x14ac:dyDescent="0.25">
      <c r="A23" s="20">
        <v>22</v>
      </c>
      <c r="B23" s="21" t="str">
        <f>VLOOKUP(TabelaPrincipal[[#This Row],[ITEM]],TabelaModelo,2,FALSE)</f>
        <v>CAPTOPRIL 25 MG COMPRIMIDO</v>
      </c>
      <c r="C23" s="22" t="s">
        <v>163</v>
      </c>
      <c r="D23" s="22">
        <f>VLOOKUP(TabelaPrincipal[[#This Row],[ITEM]],TabelaModelo,3,FALSE)</f>
        <v>20000</v>
      </c>
      <c r="E23" s="22" t="s">
        <v>164</v>
      </c>
      <c r="F23" s="23">
        <v>7.0000000000000007E-2</v>
      </c>
      <c r="G2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3" s="1">
        <f>ROUND(F23+(F23*TabelaPrincipal[[#This Row],[PERCENTUAL DE ENTRADA]]), 2)</f>
        <v>0.1</v>
      </c>
      <c r="I23" s="2">
        <f t="shared" si="0"/>
        <v>2000</v>
      </c>
      <c r="J23" s="5">
        <f>IF(TabelaPrincipal[[#This Row],[PERCENTUAL DE ENTRADA]]&gt;0,0.15,0)</f>
        <v>0.15</v>
      </c>
      <c r="K23" s="1">
        <f>ROUND(F23+(F23*TabelaPrincipal[[#This Row],[PERCENTUAL MÍNIMO]]), 2)</f>
        <v>0.08</v>
      </c>
      <c r="L23" s="24">
        <v>0.1</v>
      </c>
      <c r="M23" s="25"/>
      <c r="N23" s="23">
        <f>TabelaPrincipal[[#This Row],[LANCE ATUAL]]*TabelaPrincipal[[#This Row],[QTD]]</f>
        <v>2000</v>
      </c>
    </row>
    <row r="24" spans="1:14" ht="15" customHeight="1" x14ac:dyDescent="0.25">
      <c r="A24" s="20">
        <v>23</v>
      </c>
      <c r="B24" s="21" t="str">
        <f>VLOOKUP(TabelaPrincipal[[#This Row],[ITEM]],TabelaModelo,2,FALSE)</f>
        <v>CARBAMAZEPINA 20 MG/ML SUSPENSAO ORAL</v>
      </c>
      <c r="C24" s="22" t="s">
        <v>169</v>
      </c>
      <c r="D24" s="22">
        <f>VLOOKUP(TabelaPrincipal[[#This Row],[ITEM]],TabelaModelo,3,FALSE)</f>
        <v>180</v>
      </c>
      <c r="E24" s="22" t="s">
        <v>175</v>
      </c>
      <c r="F24" s="23">
        <v>30.25</v>
      </c>
      <c r="G2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4" s="1">
        <f>ROUND(F24+(F24*TabelaPrincipal[[#This Row],[PERCENTUAL DE ENTRADA]]), 2)</f>
        <v>42.35</v>
      </c>
      <c r="I24" s="2">
        <f t="shared" si="0"/>
        <v>7623</v>
      </c>
      <c r="J24" s="5">
        <f>IF(TabelaPrincipal[[#This Row],[PERCENTUAL DE ENTRADA]]&gt;0,0.15,0)</f>
        <v>0.15</v>
      </c>
      <c r="K24" s="1">
        <f>ROUND(F24+(F24*TabelaPrincipal[[#This Row],[PERCENTUAL MÍNIMO]]), 2)</f>
        <v>34.79</v>
      </c>
      <c r="L24" s="24">
        <v>34.79</v>
      </c>
      <c r="M24" s="25"/>
      <c r="N24" s="23">
        <f>TabelaPrincipal[[#This Row],[LANCE ATUAL]]*TabelaPrincipal[[#This Row],[QTD]]</f>
        <v>6262.2</v>
      </c>
    </row>
    <row r="25" spans="1:14" ht="15" customHeight="1" x14ac:dyDescent="0.25">
      <c r="A25" s="20">
        <v>24</v>
      </c>
      <c r="B25" s="21" t="str">
        <f>VLOOKUP(TabelaPrincipal[[#This Row],[ITEM]],TabelaModelo,2,FALSE)</f>
        <v>CARBAMAZEPINA 200 MG</v>
      </c>
      <c r="C25" s="22" t="s">
        <v>166</v>
      </c>
      <c r="D25" s="22">
        <f>VLOOKUP(TabelaPrincipal[[#This Row],[ITEM]],TabelaModelo,3,FALSE)</f>
        <v>62000</v>
      </c>
      <c r="E25" s="22" t="s">
        <v>176</v>
      </c>
      <c r="F25" s="23">
        <v>0.48</v>
      </c>
      <c r="G2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5" s="1">
        <f>ROUND(F25+(F25*TabelaPrincipal[[#This Row],[PERCENTUAL DE ENTRADA]]), 2)</f>
        <v>0.67</v>
      </c>
      <c r="I25" s="2">
        <f t="shared" si="0"/>
        <v>41540</v>
      </c>
      <c r="J25" s="5">
        <f>IF(TabelaPrincipal[[#This Row],[PERCENTUAL DE ENTRADA]]&gt;0,0.15,0)</f>
        <v>0.15</v>
      </c>
      <c r="K25" s="1">
        <f>ROUND(F25+(F25*TabelaPrincipal[[#This Row],[PERCENTUAL MÍNIMO]]), 2)</f>
        <v>0.55000000000000004</v>
      </c>
      <c r="L25" s="24">
        <v>0.55000000000000004</v>
      </c>
      <c r="M25" s="25"/>
      <c r="N25" s="23">
        <f>TabelaPrincipal[[#This Row],[LANCE ATUAL]]*TabelaPrincipal[[#This Row],[QTD]]</f>
        <v>34100</v>
      </c>
    </row>
    <row r="26" spans="1:14" ht="15" customHeight="1" x14ac:dyDescent="0.25">
      <c r="A26" s="20">
        <v>26</v>
      </c>
      <c r="B26" s="21" t="str">
        <f>VLOOKUP(TabelaPrincipal[[#This Row],[ITEM]],TabelaModelo,2,FALSE)</f>
        <v>CARBONATO DE CALCIO 500MG</v>
      </c>
      <c r="C26" s="22" t="s">
        <v>163</v>
      </c>
      <c r="D26" s="22">
        <f>VLOOKUP(TabelaPrincipal[[#This Row],[ITEM]],TabelaModelo,3,FALSE)</f>
        <v>50000</v>
      </c>
      <c r="E26" s="22" t="s">
        <v>201</v>
      </c>
      <c r="F26" s="23">
        <v>0.21</v>
      </c>
      <c r="G2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6" s="1">
        <f>ROUND(F26+(F26*TabelaPrincipal[[#This Row],[PERCENTUAL DE ENTRADA]]), 2)</f>
        <v>0.28999999999999998</v>
      </c>
      <c r="I26" s="2">
        <f t="shared" si="0"/>
        <v>14499.999999999998</v>
      </c>
      <c r="J26" s="5">
        <f>IF(TabelaPrincipal[[#This Row],[PERCENTUAL DE ENTRADA]]&gt;0,0.15,0)</f>
        <v>0.15</v>
      </c>
      <c r="K26" s="1">
        <f>ROUND(F26+(F26*TabelaPrincipal[[#This Row],[PERCENTUAL MÍNIMO]]), 2)</f>
        <v>0.24</v>
      </c>
      <c r="L26" s="24">
        <v>0.24</v>
      </c>
      <c r="M26" s="25"/>
      <c r="N26" s="23">
        <f>TabelaPrincipal[[#This Row],[LANCE ATUAL]]*TabelaPrincipal[[#This Row],[QTD]]</f>
        <v>12000</v>
      </c>
    </row>
    <row r="27" spans="1:14" ht="15" customHeight="1" x14ac:dyDescent="0.25">
      <c r="A27" s="20">
        <v>27</v>
      </c>
      <c r="B27" s="21" t="str">
        <f>VLOOKUP(TabelaPrincipal[[#This Row],[ITEM]],TabelaModelo,2,FALSE)</f>
        <v>CARBONATO DE LITIO 300MG</v>
      </c>
      <c r="C27" s="22" t="s">
        <v>163</v>
      </c>
      <c r="D27" s="22">
        <f>VLOOKUP(TabelaPrincipal[[#This Row],[ITEM]],TabelaModelo,3,FALSE)</f>
        <v>25000</v>
      </c>
      <c r="E27" s="22" t="s">
        <v>165</v>
      </c>
      <c r="F27" s="23">
        <v>0.44</v>
      </c>
      <c r="G2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7" s="1">
        <f>ROUND(F27+(F27*TabelaPrincipal[[#This Row],[PERCENTUAL DE ENTRADA]]), 2)</f>
        <v>0.62</v>
      </c>
      <c r="I27" s="2">
        <f t="shared" si="0"/>
        <v>15500</v>
      </c>
      <c r="J27" s="5">
        <f>IF(TabelaPrincipal[[#This Row],[PERCENTUAL DE ENTRADA]]&gt;0,0.15,0)</f>
        <v>0.15</v>
      </c>
      <c r="K27" s="1">
        <f>ROUND(F27+(F27*TabelaPrincipal[[#This Row],[PERCENTUAL MÍNIMO]]), 2)</f>
        <v>0.51</v>
      </c>
      <c r="L27" s="24">
        <v>0.51</v>
      </c>
      <c r="M27" s="25"/>
      <c r="N27" s="23">
        <f>TabelaPrincipal[[#This Row],[LANCE ATUAL]]*TabelaPrincipal[[#This Row],[QTD]]</f>
        <v>12750</v>
      </c>
    </row>
    <row r="28" spans="1:14" ht="15" customHeight="1" x14ac:dyDescent="0.25">
      <c r="A28" s="20">
        <v>28</v>
      </c>
      <c r="B28" s="21" t="str">
        <f>VLOOKUP(TabelaPrincipal[[#This Row],[ITEM]],TabelaModelo,2,FALSE)</f>
        <v>CARVEDILOL 12,5 MG COMPRIMIDO</v>
      </c>
      <c r="C28" s="22" t="s">
        <v>163</v>
      </c>
      <c r="D28" s="22">
        <f>VLOOKUP(TabelaPrincipal[[#This Row],[ITEM]],TabelaModelo,3,FALSE)</f>
        <v>42000</v>
      </c>
      <c r="E28" s="22" t="s">
        <v>165</v>
      </c>
      <c r="F28" s="23">
        <v>0.15</v>
      </c>
      <c r="G2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8" s="1">
        <f>ROUND(F28+(F28*TabelaPrincipal[[#This Row],[PERCENTUAL DE ENTRADA]]), 2)</f>
        <v>0.21</v>
      </c>
      <c r="I28" s="2">
        <f t="shared" si="0"/>
        <v>8820</v>
      </c>
      <c r="J28" s="5">
        <f>IF(TabelaPrincipal[[#This Row],[PERCENTUAL DE ENTRADA]]&gt;0,0.15,0)</f>
        <v>0.15</v>
      </c>
      <c r="K28" s="1">
        <f>ROUND(F28+(F28*TabelaPrincipal[[#This Row],[PERCENTUAL MÍNIMO]]), 2)</f>
        <v>0.17</v>
      </c>
      <c r="L28" s="24">
        <v>0.21</v>
      </c>
      <c r="M28" s="25"/>
      <c r="N28" s="23">
        <f>TabelaPrincipal[[#This Row],[LANCE ATUAL]]*TabelaPrincipal[[#This Row],[QTD]]</f>
        <v>8820</v>
      </c>
    </row>
    <row r="29" spans="1:14" ht="15" customHeight="1" x14ac:dyDescent="0.25">
      <c r="A29" s="20">
        <v>29</v>
      </c>
      <c r="B29" s="21" t="str">
        <f>VLOOKUP(TabelaPrincipal[[#This Row],[ITEM]],TabelaModelo,2,FALSE)</f>
        <v>CARVEDILOL 25 MG COMPRIMIDO</v>
      </c>
      <c r="C29" s="22" t="s">
        <v>163</v>
      </c>
      <c r="D29" s="22">
        <f>VLOOKUP(TabelaPrincipal[[#This Row],[ITEM]],TabelaModelo,3,FALSE)</f>
        <v>20000</v>
      </c>
      <c r="E29" s="22" t="s">
        <v>165</v>
      </c>
      <c r="F29" s="23">
        <v>0.23</v>
      </c>
      <c r="G2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9" s="1">
        <f>ROUND(F29+(F29*TabelaPrincipal[[#This Row],[PERCENTUAL DE ENTRADA]]), 2)</f>
        <v>0.32</v>
      </c>
      <c r="I29" s="2">
        <f t="shared" si="0"/>
        <v>6400</v>
      </c>
      <c r="J29" s="5">
        <f>IF(TabelaPrincipal[[#This Row],[PERCENTUAL DE ENTRADA]]&gt;0,0.15,0)</f>
        <v>0.15</v>
      </c>
      <c r="K29" s="1">
        <f>ROUND(F29+(F29*TabelaPrincipal[[#This Row],[PERCENTUAL MÍNIMO]]), 2)</f>
        <v>0.26</v>
      </c>
      <c r="L29" s="24">
        <v>0.27</v>
      </c>
      <c r="M29" s="25"/>
      <c r="N29" s="23">
        <f>TabelaPrincipal[[#This Row],[LANCE ATUAL]]*TabelaPrincipal[[#This Row],[QTD]]</f>
        <v>5400</v>
      </c>
    </row>
    <row r="30" spans="1:14" ht="15" customHeight="1" x14ac:dyDescent="0.25">
      <c r="A30" s="20">
        <v>30</v>
      </c>
      <c r="B30" s="21" t="str">
        <f>VLOOKUP(TabelaPrincipal[[#This Row],[ITEM]],TabelaModelo,2,FALSE)</f>
        <v>CARVEDILOL 3,125 MG COMPRIMIDO</v>
      </c>
      <c r="C30" s="22" t="s">
        <v>163</v>
      </c>
      <c r="D30" s="22">
        <f>VLOOKUP(TabelaPrincipal[[#This Row],[ITEM]],TabelaModelo,3,FALSE)</f>
        <v>44000</v>
      </c>
      <c r="E30" s="22" t="s">
        <v>165</v>
      </c>
      <c r="F30" s="23">
        <v>0.11</v>
      </c>
      <c r="G30" s="5">
        <f>IF(_xlfn.ISFORMULA(TabelaPrincipal[[#This Row],[CUSTO + PERCENTUAL DE ENTRADA]]),0.4,(TabelaPrincipal[[#This Row],[CUSTO + PERCENTUAL DE ENTRADA]]-TabelaPrincipal[[#This Row],[VALOR DE CUSTO]])/TabelaPrincipal[[#This Row],[VALOR DE CUSTO]])</f>
        <v>2.0000000000000004</v>
      </c>
      <c r="H30" s="1">
        <v>0.33</v>
      </c>
      <c r="I30" s="2">
        <f t="shared" si="0"/>
        <v>14520</v>
      </c>
      <c r="J30" s="5">
        <f>IF(TabelaPrincipal[[#This Row],[PERCENTUAL DE ENTRADA]]&gt;0,0.15,0)</f>
        <v>0.15</v>
      </c>
      <c r="K30" s="1">
        <f>ROUND(F30+(F30*TabelaPrincipal[[#This Row],[PERCENTUAL MÍNIMO]]), 2)</f>
        <v>0.13</v>
      </c>
      <c r="L30" s="24">
        <v>0.16</v>
      </c>
      <c r="M30" s="25"/>
      <c r="N30" s="23">
        <f>TabelaPrincipal[[#This Row],[LANCE ATUAL]]*TabelaPrincipal[[#This Row],[QTD]]</f>
        <v>7040</v>
      </c>
    </row>
    <row r="31" spans="1:14" ht="15" customHeight="1" x14ac:dyDescent="0.25">
      <c r="A31" s="20">
        <v>31</v>
      </c>
      <c r="B31" s="21" t="str">
        <f>VLOOKUP(TabelaPrincipal[[#This Row],[ITEM]],TabelaModelo,2,FALSE)</f>
        <v>CARVEDILOL 6,25 MG COMPRIMIDO</v>
      </c>
      <c r="C31" s="22" t="s">
        <v>163</v>
      </c>
      <c r="D31" s="22">
        <f>VLOOKUP(TabelaPrincipal[[#This Row],[ITEM]],TabelaModelo,3,FALSE)</f>
        <v>20000</v>
      </c>
      <c r="E31" s="22" t="s">
        <v>165</v>
      </c>
      <c r="F31" s="23">
        <v>0.13</v>
      </c>
      <c r="G31" s="5">
        <f>IF(_xlfn.ISFORMULA(TabelaPrincipal[[#This Row],[CUSTO + PERCENTUAL DE ENTRADA]]),0.4,(TabelaPrincipal[[#This Row],[CUSTO + PERCENTUAL DE ENTRADA]]-TabelaPrincipal[[#This Row],[VALOR DE CUSTO]])/TabelaPrincipal[[#This Row],[VALOR DE CUSTO]])</f>
        <v>0.84615384615384603</v>
      </c>
      <c r="H31" s="1">
        <v>0.24</v>
      </c>
      <c r="I31" s="2">
        <f t="shared" si="0"/>
        <v>4800</v>
      </c>
      <c r="J31" s="5">
        <f>IF(TabelaPrincipal[[#This Row],[PERCENTUAL DE ENTRADA]]&gt;0,0.15,0)</f>
        <v>0.15</v>
      </c>
      <c r="K31" s="1">
        <f>ROUND(F31+(F31*TabelaPrincipal[[#This Row],[PERCENTUAL MÍNIMO]]), 2)</f>
        <v>0.15</v>
      </c>
      <c r="L31" s="24">
        <v>0.18</v>
      </c>
      <c r="M31" s="25"/>
      <c r="N31" s="23">
        <f>TabelaPrincipal[[#This Row],[LANCE ATUAL]]*TabelaPrincipal[[#This Row],[QTD]]</f>
        <v>3600</v>
      </c>
    </row>
    <row r="32" spans="1:14" ht="15" customHeight="1" x14ac:dyDescent="0.25">
      <c r="A32" s="20">
        <v>32</v>
      </c>
      <c r="B32" s="21" t="str">
        <f>VLOOKUP(TabelaPrincipal[[#This Row],[ITEM]],TabelaModelo,2,FALSE)</f>
        <v>CEFALEXINA 500 MG COMPRIMIDO</v>
      </c>
      <c r="C32" s="22" t="s">
        <v>163</v>
      </c>
      <c r="D32" s="22">
        <f>VLOOKUP(TabelaPrincipal[[#This Row],[ITEM]],TabelaModelo,3,FALSE)</f>
        <v>18000</v>
      </c>
      <c r="E32" s="22" t="s">
        <v>177</v>
      </c>
      <c r="F32" s="23">
        <v>1.1200000000000001</v>
      </c>
      <c r="G3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2" s="1">
        <f>ROUND(F32+(F32*TabelaPrincipal[[#This Row],[PERCENTUAL DE ENTRADA]]), 2)</f>
        <v>1.57</v>
      </c>
      <c r="I32" s="2">
        <f t="shared" si="0"/>
        <v>28260</v>
      </c>
      <c r="J32" s="5">
        <f>IF(TabelaPrincipal[[#This Row],[PERCENTUAL DE ENTRADA]]&gt;0,0.15,0)</f>
        <v>0.15</v>
      </c>
      <c r="K32" s="1">
        <f>ROUND(F32+(F32*TabelaPrincipal[[#This Row],[PERCENTUAL MÍNIMO]]), 2)</f>
        <v>1.29</v>
      </c>
      <c r="L32" s="24">
        <v>1.29</v>
      </c>
      <c r="M32" s="25"/>
      <c r="N32" s="23">
        <f>TabelaPrincipal[[#This Row],[LANCE ATUAL]]*TabelaPrincipal[[#This Row],[QTD]]</f>
        <v>23220</v>
      </c>
    </row>
    <row r="33" spans="1:14" ht="15" customHeight="1" x14ac:dyDescent="0.25">
      <c r="A33" s="20">
        <v>33</v>
      </c>
      <c r="B33" s="21" t="str">
        <f>VLOOKUP(TabelaPrincipal[[#This Row],[ITEM]],TabelaModelo,2,FALSE)</f>
        <v>CEFALEXINA SUSPENSAO ORAL 250MG/5ML 100ML</v>
      </c>
      <c r="C33" s="22" t="s">
        <v>169</v>
      </c>
      <c r="D33" s="22">
        <f>VLOOKUP(TabelaPrincipal[[#This Row],[ITEM]],TabelaModelo,3,FALSE)</f>
        <v>100</v>
      </c>
      <c r="E33" s="22" t="s">
        <v>171</v>
      </c>
      <c r="F33" s="23">
        <v>18.3</v>
      </c>
      <c r="G3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3" s="1">
        <f>ROUND(F33+(F33*TabelaPrincipal[[#This Row],[PERCENTUAL DE ENTRADA]]), 2)</f>
        <v>25.62</v>
      </c>
      <c r="I33" s="2">
        <f t="shared" si="0"/>
        <v>2562</v>
      </c>
      <c r="J33" s="5">
        <f>IF(TabelaPrincipal[[#This Row],[PERCENTUAL DE ENTRADA]]&gt;0,0.15,0)</f>
        <v>0.15</v>
      </c>
      <c r="K33" s="1">
        <f>ROUND(F33+(F33*TabelaPrincipal[[#This Row],[PERCENTUAL MÍNIMO]]), 2)</f>
        <v>21.05</v>
      </c>
      <c r="L33" s="24">
        <v>21.05</v>
      </c>
      <c r="M33" s="25"/>
      <c r="N33" s="23">
        <f>TabelaPrincipal[[#This Row],[LANCE ATUAL]]*TabelaPrincipal[[#This Row],[QTD]]</f>
        <v>2105</v>
      </c>
    </row>
    <row r="34" spans="1:14" ht="15" customHeight="1" x14ac:dyDescent="0.25">
      <c r="A34" s="20">
        <v>34</v>
      </c>
      <c r="B34" s="21" t="str">
        <f>VLOOKUP(TabelaPrincipal[[#This Row],[ITEM]],TabelaModelo,2,FALSE)</f>
        <v>CETOCONAZOL 20MG/ML SHAMPOO</v>
      </c>
      <c r="C34" s="22" t="s">
        <v>169</v>
      </c>
      <c r="D34" s="22">
        <f>VLOOKUP(TabelaPrincipal[[#This Row],[ITEM]],TabelaModelo,3,FALSE)</f>
        <v>50</v>
      </c>
      <c r="E34" s="22" t="s">
        <v>178</v>
      </c>
      <c r="F34" s="23">
        <v>9.1</v>
      </c>
      <c r="G3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4" s="1">
        <f>ROUND(F34+(F34*TabelaPrincipal[[#This Row],[PERCENTUAL DE ENTRADA]]), 2)</f>
        <v>12.74</v>
      </c>
      <c r="I34" s="2">
        <f t="shared" si="0"/>
        <v>637</v>
      </c>
      <c r="J34" s="5">
        <f>IF(TabelaPrincipal[[#This Row],[PERCENTUAL DE ENTRADA]]&gt;0,0.15,0)</f>
        <v>0.15</v>
      </c>
      <c r="K34" s="1">
        <f>ROUND(F34+(F34*TabelaPrincipal[[#This Row],[PERCENTUAL MÍNIMO]]), 2)</f>
        <v>10.47</v>
      </c>
      <c r="L34" s="24">
        <v>10.47</v>
      </c>
      <c r="M34" s="25"/>
      <c r="N34" s="23">
        <f>TabelaPrincipal[[#This Row],[LANCE ATUAL]]*TabelaPrincipal[[#This Row],[QTD]]</f>
        <v>523.5</v>
      </c>
    </row>
    <row r="35" spans="1:14" ht="15" customHeight="1" x14ac:dyDescent="0.25">
      <c r="A35" s="20">
        <v>36</v>
      </c>
      <c r="B35" s="21" t="str">
        <f>VLOOKUP(TabelaPrincipal[[#This Row],[ITEM]],TabelaModelo,2,FALSE)</f>
        <v>CIPROFLOXACINO CLORIDRATO 500 MG COMPRIMIDO</v>
      </c>
      <c r="C35" s="22" t="s">
        <v>163</v>
      </c>
      <c r="D35" s="22">
        <f>VLOOKUP(TabelaPrincipal[[#This Row],[ITEM]],TabelaModelo,3,FALSE)</f>
        <v>16000</v>
      </c>
      <c r="E35" s="22" t="s">
        <v>177</v>
      </c>
      <c r="F35" s="23">
        <v>0.53</v>
      </c>
      <c r="G3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5" s="1">
        <f>ROUND(F35+(F35*TabelaPrincipal[[#This Row],[PERCENTUAL DE ENTRADA]]), 2)</f>
        <v>0.74</v>
      </c>
      <c r="I35" s="2">
        <f t="shared" si="0"/>
        <v>11840</v>
      </c>
      <c r="J35" s="5">
        <f>IF(TabelaPrincipal[[#This Row],[PERCENTUAL DE ENTRADA]]&gt;0,0.15,0)</f>
        <v>0.15</v>
      </c>
      <c r="K35" s="1">
        <f>ROUND(F35+(F35*TabelaPrincipal[[#This Row],[PERCENTUAL MÍNIMO]]), 2)</f>
        <v>0.61</v>
      </c>
      <c r="L35" s="24">
        <v>0.61</v>
      </c>
      <c r="M35" s="25"/>
      <c r="N35" s="23">
        <f>TabelaPrincipal[[#This Row],[LANCE ATUAL]]*TabelaPrincipal[[#This Row],[QTD]]</f>
        <v>9760</v>
      </c>
    </row>
    <row r="36" spans="1:14" ht="15" customHeight="1" x14ac:dyDescent="0.25">
      <c r="A36" s="20">
        <v>37</v>
      </c>
      <c r="B36" s="21" t="str">
        <f>VLOOKUP(TabelaPrincipal[[#This Row],[ITEM]],TabelaModelo,2,FALSE)</f>
        <v>CLARITROMICINA 500MG COMPRIMIDO</v>
      </c>
      <c r="C36" s="22" t="s">
        <v>163</v>
      </c>
      <c r="D36" s="22">
        <f>VLOOKUP(TabelaPrincipal[[#This Row],[ITEM]],TabelaModelo,3,FALSE)</f>
        <v>800</v>
      </c>
      <c r="E36" s="22" t="s">
        <v>173</v>
      </c>
      <c r="F36" s="23">
        <v>3.07</v>
      </c>
      <c r="G3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6" s="1">
        <f>ROUND(F36+(F36*TabelaPrincipal[[#This Row],[PERCENTUAL DE ENTRADA]]), 2)</f>
        <v>4.3</v>
      </c>
      <c r="I36" s="2">
        <f t="shared" si="0"/>
        <v>3440</v>
      </c>
      <c r="J36" s="5">
        <f>IF(TabelaPrincipal[[#This Row],[PERCENTUAL DE ENTRADA]]&gt;0,0.15,0)</f>
        <v>0.15</v>
      </c>
      <c r="K36" s="1">
        <f>ROUND(F36+(F36*TabelaPrincipal[[#This Row],[PERCENTUAL MÍNIMO]]), 2)</f>
        <v>3.53</v>
      </c>
      <c r="L36" s="24">
        <v>3.53</v>
      </c>
      <c r="M36" s="25"/>
      <c r="N36" s="23">
        <f>TabelaPrincipal[[#This Row],[LANCE ATUAL]]*TabelaPrincipal[[#This Row],[QTD]]</f>
        <v>2824</v>
      </c>
    </row>
    <row r="37" spans="1:14" ht="15" customHeight="1" x14ac:dyDescent="0.25">
      <c r="A37" s="20">
        <v>38</v>
      </c>
      <c r="B37" s="21" t="str">
        <f>VLOOKUP(TabelaPrincipal[[#This Row],[ITEM]],TabelaModelo,2,FALSE)</f>
        <v>DIPROPIONATO DE BECLOMETASONA 200MCG SPRAY 200 DOSES 10ML</v>
      </c>
      <c r="C37" s="22" t="s">
        <v>169</v>
      </c>
      <c r="D37" s="22">
        <f>VLOOKUP(TabelaPrincipal[[#This Row],[ITEM]],TabelaModelo,3,FALSE)</f>
        <v>150</v>
      </c>
      <c r="E37" s="22" t="s">
        <v>179</v>
      </c>
      <c r="F37" s="23">
        <v>72.75</v>
      </c>
      <c r="G3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7" s="1">
        <f>ROUND(F37+(F37*TabelaPrincipal[[#This Row],[PERCENTUAL DE ENTRADA]]), 2)</f>
        <v>101.85</v>
      </c>
      <c r="I37" s="2">
        <f t="shared" si="0"/>
        <v>15277.5</v>
      </c>
      <c r="J37" s="5">
        <f>IF(TabelaPrincipal[[#This Row],[PERCENTUAL DE ENTRADA]]&gt;0,0.15,0)</f>
        <v>0.15</v>
      </c>
      <c r="K37" s="1">
        <f>ROUND(F37+(F37*TabelaPrincipal[[#This Row],[PERCENTUAL MÍNIMO]]), 2)</f>
        <v>83.66</v>
      </c>
      <c r="L37" s="24">
        <v>83.66</v>
      </c>
      <c r="M37" s="25"/>
      <c r="N37" s="23">
        <f>TabelaPrincipal[[#This Row],[LANCE ATUAL]]*TabelaPrincipal[[#This Row],[QTD]]</f>
        <v>12549</v>
      </c>
    </row>
    <row r="38" spans="1:14" ht="15" customHeight="1" x14ac:dyDescent="0.25">
      <c r="A38" s="20">
        <v>39</v>
      </c>
      <c r="B38" s="21" t="str">
        <f>VLOOKUP(TabelaPrincipal[[#This Row],[ITEM]],TabelaModelo,2,FALSE)</f>
        <v>DIPROPIONATO DE BECLOMETASONA 50MCG SPRAY 200 DOSES 10ML</v>
      </c>
      <c r="C38" s="22" t="s">
        <v>169</v>
      </c>
      <c r="D38" s="22">
        <f>VLOOKUP(TabelaPrincipal[[#This Row],[ITEM]],TabelaModelo,3,FALSE)</f>
        <v>100</v>
      </c>
      <c r="E38" s="22" t="s">
        <v>179</v>
      </c>
      <c r="F38" s="23">
        <v>44.45</v>
      </c>
      <c r="G3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8" s="1">
        <f>ROUND(F38+(F38*TabelaPrincipal[[#This Row],[PERCENTUAL DE ENTRADA]]), 2)</f>
        <v>62.23</v>
      </c>
      <c r="I38" s="2">
        <f t="shared" si="0"/>
        <v>6223</v>
      </c>
      <c r="J38" s="5">
        <f>IF(TabelaPrincipal[[#This Row],[PERCENTUAL DE ENTRADA]]&gt;0,0.15,0)</f>
        <v>0.15</v>
      </c>
      <c r="K38" s="1">
        <f>ROUND(F38+(F38*TabelaPrincipal[[#This Row],[PERCENTUAL MÍNIMO]]), 2)</f>
        <v>51.12</v>
      </c>
      <c r="L38" s="24">
        <v>51.12</v>
      </c>
      <c r="M38" s="25"/>
      <c r="N38" s="23">
        <f>TabelaPrincipal[[#This Row],[LANCE ATUAL]]*TabelaPrincipal[[#This Row],[QTD]]</f>
        <v>5112</v>
      </c>
    </row>
    <row r="39" spans="1:14" ht="15" customHeight="1" x14ac:dyDescent="0.25">
      <c r="A39" s="20">
        <v>40</v>
      </c>
      <c r="B39" s="21" t="str">
        <f>VLOOKUP(TabelaPrincipal[[#This Row],[ITEM]],TabelaModelo,2,FALSE)</f>
        <v>DIPROPIONATO DE BECLOMETASONA 250 MCG/DOSE SOL AER CT TB AL + DISPOSITIVO ORAL X 200 DOSES</v>
      </c>
      <c r="C39" s="22" t="s">
        <v>169</v>
      </c>
      <c r="D39" s="22">
        <f>VLOOKUP(TabelaPrincipal[[#This Row],[ITEM]],TabelaModelo,3,FALSE)</f>
        <v>400</v>
      </c>
      <c r="E39" s="22" t="s">
        <v>179</v>
      </c>
      <c r="F39" s="23">
        <v>71.8</v>
      </c>
      <c r="G3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9" s="1">
        <f>ROUND(F39+(F39*TabelaPrincipal[[#This Row],[PERCENTUAL DE ENTRADA]]), 2)</f>
        <v>100.52</v>
      </c>
      <c r="I39" s="2">
        <f t="shared" si="0"/>
        <v>40208</v>
      </c>
      <c r="J39" s="5">
        <f>IF(TabelaPrincipal[[#This Row],[PERCENTUAL DE ENTRADA]]&gt;0,0.15,0)</f>
        <v>0.15</v>
      </c>
      <c r="K39" s="1">
        <f>ROUND(F39+(F39*TabelaPrincipal[[#This Row],[PERCENTUAL MÍNIMO]]), 2)</f>
        <v>82.57</v>
      </c>
      <c r="L39" s="24">
        <v>82.57</v>
      </c>
      <c r="M39" s="25"/>
      <c r="N39" s="23">
        <f>TabelaPrincipal[[#This Row],[LANCE ATUAL]]*TabelaPrincipal[[#This Row],[QTD]]</f>
        <v>33028</v>
      </c>
    </row>
    <row r="40" spans="1:14" ht="15" customHeight="1" x14ac:dyDescent="0.25">
      <c r="A40" s="20">
        <v>41</v>
      </c>
      <c r="B40" s="21" t="str">
        <f>VLOOKUP(TabelaPrincipal[[#This Row],[ITEM]],TabelaModelo,2,FALSE)</f>
        <v>CLONAZEPAM 2,5MG/ML</v>
      </c>
      <c r="C40" s="22" t="s">
        <v>166</v>
      </c>
      <c r="D40" s="22">
        <f>VLOOKUP(TabelaPrincipal[[#This Row],[ITEM]],TabelaModelo,3,FALSE)</f>
        <v>800</v>
      </c>
      <c r="E40" s="22" t="s">
        <v>164</v>
      </c>
      <c r="F40" s="23">
        <v>5.0999999999999996</v>
      </c>
      <c r="G4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0" s="1">
        <f>ROUND(F40+(F40*TabelaPrincipal[[#This Row],[PERCENTUAL DE ENTRADA]]), 2)</f>
        <v>7.14</v>
      </c>
      <c r="I40" s="2">
        <f t="shared" si="0"/>
        <v>5712</v>
      </c>
      <c r="J40" s="5">
        <f>IF(TabelaPrincipal[[#This Row],[PERCENTUAL DE ENTRADA]]&gt;0,0.15,0)</f>
        <v>0.15</v>
      </c>
      <c r="K40" s="1">
        <f>ROUND(F40+(F40*TabelaPrincipal[[#This Row],[PERCENTUAL MÍNIMO]]), 2)</f>
        <v>5.87</v>
      </c>
      <c r="L40" s="24">
        <v>5.87</v>
      </c>
      <c r="M40" s="25"/>
      <c r="N40" s="23">
        <f>TabelaPrincipal[[#This Row],[LANCE ATUAL]]*TabelaPrincipal[[#This Row],[QTD]]</f>
        <v>4696</v>
      </c>
    </row>
    <row r="41" spans="1:14" ht="15" customHeight="1" x14ac:dyDescent="0.25">
      <c r="A41" s="20">
        <v>42</v>
      </c>
      <c r="B41" s="21" t="str">
        <f>VLOOKUP(TabelaPrincipal[[#This Row],[ITEM]],TabelaModelo,2,FALSE)</f>
        <v>CLORETO DE SODIO 9 MG/ML SOLUCAO NASAL (NASOJET)</v>
      </c>
      <c r="C41" s="22" t="s">
        <v>166</v>
      </c>
      <c r="D41" s="22">
        <f>VLOOKUP(TabelaPrincipal[[#This Row],[ITEM]],TabelaModelo,3,FALSE)</f>
        <v>150</v>
      </c>
      <c r="E41" s="22" t="s">
        <v>180</v>
      </c>
      <c r="F41" s="23">
        <v>7.4</v>
      </c>
      <c r="G41" s="5">
        <f>IF(_xlfn.ISFORMULA(TabelaPrincipal[[#This Row],[CUSTO + PERCENTUAL DE ENTRADA]]),0.4,(TabelaPrincipal[[#This Row],[CUSTO + PERCENTUAL DE ENTRADA]]-TabelaPrincipal[[#This Row],[VALOR DE CUSTO]])/TabelaPrincipal[[#This Row],[VALOR DE CUSTO]])</f>
        <v>0.97972972972972971</v>
      </c>
      <c r="H41" s="1">
        <v>14.65</v>
      </c>
      <c r="I41" s="2">
        <f t="shared" si="0"/>
        <v>2197.5</v>
      </c>
      <c r="J41" s="5">
        <f>IF(TabelaPrincipal[[#This Row],[PERCENTUAL DE ENTRADA]]&gt;0,0.15,0)</f>
        <v>0.15</v>
      </c>
      <c r="K41" s="1">
        <f>ROUND(F41+(F41*TabelaPrincipal[[#This Row],[PERCENTUAL MÍNIMO]]), 2)</f>
        <v>8.51</v>
      </c>
      <c r="L41" s="24">
        <v>8.51</v>
      </c>
      <c r="M41" s="25"/>
      <c r="N41" s="23">
        <f>TabelaPrincipal[[#This Row],[LANCE ATUAL]]*TabelaPrincipal[[#This Row],[QTD]]</f>
        <v>1276.5</v>
      </c>
    </row>
    <row r="42" spans="1:14" ht="15" customHeight="1" x14ac:dyDescent="0.25">
      <c r="A42" s="20">
        <v>43</v>
      </c>
      <c r="B42" s="21" t="str">
        <f>VLOOKUP(TabelaPrincipal[[#This Row],[ITEM]],TabelaModelo,2,FALSE)</f>
        <v>CLORIDRATO DE AMIODARONA 200MG</v>
      </c>
      <c r="C42" s="22" t="s">
        <v>163</v>
      </c>
      <c r="D42" s="22">
        <f>VLOOKUP(TabelaPrincipal[[#This Row],[ITEM]],TabelaModelo,3,FALSE)</f>
        <v>28000</v>
      </c>
      <c r="E42" s="22" t="s">
        <v>164</v>
      </c>
      <c r="F42" s="23">
        <v>0.78</v>
      </c>
      <c r="G4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2" s="1">
        <f>ROUND(F42+(F42*TabelaPrincipal[[#This Row],[PERCENTUAL DE ENTRADA]]), 2)</f>
        <v>1.0900000000000001</v>
      </c>
      <c r="I42" s="2">
        <f t="shared" si="0"/>
        <v>30520.000000000004</v>
      </c>
      <c r="J42" s="5">
        <f>IF(TabelaPrincipal[[#This Row],[PERCENTUAL DE ENTRADA]]&gt;0,0.15,0)</f>
        <v>0.15</v>
      </c>
      <c r="K42" s="1">
        <f>ROUND(F42+(F42*TabelaPrincipal[[#This Row],[PERCENTUAL MÍNIMO]]), 2)</f>
        <v>0.9</v>
      </c>
      <c r="L42" s="24">
        <v>0.9</v>
      </c>
      <c r="M42" s="25"/>
      <c r="N42" s="23">
        <f>TabelaPrincipal[[#This Row],[LANCE ATUAL]]*TabelaPrincipal[[#This Row],[QTD]]</f>
        <v>25200</v>
      </c>
    </row>
    <row r="43" spans="1:14" ht="15" customHeight="1" x14ac:dyDescent="0.25">
      <c r="A43" s="20">
        <v>44</v>
      </c>
      <c r="B43" s="21" t="str">
        <f>VLOOKUP(TabelaPrincipal[[#This Row],[ITEM]],TabelaModelo,2,FALSE)</f>
        <v>CLORIDRATO DE AMITRIPTILINA 25 MG CAIXA COM 30</v>
      </c>
      <c r="C43" s="22" t="s">
        <v>181</v>
      </c>
      <c r="D43" s="22">
        <f>VLOOKUP(TabelaPrincipal[[#This Row],[ITEM]],TabelaModelo,3,FALSE)</f>
        <v>3000</v>
      </c>
      <c r="E43" s="22" t="s">
        <v>171</v>
      </c>
      <c r="F43" s="23">
        <v>3.65</v>
      </c>
      <c r="G43" s="5">
        <f>IF(_xlfn.ISFORMULA(TabelaPrincipal[[#This Row],[CUSTO + PERCENTUAL DE ENTRADA]]),0.4,(TabelaPrincipal[[#This Row],[CUSTO + PERCENTUAL DE ENTRADA]]-TabelaPrincipal[[#This Row],[VALOR DE CUSTO]])/TabelaPrincipal[[#This Row],[VALOR DE CUSTO]])</f>
        <v>1.7561643835616438</v>
      </c>
      <c r="H43" s="1">
        <v>10.06</v>
      </c>
      <c r="I43" s="2">
        <f t="shared" si="0"/>
        <v>30180</v>
      </c>
      <c r="J43" s="5">
        <f>IF(TabelaPrincipal[[#This Row],[PERCENTUAL DE ENTRADA]]&gt;0,0.15,0)</f>
        <v>0.15</v>
      </c>
      <c r="K43" s="1">
        <f>ROUND(F43+(F43*TabelaPrincipal[[#This Row],[PERCENTUAL MÍNIMO]]), 2)</f>
        <v>4.2</v>
      </c>
      <c r="L43" s="24">
        <v>4.2</v>
      </c>
      <c r="M43" s="25"/>
      <c r="N43" s="23">
        <f>TabelaPrincipal[[#This Row],[LANCE ATUAL]]*TabelaPrincipal[[#This Row],[QTD]]</f>
        <v>12600</v>
      </c>
    </row>
    <row r="44" spans="1:14" ht="15" customHeight="1" x14ac:dyDescent="0.25">
      <c r="A44" s="20">
        <v>46</v>
      </c>
      <c r="B44" s="21" t="str">
        <f>VLOOKUP(TabelaPrincipal[[#This Row],[ITEM]],TabelaModelo,2,FALSE)</f>
        <v>CLORIDRATO DE CLOMIPRAMINA 25 MG</v>
      </c>
      <c r="C44" s="22" t="s">
        <v>163</v>
      </c>
      <c r="D44" s="22">
        <f>VLOOKUP(TabelaPrincipal[[#This Row],[ITEM]],TabelaModelo,3,FALSE)</f>
        <v>8000</v>
      </c>
      <c r="E44" s="22" t="s">
        <v>176</v>
      </c>
      <c r="F44" s="23">
        <v>1.62</v>
      </c>
      <c r="G4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4" s="1">
        <f>ROUND(F44+(F44*TabelaPrincipal[[#This Row],[PERCENTUAL DE ENTRADA]]), 2)</f>
        <v>2.27</v>
      </c>
      <c r="I44" s="2">
        <f t="shared" si="0"/>
        <v>18160</v>
      </c>
      <c r="J44" s="5">
        <f>IF(TabelaPrincipal[[#This Row],[PERCENTUAL DE ENTRADA]]&gt;0,0.15,0)</f>
        <v>0.15</v>
      </c>
      <c r="K44" s="1">
        <f>ROUND(F44+(F44*TabelaPrincipal[[#This Row],[PERCENTUAL MÍNIMO]]), 2)</f>
        <v>1.86</v>
      </c>
      <c r="L44" s="24">
        <v>1.86</v>
      </c>
      <c r="M44" s="25"/>
      <c r="N44" s="23">
        <f>TabelaPrincipal[[#This Row],[LANCE ATUAL]]*TabelaPrincipal[[#This Row],[QTD]]</f>
        <v>14880</v>
      </c>
    </row>
    <row r="45" spans="1:14" ht="15" customHeight="1" x14ac:dyDescent="0.25">
      <c r="A45" s="20">
        <v>47</v>
      </c>
      <c r="B45" s="21" t="str">
        <f>VLOOKUP(TabelaPrincipal[[#This Row],[ITEM]],TabelaModelo,2,FALSE)</f>
        <v>CLORIDRATO DE CLORPROMAZINA 100MG</v>
      </c>
      <c r="C45" s="22" t="s">
        <v>163</v>
      </c>
      <c r="D45" s="22">
        <f>VLOOKUP(TabelaPrincipal[[#This Row],[ITEM]],TabelaModelo,3,FALSE)</f>
        <v>2600</v>
      </c>
      <c r="E45" s="22" t="s">
        <v>182</v>
      </c>
      <c r="F45" s="23">
        <v>0.6</v>
      </c>
      <c r="G4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5" s="1">
        <f>ROUND(F45+(F45*TabelaPrincipal[[#This Row],[PERCENTUAL DE ENTRADA]]), 2)</f>
        <v>0.84</v>
      </c>
      <c r="I45" s="2">
        <f t="shared" si="0"/>
        <v>2184</v>
      </c>
      <c r="J45" s="5">
        <f>IF(TabelaPrincipal[[#This Row],[PERCENTUAL DE ENTRADA]]&gt;0,0.15,0)</f>
        <v>0.15</v>
      </c>
      <c r="K45" s="1">
        <f>ROUND(F45+(F45*TabelaPrincipal[[#This Row],[PERCENTUAL MÍNIMO]]), 2)</f>
        <v>0.69</v>
      </c>
      <c r="L45" s="24">
        <v>0.69</v>
      </c>
      <c r="M45" s="25"/>
      <c r="N45" s="23">
        <f>TabelaPrincipal[[#This Row],[LANCE ATUAL]]*TabelaPrincipal[[#This Row],[QTD]]</f>
        <v>1793.9999999999998</v>
      </c>
    </row>
    <row r="46" spans="1:14" ht="15" customHeight="1" x14ac:dyDescent="0.25">
      <c r="A46" s="20">
        <v>48</v>
      </c>
      <c r="B46" s="21" t="str">
        <f>VLOOKUP(TabelaPrincipal[[#This Row],[ITEM]],TabelaModelo,2,FALSE)</f>
        <v>CLORIDRATO DE CLORPROMAZINA 25MG</v>
      </c>
      <c r="C46" s="22" t="s">
        <v>163</v>
      </c>
      <c r="D46" s="22">
        <f>VLOOKUP(TabelaPrincipal[[#This Row],[ITEM]],TabelaModelo,3,FALSE)</f>
        <v>2000</v>
      </c>
      <c r="E46" s="22" t="s">
        <v>182</v>
      </c>
      <c r="F46" s="23">
        <v>0.4</v>
      </c>
      <c r="G4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6" s="1">
        <f>ROUND(F46+(F46*TabelaPrincipal[[#This Row],[PERCENTUAL DE ENTRADA]]), 2)</f>
        <v>0.56000000000000005</v>
      </c>
      <c r="I46" s="2">
        <f t="shared" si="0"/>
        <v>1120</v>
      </c>
      <c r="J46" s="5">
        <f>IF(TabelaPrincipal[[#This Row],[PERCENTUAL DE ENTRADA]]&gt;0,0.15,0)</f>
        <v>0.15</v>
      </c>
      <c r="K46" s="1">
        <f>ROUND(F46+(F46*TabelaPrincipal[[#This Row],[PERCENTUAL MÍNIMO]]), 2)</f>
        <v>0.46</v>
      </c>
      <c r="L46" s="24">
        <v>0.56000000000000005</v>
      </c>
      <c r="M46" s="25"/>
      <c r="N46" s="23">
        <f>TabelaPrincipal[[#This Row],[LANCE ATUAL]]*TabelaPrincipal[[#This Row],[QTD]]</f>
        <v>1120</v>
      </c>
    </row>
    <row r="47" spans="1:14" ht="15" customHeight="1" x14ac:dyDescent="0.25">
      <c r="A47" s="20">
        <v>49</v>
      </c>
      <c r="B47" s="21" t="str">
        <f>VLOOKUP(TabelaPrincipal[[#This Row],[ITEM]],TabelaModelo,2,FALSE)</f>
        <v>CLORIDRATO DE CLORPROMAZINA 40MG/ML SOL OR CT FR VD GOTAS X 20ML 4%</v>
      </c>
      <c r="C47" s="22" t="s">
        <v>169</v>
      </c>
      <c r="D47" s="22">
        <f>VLOOKUP(TabelaPrincipal[[#This Row],[ITEM]],TabelaModelo,3,FALSE)</f>
        <v>50</v>
      </c>
      <c r="E47" s="22" t="s">
        <v>182</v>
      </c>
      <c r="F47" s="23">
        <v>9.6</v>
      </c>
      <c r="G4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7" s="1">
        <f>ROUND(F47+(F47*TabelaPrincipal[[#This Row],[PERCENTUAL DE ENTRADA]]), 2)</f>
        <v>13.44</v>
      </c>
      <c r="I47" s="2">
        <f t="shared" si="0"/>
        <v>672</v>
      </c>
      <c r="J47" s="5">
        <f>IF(TabelaPrincipal[[#This Row],[PERCENTUAL DE ENTRADA]]&gt;0,0.15,0)</f>
        <v>0.15</v>
      </c>
      <c r="K47" s="1">
        <f>ROUND(F47+(F47*TabelaPrincipal[[#This Row],[PERCENTUAL MÍNIMO]]), 2)</f>
        <v>11.04</v>
      </c>
      <c r="L47" s="24">
        <v>13.44</v>
      </c>
      <c r="M47" s="25"/>
      <c r="N47" s="23">
        <f>TabelaPrincipal[[#This Row],[LANCE ATUAL]]*TabelaPrincipal[[#This Row],[QTD]]</f>
        <v>672</v>
      </c>
    </row>
    <row r="48" spans="1:14" ht="15" customHeight="1" x14ac:dyDescent="0.25">
      <c r="A48" s="20">
        <v>50</v>
      </c>
      <c r="B48" s="21" t="str">
        <f>VLOOKUP(TabelaPrincipal[[#This Row],[ITEM]],TabelaModelo,2,FALSE)</f>
        <v>CLORIDRATO DE HIDRALAZINA 25MG</v>
      </c>
      <c r="C48" s="22" t="s">
        <v>163</v>
      </c>
      <c r="D48" s="22">
        <f>VLOOKUP(TabelaPrincipal[[#This Row],[ITEM]],TabelaModelo,3,FALSE)</f>
        <v>10000</v>
      </c>
      <c r="E48" s="22" t="s">
        <v>175</v>
      </c>
      <c r="F48" s="23">
        <v>0.5</v>
      </c>
      <c r="G48" s="5">
        <v>0</v>
      </c>
      <c r="H48" s="1">
        <f>ROUND(F48+(F48*TabelaPrincipal[[#This Row],[PERCENTUAL DE ENTRADA]]), 2)</f>
        <v>0.5</v>
      </c>
      <c r="I48" s="2">
        <f t="shared" si="0"/>
        <v>5000</v>
      </c>
      <c r="J48" s="5">
        <f>IF(TabelaPrincipal[[#This Row],[PERCENTUAL DE ENTRADA]]&gt;0,0.15,0)</f>
        <v>0</v>
      </c>
      <c r="K48" s="1">
        <f>ROUND(F48+(F48*TabelaPrincipal[[#This Row],[PERCENTUAL MÍNIMO]]), 2)</f>
        <v>0.5</v>
      </c>
      <c r="L48" s="24">
        <f>IF(TabelaPrincipal[[#This Row],[PERCENTUAL DE ENTRADA]]=0,TabelaPrincipal[[#This Row],[VALOR MÍNIMO]],0)</f>
        <v>0.5</v>
      </c>
      <c r="M48" s="25"/>
      <c r="N48" s="23">
        <f>TabelaPrincipal[[#This Row],[LANCE ATUAL]]*TabelaPrincipal[[#This Row],[QTD]]</f>
        <v>5000</v>
      </c>
    </row>
    <row r="49" spans="1:14" ht="15" customHeight="1" x14ac:dyDescent="0.25">
      <c r="A49" s="20">
        <v>51</v>
      </c>
      <c r="B49" s="21" t="str">
        <f>VLOOKUP(TabelaPrincipal[[#This Row],[ITEM]],TabelaModelo,2,FALSE)</f>
        <v>CLORIDRATO DE IMIPRAMINA 25 MG</v>
      </c>
      <c r="C49" s="22" t="s">
        <v>163</v>
      </c>
      <c r="D49" s="22">
        <f>VLOOKUP(TabelaPrincipal[[#This Row],[ITEM]],TabelaModelo,3,FALSE)</f>
        <v>1000</v>
      </c>
      <c r="E49" s="22" t="s">
        <v>183</v>
      </c>
      <c r="F49" s="23">
        <v>0.53</v>
      </c>
      <c r="G4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9" s="1">
        <f>ROUND(F49+(F49*TabelaPrincipal[[#This Row],[PERCENTUAL DE ENTRADA]]), 2)</f>
        <v>0.74</v>
      </c>
      <c r="I49" s="2">
        <f t="shared" si="0"/>
        <v>740</v>
      </c>
      <c r="J49" s="5">
        <f>IF(TabelaPrincipal[[#This Row],[PERCENTUAL DE ENTRADA]]&gt;0,0.15,0)</f>
        <v>0.15</v>
      </c>
      <c r="K49" s="1">
        <f>ROUND(F49+(F49*TabelaPrincipal[[#This Row],[PERCENTUAL MÍNIMO]]), 2)</f>
        <v>0.61</v>
      </c>
      <c r="L49" s="24">
        <v>0.74</v>
      </c>
      <c r="M49" s="25"/>
      <c r="N49" s="23">
        <f>TabelaPrincipal[[#This Row],[LANCE ATUAL]]*TabelaPrincipal[[#This Row],[QTD]]</f>
        <v>740</v>
      </c>
    </row>
    <row r="50" spans="1:14" ht="15" customHeight="1" x14ac:dyDescent="0.25">
      <c r="A50" s="20">
        <v>52</v>
      </c>
      <c r="B50" s="21" t="str">
        <f>VLOOKUP(TabelaPrincipal[[#This Row],[ITEM]],TabelaModelo,2,FALSE)</f>
        <v>CLORIDRATO DE PROPRANOLOL 40MG</v>
      </c>
      <c r="C50" s="22" t="s">
        <v>181</v>
      </c>
      <c r="D50" s="22">
        <f>VLOOKUP(TabelaPrincipal[[#This Row],[ITEM]],TabelaModelo,3,FALSE)</f>
        <v>1334</v>
      </c>
      <c r="E50" s="22" t="s">
        <v>159</v>
      </c>
      <c r="F50" s="23">
        <v>2.5</v>
      </c>
      <c r="G50" s="5">
        <f>IF(_xlfn.ISFORMULA(TabelaPrincipal[[#This Row],[CUSTO + PERCENTUAL DE ENTRADA]]),0.4,(TabelaPrincipal[[#This Row],[CUSTO + PERCENTUAL DE ENTRADA]]-TabelaPrincipal[[#This Row],[VALOR DE CUSTO]])/TabelaPrincipal[[#This Row],[VALOR DE CUSTO]])</f>
        <v>4.5200000000000005</v>
      </c>
      <c r="H50" s="1">
        <v>13.8</v>
      </c>
      <c r="I50" s="2">
        <f t="shared" si="0"/>
        <v>18409.2</v>
      </c>
      <c r="J50" s="5">
        <f>IF(TabelaPrincipal[[#This Row],[PERCENTUAL DE ENTRADA]]&gt;0,0.15,0)</f>
        <v>0.15</v>
      </c>
      <c r="K50" s="1">
        <f>ROUND(F50+(F50*TabelaPrincipal[[#This Row],[PERCENTUAL MÍNIMO]]), 2)</f>
        <v>2.88</v>
      </c>
      <c r="L50" s="24">
        <v>2.88</v>
      </c>
      <c r="M50" s="25"/>
      <c r="N50" s="23">
        <f>TabelaPrincipal[[#This Row],[LANCE ATUAL]]*TabelaPrincipal[[#This Row],[QTD]]</f>
        <v>3841.92</v>
      </c>
    </row>
    <row r="51" spans="1:14" ht="15" customHeight="1" x14ac:dyDescent="0.25">
      <c r="A51" s="20">
        <v>53</v>
      </c>
      <c r="B51" s="21" t="str">
        <f>VLOOKUP(TabelaPrincipal[[#This Row],[ITEM]],TabelaModelo,2,FALSE)</f>
        <v>CLORIDRATO DE VERAPAMIL 80MG</v>
      </c>
      <c r="C51" s="22" t="s">
        <v>163</v>
      </c>
      <c r="D51" s="22">
        <f>VLOOKUP(TabelaPrincipal[[#This Row],[ITEM]],TabelaModelo,3,FALSE)</f>
        <v>1000</v>
      </c>
      <c r="E51" s="22" t="s">
        <v>161</v>
      </c>
      <c r="F51" s="23">
        <v>0.42</v>
      </c>
      <c r="G51" s="5">
        <f>IF(_xlfn.ISFORMULA(TabelaPrincipal[[#This Row],[CUSTO + PERCENTUAL DE ENTRADA]]),0.4,(TabelaPrincipal[[#This Row],[CUSTO + PERCENTUAL DE ENTRADA]]-TabelaPrincipal[[#This Row],[VALOR DE CUSTO]])/TabelaPrincipal[[#This Row],[VALOR DE CUSTO]])</f>
        <v>3.9761904761904763</v>
      </c>
      <c r="H51" s="1">
        <v>2.09</v>
      </c>
      <c r="I51" s="2">
        <f t="shared" si="0"/>
        <v>2090</v>
      </c>
      <c r="J51" s="5">
        <f>IF(TabelaPrincipal[[#This Row],[PERCENTUAL DE ENTRADA]]&gt;0,0.15,0)</f>
        <v>0.15</v>
      </c>
      <c r="K51" s="1">
        <f>ROUND(F51+(F51*TabelaPrincipal[[#This Row],[PERCENTUAL MÍNIMO]]), 2)</f>
        <v>0.48</v>
      </c>
      <c r="L51" s="24">
        <v>2.09</v>
      </c>
      <c r="M51" s="25"/>
      <c r="N51" s="23">
        <f>TabelaPrincipal[[#This Row],[LANCE ATUAL]]*TabelaPrincipal[[#This Row],[QTD]]</f>
        <v>2090</v>
      </c>
    </row>
    <row r="52" spans="1:14" ht="15" customHeight="1" x14ac:dyDescent="0.25">
      <c r="A52" s="20">
        <v>54</v>
      </c>
      <c r="B52" s="21" t="str">
        <f>VLOOKUP(TabelaPrincipal[[#This Row],[ITEM]],TabelaModelo,2,FALSE)</f>
        <v>DEXAMETASONA 1 MG/ML (0,1%) SUSPENSAO OFTALMICA</v>
      </c>
      <c r="C52" s="22" t="s">
        <v>169</v>
      </c>
      <c r="D52" s="22">
        <f>VLOOKUP(TabelaPrincipal[[#This Row],[ITEM]],TabelaModelo,3,FALSE)</f>
        <v>50</v>
      </c>
      <c r="E52" s="22" t="s">
        <v>175</v>
      </c>
      <c r="F52" s="23">
        <v>8.9499999999999993</v>
      </c>
      <c r="G5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2" s="1">
        <f>ROUND(F52+(F52*TabelaPrincipal[[#This Row],[PERCENTUAL DE ENTRADA]]), 2)</f>
        <v>12.53</v>
      </c>
      <c r="I52" s="2">
        <f t="shared" si="0"/>
        <v>626.5</v>
      </c>
      <c r="J52" s="5">
        <f>IF(TabelaPrincipal[[#This Row],[PERCENTUAL DE ENTRADA]]&gt;0,0.15,0)</f>
        <v>0.15</v>
      </c>
      <c r="K52" s="1">
        <f>ROUND(F52+(F52*TabelaPrincipal[[#This Row],[PERCENTUAL MÍNIMO]]), 2)</f>
        <v>10.29</v>
      </c>
      <c r="L52" s="24">
        <v>12.53</v>
      </c>
      <c r="M52" s="25"/>
      <c r="N52" s="23">
        <f>TabelaPrincipal[[#This Row],[LANCE ATUAL]]*TabelaPrincipal[[#This Row],[QTD]]</f>
        <v>626.5</v>
      </c>
    </row>
    <row r="53" spans="1:14" ht="15" customHeight="1" x14ac:dyDescent="0.25">
      <c r="A53" s="20">
        <v>55</v>
      </c>
      <c r="B53" s="21" t="str">
        <f>VLOOKUP(TabelaPrincipal[[#This Row],[ITEM]],TabelaModelo,2,FALSE)</f>
        <v>DEXCLORFENIRAMINA MALEATO 0,4 MG/ML SOLUCAO ORAL</v>
      </c>
      <c r="C53" s="22" t="s">
        <v>166</v>
      </c>
      <c r="D53" s="22">
        <f>VLOOKUP(TabelaPrincipal[[#This Row],[ITEM]],TabelaModelo,3,FALSE)</f>
        <v>900</v>
      </c>
      <c r="E53" s="22" t="s">
        <v>164</v>
      </c>
      <c r="F53" s="23">
        <v>5</v>
      </c>
      <c r="G53" s="5">
        <f>IF(_xlfn.ISFORMULA(TabelaPrincipal[[#This Row],[CUSTO + PERCENTUAL DE ENTRADA]]),0.4,(TabelaPrincipal[[#This Row],[CUSTO + PERCENTUAL DE ENTRADA]]-TabelaPrincipal[[#This Row],[VALOR DE CUSTO]])/TabelaPrincipal[[#This Row],[VALOR DE CUSTO]])</f>
        <v>1.0559999999999998</v>
      </c>
      <c r="H53" s="1">
        <v>10.28</v>
      </c>
      <c r="I53" s="2">
        <f t="shared" si="0"/>
        <v>9252</v>
      </c>
      <c r="J53" s="5">
        <f>IF(TabelaPrincipal[[#This Row],[PERCENTUAL DE ENTRADA]]&gt;0,0.15,0)</f>
        <v>0.15</v>
      </c>
      <c r="K53" s="1">
        <f>ROUND(F53+(F53*TabelaPrincipal[[#This Row],[PERCENTUAL MÍNIMO]]), 2)</f>
        <v>5.75</v>
      </c>
      <c r="L53" s="24">
        <v>5.75</v>
      </c>
      <c r="M53" s="25"/>
      <c r="N53" s="23">
        <f>TabelaPrincipal[[#This Row],[LANCE ATUAL]]*TabelaPrincipal[[#This Row],[QTD]]</f>
        <v>5175</v>
      </c>
    </row>
    <row r="54" spans="1:14" ht="15" customHeight="1" x14ac:dyDescent="0.25">
      <c r="A54" s="20">
        <v>56</v>
      </c>
      <c r="B54" s="21" t="str">
        <f>VLOOKUP(TabelaPrincipal[[#This Row],[ITEM]],TabelaModelo,2,FALSE)</f>
        <v>DEXCLORFENIRAMINA MALEATO 2MG</v>
      </c>
      <c r="C54" s="22" t="s">
        <v>163</v>
      </c>
      <c r="D54" s="22">
        <f>VLOOKUP(TabelaPrincipal[[#This Row],[ITEM]],TabelaModelo,3,FALSE)</f>
        <v>10000</v>
      </c>
      <c r="E54" s="22" t="s">
        <v>164</v>
      </c>
      <c r="F54" s="23">
        <v>0.1</v>
      </c>
      <c r="G54" s="5">
        <f>IF(_xlfn.ISFORMULA(TabelaPrincipal[[#This Row],[CUSTO + PERCENTUAL DE ENTRADA]]),0.4,(TabelaPrincipal[[#This Row],[CUSTO + PERCENTUAL DE ENTRADA]]-TabelaPrincipal[[#This Row],[VALOR DE CUSTO]])/TabelaPrincipal[[#This Row],[VALOR DE CUSTO]])</f>
        <v>1.0999999999999999</v>
      </c>
      <c r="H54" s="1">
        <v>0.21</v>
      </c>
      <c r="I54" s="2">
        <f t="shared" si="0"/>
        <v>2100</v>
      </c>
      <c r="J54" s="5">
        <f>IF(TabelaPrincipal[[#This Row],[PERCENTUAL DE ENTRADA]]&gt;0,0.15,0)</f>
        <v>0.15</v>
      </c>
      <c r="K54" s="1">
        <f>ROUND(F54+(F54*TabelaPrincipal[[#This Row],[PERCENTUAL MÍNIMO]]), 2)</f>
        <v>0.12</v>
      </c>
      <c r="L54" s="24">
        <v>0.12</v>
      </c>
      <c r="M54" s="25"/>
      <c r="N54" s="23">
        <f>TabelaPrincipal[[#This Row],[LANCE ATUAL]]*TabelaPrincipal[[#This Row],[QTD]]</f>
        <v>1200</v>
      </c>
    </row>
    <row r="55" spans="1:14" ht="15" customHeight="1" x14ac:dyDescent="0.25">
      <c r="A55" s="20">
        <v>57</v>
      </c>
      <c r="B55" s="21" t="str">
        <f>VLOOKUP(TabelaPrincipal[[#This Row],[ITEM]],TabelaModelo,2,FALSE)</f>
        <v>DIAZEPAM 10 MG</v>
      </c>
      <c r="C55" s="22" t="s">
        <v>163</v>
      </c>
      <c r="D55" s="22">
        <f>VLOOKUP(TabelaPrincipal[[#This Row],[ITEM]],TabelaModelo,3,FALSE)</f>
        <v>35000</v>
      </c>
      <c r="E55" s="22" t="s">
        <v>173</v>
      </c>
      <c r="F55" s="23">
        <v>0.16</v>
      </c>
      <c r="G5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5" s="1">
        <f>ROUND(F55+(F55*TabelaPrincipal[[#This Row],[PERCENTUAL DE ENTRADA]]), 2)</f>
        <v>0.22</v>
      </c>
      <c r="I55" s="2">
        <f t="shared" si="0"/>
        <v>7700</v>
      </c>
      <c r="J55" s="5">
        <f>IF(TabelaPrincipal[[#This Row],[PERCENTUAL DE ENTRADA]]&gt;0,0.15,0)</f>
        <v>0.15</v>
      </c>
      <c r="K55" s="1">
        <f>ROUND(F55+(F55*TabelaPrincipal[[#This Row],[PERCENTUAL MÍNIMO]]), 2)</f>
        <v>0.18</v>
      </c>
      <c r="L55" s="24">
        <v>0.22</v>
      </c>
      <c r="M55" s="25"/>
      <c r="N55" s="23">
        <f>TabelaPrincipal[[#This Row],[LANCE ATUAL]]*TabelaPrincipal[[#This Row],[QTD]]</f>
        <v>7700</v>
      </c>
    </row>
    <row r="56" spans="1:14" ht="15" customHeight="1" x14ac:dyDescent="0.25">
      <c r="A56" s="20">
        <v>58</v>
      </c>
      <c r="B56" s="21" t="str">
        <f>VLOOKUP(TabelaPrincipal[[#This Row],[ITEM]],TabelaModelo,2,FALSE)</f>
        <v>DIAZEPAM 5 MG</v>
      </c>
      <c r="C56" s="22" t="s">
        <v>163</v>
      </c>
      <c r="D56" s="22">
        <f>VLOOKUP(TabelaPrincipal[[#This Row],[ITEM]],TabelaModelo,3,FALSE)</f>
        <v>1000</v>
      </c>
      <c r="E56" s="22" t="s">
        <v>176</v>
      </c>
      <c r="F56" s="23">
        <v>0.14000000000000001</v>
      </c>
      <c r="G5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6" s="1">
        <f>ROUND(F56+(F56*TabelaPrincipal[[#This Row],[PERCENTUAL DE ENTRADA]]), 2)</f>
        <v>0.2</v>
      </c>
      <c r="I56" s="2">
        <f t="shared" si="0"/>
        <v>200</v>
      </c>
      <c r="J56" s="5">
        <f>IF(TabelaPrincipal[[#This Row],[PERCENTUAL DE ENTRADA]]&gt;0,0.15,0)</f>
        <v>0.15</v>
      </c>
      <c r="K56" s="1">
        <f>ROUND(F56+(F56*TabelaPrincipal[[#This Row],[PERCENTUAL MÍNIMO]]), 2)</f>
        <v>0.16</v>
      </c>
      <c r="L56" s="24">
        <v>0.2</v>
      </c>
      <c r="M56" s="25"/>
      <c r="N56" s="23">
        <f>TabelaPrincipal[[#This Row],[LANCE ATUAL]]*TabelaPrincipal[[#This Row],[QTD]]</f>
        <v>200</v>
      </c>
    </row>
    <row r="57" spans="1:14" ht="15" customHeight="1" x14ac:dyDescent="0.25">
      <c r="A57" s="20">
        <v>59</v>
      </c>
      <c r="B57" s="21" t="str">
        <f>VLOOKUP(TabelaPrincipal[[#This Row],[ITEM]],TabelaModelo,2,FALSE)</f>
        <v>DIGOXINA 0,25 MG</v>
      </c>
      <c r="C57" s="22" t="s">
        <v>163</v>
      </c>
      <c r="D57" s="22">
        <f>VLOOKUP(TabelaPrincipal[[#This Row],[ITEM]],TabelaModelo,3,FALSE)</f>
        <v>6000</v>
      </c>
      <c r="E57" s="22" t="s">
        <v>173</v>
      </c>
      <c r="F57" s="23">
        <v>0.28000000000000003</v>
      </c>
      <c r="G5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7" s="1">
        <f>ROUND(F57+(F57*TabelaPrincipal[[#This Row],[PERCENTUAL DE ENTRADA]]), 2)</f>
        <v>0.39</v>
      </c>
      <c r="I57" s="2">
        <f t="shared" si="0"/>
        <v>2340</v>
      </c>
      <c r="J57" s="5">
        <f>IF(TabelaPrincipal[[#This Row],[PERCENTUAL DE ENTRADA]]&gt;0,0.15,0)</f>
        <v>0.15</v>
      </c>
      <c r="K57" s="1">
        <f>ROUND(F57+(F57*TabelaPrincipal[[#This Row],[PERCENTUAL MÍNIMO]]), 2)</f>
        <v>0.32</v>
      </c>
      <c r="L57" s="24">
        <v>0.32</v>
      </c>
      <c r="M57" s="25"/>
      <c r="N57" s="23">
        <f>TabelaPrincipal[[#This Row],[LANCE ATUAL]]*TabelaPrincipal[[#This Row],[QTD]]</f>
        <v>1920</v>
      </c>
    </row>
    <row r="58" spans="1:14" ht="15" customHeight="1" x14ac:dyDescent="0.25">
      <c r="A58" s="20">
        <v>60</v>
      </c>
      <c r="B58" s="21" t="str">
        <f>VLOOKUP(TabelaPrincipal[[#This Row],[ITEM]],TabelaModelo,2,FALSE)</f>
        <v>DINITRATO DE ISOSSORBIDA 5MG SUBLINGUAL</v>
      </c>
      <c r="C58" s="22" t="s">
        <v>163</v>
      </c>
      <c r="D58" s="22">
        <f>VLOOKUP(TabelaPrincipal[[#This Row],[ITEM]],TabelaModelo,3,FALSE)</f>
        <v>500</v>
      </c>
      <c r="E58" s="22" t="s">
        <v>161</v>
      </c>
      <c r="F58" s="23">
        <v>0.4</v>
      </c>
      <c r="G5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8" s="1">
        <f>ROUND(F58+(F58*TabelaPrincipal[[#This Row],[PERCENTUAL DE ENTRADA]]), 2)</f>
        <v>0.56000000000000005</v>
      </c>
      <c r="I58" s="2">
        <f t="shared" si="0"/>
        <v>280</v>
      </c>
      <c r="J58" s="5">
        <f>IF(TabelaPrincipal[[#This Row],[PERCENTUAL DE ENTRADA]]&gt;0,0.15,0)</f>
        <v>0.15</v>
      </c>
      <c r="K58" s="1">
        <f>ROUND(F58+(F58*TabelaPrincipal[[#This Row],[PERCENTUAL MÍNIMO]]), 2)</f>
        <v>0.46</v>
      </c>
      <c r="L58" s="24">
        <v>0.56000000000000005</v>
      </c>
      <c r="M58" s="25"/>
      <c r="N58" s="23">
        <f>TabelaPrincipal[[#This Row],[LANCE ATUAL]]*TabelaPrincipal[[#This Row],[QTD]]</f>
        <v>280</v>
      </c>
    </row>
    <row r="59" spans="1:14" ht="15" customHeight="1" x14ac:dyDescent="0.25">
      <c r="A59" s="20">
        <v>61</v>
      </c>
      <c r="B59" s="21" t="str">
        <f>VLOOKUP(TabelaPrincipal[[#This Row],[ITEM]],TabelaModelo,2,FALSE)</f>
        <v>DIPIRONA SODICA 500 MG COMPRIMIDO</v>
      </c>
      <c r="C59" s="22" t="s">
        <v>163</v>
      </c>
      <c r="D59" s="22">
        <f>VLOOKUP(TabelaPrincipal[[#This Row],[ITEM]],TabelaModelo,3,FALSE)</f>
        <v>70000</v>
      </c>
      <c r="E59" s="22" t="s">
        <v>172</v>
      </c>
      <c r="F59" s="23">
        <v>0.25</v>
      </c>
      <c r="G5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9" s="1">
        <f>ROUND(F59+(F59*TabelaPrincipal[[#This Row],[PERCENTUAL DE ENTRADA]]), 2)</f>
        <v>0.35</v>
      </c>
      <c r="I59" s="2">
        <f t="shared" si="0"/>
        <v>24500</v>
      </c>
      <c r="J59" s="5">
        <f>IF(TabelaPrincipal[[#This Row],[PERCENTUAL DE ENTRADA]]&gt;0,0.15,0)</f>
        <v>0.15</v>
      </c>
      <c r="K59" s="1">
        <f>ROUND(F59+(F59*TabelaPrincipal[[#This Row],[PERCENTUAL MÍNIMO]]), 2)</f>
        <v>0.28999999999999998</v>
      </c>
      <c r="L59" s="24">
        <v>0.28999999999999998</v>
      </c>
      <c r="M59" s="25"/>
      <c r="N59" s="23">
        <f>TabelaPrincipal[[#This Row],[LANCE ATUAL]]*TabelaPrincipal[[#This Row],[QTD]]</f>
        <v>20300</v>
      </c>
    </row>
    <row r="60" spans="1:14" ht="15" customHeight="1" x14ac:dyDescent="0.25">
      <c r="A60" s="20">
        <v>62</v>
      </c>
      <c r="B60" s="21" t="str">
        <f>VLOOKUP(TabelaPrincipal[[#This Row],[ITEM]],TabelaModelo,2,FALSE)</f>
        <v>DIPIRONA SODICA 500MG/ML FRASCO 20ML</v>
      </c>
      <c r="C60" s="22" t="s">
        <v>169</v>
      </c>
      <c r="D60" s="22">
        <f>VLOOKUP(TabelaPrincipal[[#This Row],[ITEM]],TabelaModelo,3,FALSE)</f>
        <v>600</v>
      </c>
      <c r="E60" s="22" t="s">
        <v>184</v>
      </c>
      <c r="F60" s="23">
        <v>3.1</v>
      </c>
      <c r="G60" s="5">
        <f>IF(_xlfn.ISFORMULA(TabelaPrincipal[[#This Row],[CUSTO + PERCENTUAL DE ENTRADA]]),0.4,(TabelaPrincipal[[#This Row],[CUSTO + PERCENTUAL DE ENTRADA]]-TabelaPrincipal[[#This Row],[VALOR DE CUSTO]])/TabelaPrincipal[[#This Row],[VALOR DE CUSTO]])</f>
        <v>1.1161290322580644</v>
      </c>
      <c r="H60" s="1">
        <v>6.56</v>
      </c>
      <c r="I60" s="2">
        <f t="shared" si="0"/>
        <v>3935.9999999999995</v>
      </c>
      <c r="J60" s="5">
        <f>IF(TabelaPrincipal[[#This Row],[PERCENTUAL DE ENTRADA]]&gt;0,0.15,0)</f>
        <v>0.15</v>
      </c>
      <c r="K60" s="1">
        <f>ROUND(F60+(F60*TabelaPrincipal[[#This Row],[PERCENTUAL MÍNIMO]]), 2)</f>
        <v>3.57</v>
      </c>
      <c r="L60" s="24">
        <v>3.57</v>
      </c>
      <c r="M60" s="25"/>
      <c r="N60" s="23">
        <f>TabelaPrincipal[[#This Row],[LANCE ATUAL]]*TabelaPrincipal[[#This Row],[QTD]]</f>
        <v>2142</v>
      </c>
    </row>
    <row r="61" spans="1:14" ht="15" customHeight="1" x14ac:dyDescent="0.25">
      <c r="A61" s="20">
        <v>63</v>
      </c>
      <c r="B61" s="21" t="str">
        <f>VLOOKUP(TabelaPrincipal[[#This Row],[ITEM]],TabelaModelo,2,FALSE)</f>
        <v>DOXAZOSINA 2MG</v>
      </c>
      <c r="C61" s="22" t="s">
        <v>163</v>
      </c>
      <c r="D61" s="22">
        <f>VLOOKUP(TabelaPrincipal[[#This Row],[ITEM]],TabelaModelo,3,FALSE)</f>
        <v>12000</v>
      </c>
      <c r="E61" s="22" t="s">
        <v>164</v>
      </c>
      <c r="F61" s="23">
        <v>0.2</v>
      </c>
      <c r="G6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1" s="1">
        <f>ROUND(F61+(F61*TabelaPrincipal[[#This Row],[PERCENTUAL DE ENTRADA]]), 2)</f>
        <v>0.28000000000000003</v>
      </c>
      <c r="I61" s="2">
        <f t="shared" si="0"/>
        <v>3360.0000000000005</v>
      </c>
      <c r="J61" s="5">
        <f>IF(TabelaPrincipal[[#This Row],[PERCENTUAL DE ENTRADA]]&gt;0,0.15,0)</f>
        <v>0.15</v>
      </c>
      <c r="K61" s="1">
        <f>ROUND(F61+(F61*TabelaPrincipal[[#This Row],[PERCENTUAL MÍNIMO]]), 2)</f>
        <v>0.23</v>
      </c>
      <c r="L61" s="24">
        <v>0.23</v>
      </c>
      <c r="M61" s="25"/>
      <c r="N61" s="23">
        <f>TabelaPrincipal[[#This Row],[LANCE ATUAL]]*TabelaPrincipal[[#This Row],[QTD]]</f>
        <v>2760</v>
      </c>
    </row>
    <row r="62" spans="1:14" ht="15" customHeight="1" x14ac:dyDescent="0.25">
      <c r="A62" s="20">
        <v>64</v>
      </c>
      <c r="B62" s="21" t="str">
        <f>VLOOKUP(TabelaPrincipal[[#This Row],[ITEM]],TabelaModelo,2,FALSE)</f>
        <v>DOXAZOSINA MESILATO 4MG</v>
      </c>
      <c r="C62" s="22" t="s">
        <v>163</v>
      </c>
      <c r="D62" s="22">
        <f>VLOOKUP(TabelaPrincipal[[#This Row],[ITEM]],TabelaModelo,3,FALSE)</f>
        <v>8000</v>
      </c>
      <c r="E62" s="22" t="s">
        <v>170</v>
      </c>
      <c r="F62" s="23">
        <v>0.71</v>
      </c>
      <c r="G62" s="5">
        <f>IF(_xlfn.ISFORMULA(TabelaPrincipal[[#This Row],[CUSTO + PERCENTUAL DE ENTRADA]]),0.4,(TabelaPrincipal[[#This Row],[CUSTO + PERCENTUAL DE ENTRADA]]-TabelaPrincipal[[#This Row],[VALOR DE CUSTO]])/TabelaPrincipal[[#This Row],[VALOR DE CUSTO]])</f>
        <v>0.84507042253521147</v>
      </c>
      <c r="H62" s="1">
        <v>1.31</v>
      </c>
      <c r="I62" s="2">
        <f t="shared" si="0"/>
        <v>10480</v>
      </c>
      <c r="J62" s="5">
        <f>IF(TabelaPrincipal[[#This Row],[PERCENTUAL DE ENTRADA]]&gt;0,0.15,0)</f>
        <v>0.15</v>
      </c>
      <c r="K62" s="1">
        <f>ROUND(F62+(F62*TabelaPrincipal[[#This Row],[PERCENTUAL MÍNIMO]]), 2)</f>
        <v>0.82</v>
      </c>
      <c r="L62" s="24">
        <v>0.82</v>
      </c>
      <c r="M62" s="25"/>
      <c r="N62" s="23">
        <f>TabelaPrincipal[[#This Row],[LANCE ATUAL]]*TabelaPrincipal[[#This Row],[QTD]]</f>
        <v>6560</v>
      </c>
    </row>
    <row r="63" spans="1:14" ht="15" customHeight="1" x14ac:dyDescent="0.25">
      <c r="A63" s="20">
        <v>65</v>
      </c>
      <c r="B63" s="21" t="str">
        <f>VLOOKUP(TabelaPrincipal[[#This Row],[ITEM]],TabelaModelo,2,FALSE)</f>
        <v>ENALAPRIL MALEATO 10 MG COMPRIMIDO</v>
      </c>
      <c r="C63" s="22" t="s">
        <v>163</v>
      </c>
      <c r="D63" s="22">
        <f>VLOOKUP(TabelaPrincipal[[#This Row],[ITEM]],TabelaModelo,3,FALSE)</f>
        <v>45000</v>
      </c>
      <c r="E63" s="22" t="s">
        <v>172</v>
      </c>
      <c r="F63" s="23">
        <v>0.1</v>
      </c>
      <c r="G6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3" s="1">
        <f>ROUND(F63+(F63*TabelaPrincipal[[#This Row],[PERCENTUAL DE ENTRADA]]), 2)</f>
        <v>0.14000000000000001</v>
      </c>
      <c r="I63" s="2">
        <f t="shared" si="0"/>
        <v>6300.0000000000009</v>
      </c>
      <c r="J63" s="5">
        <f>IF(TabelaPrincipal[[#This Row],[PERCENTUAL DE ENTRADA]]&gt;0,0.15,0)</f>
        <v>0.15</v>
      </c>
      <c r="K63" s="1">
        <f>ROUND(F63+(F63*TabelaPrincipal[[#This Row],[PERCENTUAL MÍNIMO]]), 2)</f>
        <v>0.12</v>
      </c>
      <c r="L63" s="24">
        <v>0.14000000000000001</v>
      </c>
      <c r="M63" s="25"/>
      <c r="N63" s="23">
        <f>TabelaPrincipal[[#This Row],[LANCE ATUAL]]*TabelaPrincipal[[#This Row],[QTD]]</f>
        <v>6300.0000000000009</v>
      </c>
    </row>
    <row r="64" spans="1:14" ht="15" customHeight="1" x14ac:dyDescent="0.25">
      <c r="A64" s="20">
        <v>66</v>
      </c>
      <c r="B64" s="21" t="str">
        <f>VLOOKUP(TabelaPrincipal[[#This Row],[ITEM]],TabelaModelo,2,FALSE)</f>
        <v>ENALAPRIL MALEATO 20 MG</v>
      </c>
      <c r="C64" s="22" t="s">
        <v>163</v>
      </c>
      <c r="D64" s="22">
        <f>VLOOKUP(TabelaPrincipal[[#This Row],[ITEM]],TabelaModelo,3,FALSE)</f>
        <v>45000</v>
      </c>
      <c r="E64" s="22" t="s">
        <v>172</v>
      </c>
      <c r="F64" s="23">
        <v>0.13</v>
      </c>
      <c r="G6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4" s="1">
        <f>ROUND(F64+(F64*TabelaPrincipal[[#This Row],[PERCENTUAL DE ENTRADA]]), 2)</f>
        <v>0.18</v>
      </c>
      <c r="I64" s="2">
        <f t="shared" si="0"/>
        <v>8100</v>
      </c>
      <c r="J64" s="5">
        <f>IF(TabelaPrincipal[[#This Row],[PERCENTUAL DE ENTRADA]]&gt;0,0.15,0)</f>
        <v>0.15</v>
      </c>
      <c r="K64" s="1">
        <f>ROUND(F64+(F64*TabelaPrincipal[[#This Row],[PERCENTUAL MÍNIMO]]), 2)</f>
        <v>0.15</v>
      </c>
      <c r="L64" s="24">
        <v>0.18</v>
      </c>
      <c r="M64" s="25"/>
      <c r="N64" s="23">
        <f>TabelaPrincipal[[#This Row],[LANCE ATUAL]]*TabelaPrincipal[[#This Row],[QTD]]</f>
        <v>8100</v>
      </c>
    </row>
    <row r="65" spans="1:14" ht="15" customHeight="1" x14ac:dyDescent="0.25">
      <c r="A65" s="20">
        <v>67</v>
      </c>
      <c r="B65" s="21" t="str">
        <f>VLOOKUP(TabelaPrincipal[[#This Row],[ITEM]],TabelaModelo,2,FALSE)</f>
        <v>ENALAPRIL MALEATO 5 MG COMPRIMIDO</v>
      </c>
      <c r="C65" s="22" t="s">
        <v>163</v>
      </c>
      <c r="D65" s="22">
        <f>VLOOKUP(TabelaPrincipal[[#This Row],[ITEM]],TabelaModelo,3,FALSE)</f>
        <v>4000</v>
      </c>
      <c r="E65" s="22" t="s">
        <v>174</v>
      </c>
      <c r="F65" s="23">
        <v>0.09</v>
      </c>
      <c r="G65" s="5">
        <f>IF(_xlfn.ISFORMULA(TabelaPrincipal[[#This Row],[CUSTO + PERCENTUAL DE ENTRADA]]),0.4,(TabelaPrincipal[[#This Row],[CUSTO + PERCENTUAL DE ENTRADA]]-TabelaPrincipal[[#This Row],[VALOR DE CUSTO]])/TabelaPrincipal[[#This Row],[VALOR DE CUSTO]])</f>
        <v>2.0000000000000004</v>
      </c>
      <c r="H65" s="1">
        <v>0.27</v>
      </c>
      <c r="I65" s="2">
        <f t="shared" si="0"/>
        <v>1080</v>
      </c>
      <c r="J65" s="5">
        <f>IF(TabelaPrincipal[[#This Row],[PERCENTUAL DE ENTRADA]]&gt;0,0.15,0)</f>
        <v>0.15</v>
      </c>
      <c r="K65" s="1">
        <f>ROUND(F65+(F65*TabelaPrincipal[[#This Row],[PERCENTUAL MÍNIMO]]), 2)</f>
        <v>0.1</v>
      </c>
      <c r="L65" s="24">
        <v>0.27</v>
      </c>
      <c r="M65" s="25"/>
      <c r="N65" s="23">
        <f>TabelaPrincipal[[#This Row],[LANCE ATUAL]]*TabelaPrincipal[[#This Row],[QTD]]</f>
        <v>1080</v>
      </c>
    </row>
    <row r="66" spans="1:14" ht="15" customHeight="1" x14ac:dyDescent="0.25">
      <c r="A66" s="20">
        <v>68</v>
      </c>
      <c r="B66" s="21" t="str">
        <f>VLOOKUP(TabelaPrincipal[[#This Row],[ITEM]],TabelaModelo,2,FALSE)</f>
        <v>ESPIRONOCTONA 25 MG</v>
      </c>
      <c r="C66" s="22" t="s">
        <v>163</v>
      </c>
      <c r="D66" s="22">
        <f>VLOOKUP(TabelaPrincipal[[#This Row],[ITEM]],TabelaModelo,3,FALSE)</f>
        <v>50000</v>
      </c>
      <c r="E66" s="22" t="s">
        <v>164</v>
      </c>
      <c r="F66" s="23">
        <v>0.37</v>
      </c>
      <c r="G6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6" s="1">
        <f>ROUND(F66+(F66*TabelaPrincipal[[#This Row],[PERCENTUAL DE ENTRADA]]), 2)</f>
        <v>0.52</v>
      </c>
      <c r="I66" s="2">
        <f t="shared" ref="I66:I127" si="1">D66*H66</f>
        <v>26000</v>
      </c>
      <c r="J66" s="5">
        <f>IF(TabelaPrincipal[[#This Row],[PERCENTUAL DE ENTRADA]]&gt;0,0.15,0)</f>
        <v>0.15</v>
      </c>
      <c r="K66" s="1">
        <f>ROUND(F66+(F66*TabelaPrincipal[[#This Row],[PERCENTUAL MÍNIMO]]), 2)</f>
        <v>0.43</v>
      </c>
      <c r="L66" s="24">
        <v>0.44</v>
      </c>
      <c r="M66" s="25"/>
      <c r="N66" s="23">
        <f>TabelaPrincipal[[#This Row],[LANCE ATUAL]]*TabelaPrincipal[[#This Row],[QTD]]</f>
        <v>22000</v>
      </c>
    </row>
    <row r="67" spans="1:14" ht="15" customHeight="1" x14ac:dyDescent="0.25">
      <c r="A67" s="20">
        <v>69</v>
      </c>
      <c r="B67" s="21" t="str">
        <f>VLOOKUP(TabelaPrincipal[[#This Row],[ITEM]],TabelaModelo,2,FALSE)</f>
        <v>ESTRIOL 1MG/G CREME VAGINAL</v>
      </c>
      <c r="C67" s="22" t="s">
        <v>185</v>
      </c>
      <c r="D67" s="22">
        <f>VLOOKUP(TabelaPrincipal[[#This Row],[ITEM]],TabelaModelo,3,FALSE)</f>
        <v>50</v>
      </c>
      <c r="E67" s="22" t="s">
        <v>165</v>
      </c>
      <c r="F67" s="23">
        <v>31.3</v>
      </c>
      <c r="G6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7" s="1">
        <f>ROUND(F67+(F67*TabelaPrincipal[[#This Row],[PERCENTUAL DE ENTRADA]]), 2)</f>
        <v>43.82</v>
      </c>
      <c r="I67" s="2">
        <f t="shared" si="1"/>
        <v>2191</v>
      </c>
      <c r="J67" s="5">
        <f>IF(TabelaPrincipal[[#This Row],[PERCENTUAL DE ENTRADA]]&gt;0,0.15,0)</f>
        <v>0.15</v>
      </c>
      <c r="K67" s="1">
        <f>ROUND(F67+(F67*TabelaPrincipal[[#This Row],[PERCENTUAL MÍNIMO]]), 2)</f>
        <v>36</v>
      </c>
      <c r="L67" s="24">
        <v>36</v>
      </c>
      <c r="M67" s="25"/>
      <c r="N67" s="23">
        <f>TabelaPrincipal[[#This Row],[LANCE ATUAL]]*TabelaPrincipal[[#This Row],[QTD]]</f>
        <v>1800</v>
      </c>
    </row>
    <row r="68" spans="1:14" ht="15" customHeight="1" x14ac:dyDescent="0.25">
      <c r="A68" s="20">
        <v>70</v>
      </c>
      <c r="B68" s="21" t="str">
        <f>VLOOKUP(TabelaPrincipal[[#This Row],[ITEM]],TabelaModelo,2,FALSE)</f>
        <v>FENITOINA SODICA 100 MG COMPRIMIDO</v>
      </c>
      <c r="C68" s="22" t="s">
        <v>163</v>
      </c>
      <c r="D68" s="22">
        <f>VLOOKUP(TabelaPrincipal[[#This Row],[ITEM]],TabelaModelo,3,FALSE)</f>
        <v>20000</v>
      </c>
      <c r="E68" s="22" t="s">
        <v>186</v>
      </c>
      <c r="F68" s="23">
        <v>0.17</v>
      </c>
      <c r="G6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8" s="1">
        <f>ROUND(F68+(F68*TabelaPrincipal[[#This Row],[PERCENTUAL DE ENTRADA]]), 2)</f>
        <v>0.24</v>
      </c>
      <c r="I68" s="2">
        <f t="shared" si="1"/>
        <v>4800</v>
      </c>
      <c r="J68" s="5">
        <f>IF(TabelaPrincipal[[#This Row],[PERCENTUAL DE ENTRADA]]&gt;0,0.15,0)</f>
        <v>0.15</v>
      </c>
      <c r="K68" s="1">
        <f>ROUND(F68+(F68*TabelaPrincipal[[#This Row],[PERCENTUAL MÍNIMO]]), 2)</f>
        <v>0.2</v>
      </c>
      <c r="L68" s="24">
        <v>0.24</v>
      </c>
      <c r="M68" s="25"/>
      <c r="N68" s="23">
        <f>TabelaPrincipal[[#This Row],[LANCE ATUAL]]*TabelaPrincipal[[#This Row],[QTD]]</f>
        <v>4800</v>
      </c>
    </row>
    <row r="69" spans="1:14" ht="15" customHeight="1" x14ac:dyDescent="0.25">
      <c r="A69" s="20">
        <v>71</v>
      </c>
      <c r="B69" s="21" t="str">
        <f>VLOOKUP(TabelaPrincipal[[#This Row],[ITEM]],TabelaModelo,2,FALSE)</f>
        <v>FENOBARBITAL 100MG</v>
      </c>
      <c r="C69" s="22" t="s">
        <v>163</v>
      </c>
      <c r="D69" s="22">
        <f>VLOOKUP(TabelaPrincipal[[#This Row],[ITEM]],TabelaModelo,3,FALSE)</f>
        <v>20000</v>
      </c>
      <c r="E69" s="22" t="s">
        <v>186</v>
      </c>
      <c r="F69" s="23">
        <v>0.21</v>
      </c>
      <c r="G69" s="5">
        <v>0</v>
      </c>
      <c r="H69" s="1">
        <f>ROUND(F69+(F69*TabelaPrincipal[[#This Row],[PERCENTUAL DE ENTRADA]]), 2)</f>
        <v>0.21</v>
      </c>
      <c r="I69" s="2">
        <f t="shared" si="1"/>
        <v>4200</v>
      </c>
      <c r="J69" s="5">
        <f>IF(TabelaPrincipal[[#This Row],[PERCENTUAL DE ENTRADA]]&gt;0,0.15,0)</f>
        <v>0</v>
      </c>
      <c r="K69" s="1">
        <f>ROUND(F69+(F69*TabelaPrincipal[[#This Row],[PERCENTUAL MÍNIMO]]), 2)</f>
        <v>0.21</v>
      </c>
      <c r="L69" s="24">
        <f>IF(TabelaPrincipal[[#This Row],[PERCENTUAL DE ENTRADA]]=0,TabelaPrincipal[[#This Row],[VALOR MÍNIMO]],0)</f>
        <v>0.21</v>
      </c>
      <c r="M69" s="25"/>
      <c r="N69" s="23">
        <f>TabelaPrincipal[[#This Row],[LANCE ATUAL]]*TabelaPrincipal[[#This Row],[QTD]]</f>
        <v>4200</v>
      </c>
    </row>
    <row r="70" spans="1:14" ht="15" customHeight="1" x14ac:dyDescent="0.25">
      <c r="A70" s="20">
        <v>72</v>
      </c>
      <c r="B70" s="21" t="str">
        <f>VLOOKUP(TabelaPrincipal[[#This Row],[ITEM]],TabelaModelo,2,FALSE)</f>
        <v>FENOBARBITAL SODICO 40 MG/ML SOLUCAO ORAL</v>
      </c>
      <c r="C70" s="22" t="s">
        <v>166</v>
      </c>
      <c r="D70" s="22">
        <f>VLOOKUP(TabelaPrincipal[[#This Row],[ITEM]],TabelaModelo,3,FALSE)</f>
        <v>60</v>
      </c>
      <c r="E70" s="22" t="s">
        <v>182</v>
      </c>
      <c r="F70" s="23">
        <v>10.85</v>
      </c>
      <c r="G7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0" s="1">
        <f>ROUND(F70+(F70*TabelaPrincipal[[#This Row],[PERCENTUAL DE ENTRADA]]), 2)</f>
        <v>15.19</v>
      </c>
      <c r="I70" s="2">
        <f t="shared" si="1"/>
        <v>911.4</v>
      </c>
      <c r="J70" s="5">
        <f>IF(TabelaPrincipal[[#This Row],[PERCENTUAL DE ENTRADA]]&gt;0,0.15,0)</f>
        <v>0.15</v>
      </c>
      <c r="K70" s="1">
        <f>ROUND(F70+(F70*TabelaPrincipal[[#This Row],[PERCENTUAL MÍNIMO]]), 2)</f>
        <v>12.48</v>
      </c>
      <c r="L70" s="24">
        <v>15.19</v>
      </c>
      <c r="M70" s="25"/>
      <c r="N70" s="23">
        <f>TabelaPrincipal[[#This Row],[LANCE ATUAL]]*TabelaPrincipal[[#This Row],[QTD]]</f>
        <v>911.4</v>
      </c>
    </row>
    <row r="71" spans="1:14" ht="15" customHeight="1" x14ac:dyDescent="0.25">
      <c r="A71" s="20">
        <v>73</v>
      </c>
      <c r="B71" s="21" t="str">
        <f>VLOOKUP(TabelaPrincipal[[#This Row],[ITEM]],TabelaModelo,2,FALSE)</f>
        <v>FLUCONAZOL 150 MG - CAPSULA</v>
      </c>
      <c r="C71" s="22" t="s">
        <v>187</v>
      </c>
      <c r="D71" s="22">
        <f>VLOOKUP(TabelaPrincipal[[#This Row],[ITEM]],TabelaModelo,3,FALSE)</f>
        <v>4000</v>
      </c>
      <c r="E71" s="22" t="s">
        <v>172</v>
      </c>
      <c r="F71" s="23">
        <v>0.8</v>
      </c>
      <c r="G7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1" s="1">
        <f>ROUND(F71+(F71*TabelaPrincipal[[#This Row],[PERCENTUAL DE ENTRADA]]), 2)</f>
        <v>1.1200000000000001</v>
      </c>
      <c r="I71" s="2">
        <f t="shared" si="1"/>
        <v>4480</v>
      </c>
      <c r="J71" s="5">
        <f>IF(TabelaPrincipal[[#This Row],[PERCENTUAL DE ENTRADA]]&gt;0,0.15,0)</f>
        <v>0.15</v>
      </c>
      <c r="K71" s="1">
        <f>ROUND(F71+(F71*TabelaPrincipal[[#This Row],[PERCENTUAL MÍNIMO]]), 2)</f>
        <v>0.92</v>
      </c>
      <c r="L71" s="24">
        <v>0.92</v>
      </c>
      <c r="M71" s="25"/>
      <c r="N71" s="23">
        <f>TabelaPrincipal[[#This Row],[LANCE ATUAL]]*TabelaPrincipal[[#This Row],[QTD]]</f>
        <v>3680</v>
      </c>
    </row>
    <row r="72" spans="1:14" ht="15" customHeight="1" x14ac:dyDescent="0.25">
      <c r="A72" s="20">
        <v>74</v>
      </c>
      <c r="B72" s="21" t="str">
        <f>VLOOKUP(TabelaPrincipal[[#This Row],[ITEM]],TabelaModelo,2,FALSE)</f>
        <v>FLUOXETINA CLORIDRATO 20 MG CAPSULA</v>
      </c>
      <c r="C72" s="22" t="s">
        <v>187</v>
      </c>
      <c r="D72" s="22">
        <f>VLOOKUP(TabelaPrincipal[[#This Row],[ITEM]],TabelaModelo,3,FALSE)</f>
        <v>100000</v>
      </c>
      <c r="E72" s="22" t="s">
        <v>188</v>
      </c>
      <c r="F72" s="23">
        <v>0.13</v>
      </c>
      <c r="G72" s="5">
        <f>IF(_xlfn.ISFORMULA(TabelaPrincipal[[#This Row],[CUSTO + PERCENTUAL DE ENTRADA]]),0.4,(TabelaPrincipal[[#This Row],[CUSTO + PERCENTUAL DE ENTRADA]]-TabelaPrincipal[[#This Row],[VALOR DE CUSTO]])/TabelaPrincipal[[#This Row],[VALOR DE CUSTO]])</f>
        <v>0.84615384615384603</v>
      </c>
      <c r="H72" s="1">
        <v>0.24</v>
      </c>
      <c r="I72" s="2">
        <f t="shared" si="1"/>
        <v>24000</v>
      </c>
      <c r="J72" s="5">
        <f>IF(TabelaPrincipal[[#This Row],[PERCENTUAL DE ENTRADA]]&gt;0,0.15,0)</f>
        <v>0.15</v>
      </c>
      <c r="K72" s="1">
        <f>ROUND(F72+(F72*TabelaPrincipal[[#This Row],[PERCENTUAL MÍNIMO]]), 2)</f>
        <v>0.15</v>
      </c>
      <c r="L72" s="24">
        <v>0.16</v>
      </c>
      <c r="M72" s="25"/>
      <c r="N72" s="23">
        <f>TabelaPrincipal[[#This Row],[LANCE ATUAL]]*TabelaPrincipal[[#This Row],[QTD]]</f>
        <v>16000</v>
      </c>
    </row>
    <row r="73" spans="1:14" ht="15" customHeight="1" x14ac:dyDescent="0.25">
      <c r="A73" s="20">
        <v>75</v>
      </c>
      <c r="B73" s="21" t="str">
        <f>VLOOKUP(TabelaPrincipal[[#This Row],[ITEM]],TabelaModelo,2,FALSE)</f>
        <v>FOSFATO DE SODIO DE PREDNISOLONA 3MG/ML XAROPE</v>
      </c>
      <c r="C73" s="22" t="s">
        <v>169</v>
      </c>
      <c r="D73" s="22">
        <f>VLOOKUP(TabelaPrincipal[[#This Row],[ITEM]],TabelaModelo,3,FALSE)</f>
        <v>1000</v>
      </c>
      <c r="E73" s="22" t="s">
        <v>189</v>
      </c>
      <c r="F73" s="23">
        <v>17.75</v>
      </c>
      <c r="G7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3" s="1">
        <f>ROUND(F73+(F73*TabelaPrincipal[[#This Row],[PERCENTUAL DE ENTRADA]]), 2)</f>
        <v>24.85</v>
      </c>
      <c r="I73" s="2">
        <f t="shared" si="1"/>
        <v>24850</v>
      </c>
      <c r="J73" s="5">
        <f>IF(TabelaPrincipal[[#This Row],[PERCENTUAL DE ENTRADA]]&gt;0,0.15,0)</f>
        <v>0.15</v>
      </c>
      <c r="K73" s="1">
        <f>ROUND(F73+(F73*TabelaPrincipal[[#This Row],[PERCENTUAL MÍNIMO]]), 2)</f>
        <v>20.41</v>
      </c>
      <c r="L73" s="24">
        <v>20.41</v>
      </c>
      <c r="M73" s="25"/>
      <c r="N73" s="23">
        <f>TabelaPrincipal[[#This Row],[LANCE ATUAL]]*TabelaPrincipal[[#This Row],[QTD]]</f>
        <v>20410</v>
      </c>
    </row>
    <row r="74" spans="1:14" ht="15" customHeight="1" x14ac:dyDescent="0.25">
      <c r="A74" s="20">
        <v>77</v>
      </c>
      <c r="B74" s="21" t="str">
        <f>VLOOKUP(TabelaPrincipal[[#This Row],[ITEM]],TabelaModelo,2,FALSE)</f>
        <v>FUROSEMIDA 40 MG COMPRIMIDO</v>
      </c>
      <c r="C74" s="22" t="s">
        <v>163</v>
      </c>
      <c r="D74" s="22">
        <f>VLOOKUP(TabelaPrincipal[[#This Row],[ITEM]],TabelaModelo,3,FALSE)</f>
        <v>20000</v>
      </c>
      <c r="E74" s="22" t="s">
        <v>164</v>
      </c>
      <c r="F74" s="23">
        <v>0.12</v>
      </c>
      <c r="G7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4" s="1">
        <f>ROUND(F74+(F74*TabelaPrincipal[[#This Row],[PERCENTUAL DE ENTRADA]]), 2)</f>
        <v>0.17</v>
      </c>
      <c r="I74" s="2">
        <f t="shared" si="1"/>
        <v>3400.0000000000005</v>
      </c>
      <c r="J74" s="5">
        <f>IF(TabelaPrincipal[[#This Row],[PERCENTUAL DE ENTRADA]]&gt;0,0.15,0)</f>
        <v>0.15</v>
      </c>
      <c r="K74" s="1">
        <f>ROUND(F74+(F74*TabelaPrincipal[[#This Row],[PERCENTUAL MÍNIMO]]), 2)</f>
        <v>0.14000000000000001</v>
      </c>
      <c r="L74" s="24">
        <v>0.17</v>
      </c>
      <c r="M74" s="25"/>
      <c r="N74" s="23">
        <f>TabelaPrincipal[[#This Row],[LANCE ATUAL]]*TabelaPrincipal[[#This Row],[QTD]]</f>
        <v>3400.0000000000005</v>
      </c>
    </row>
    <row r="75" spans="1:14" ht="15" customHeight="1" x14ac:dyDescent="0.25">
      <c r="A75" s="20">
        <v>78</v>
      </c>
      <c r="B75" s="21" t="str">
        <f>VLOOKUP(TabelaPrincipal[[#This Row],[ITEM]],TabelaModelo,2,FALSE)</f>
        <v>GLIBENCLAMIDA 5 MG COMPRIMIDO</v>
      </c>
      <c r="C75" s="22" t="s">
        <v>163</v>
      </c>
      <c r="D75" s="22">
        <f>VLOOKUP(TabelaPrincipal[[#This Row],[ITEM]],TabelaModelo,3,FALSE)</f>
        <v>25000</v>
      </c>
      <c r="E75" s="22" t="s">
        <v>188</v>
      </c>
      <c r="F75" s="23">
        <v>0.05</v>
      </c>
      <c r="G75" s="5">
        <f>IF(_xlfn.ISFORMULA(TabelaPrincipal[[#This Row],[CUSTO + PERCENTUAL DE ENTRADA]]),0.4,(TabelaPrincipal[[#This Row],[CUSTO + PERCENTUAL DE ENTRADA]]-TabelaPrincipal[[#This Row],[VALOR DE CUSTO]])/TabelaPrincipal[[#This Row],[VALOR DE CUSTO]])</f>
        <v>3.1999999999999993</v>
      </c>
      <c r="H75" s="1">
        <v>0.21</v>
      </c>
      <c r="I75" s="2">
        <f t="shared" si="1"/>
        <v>5250</v>
      </c>
      <c r="J75" s="5">
        <f>IF(TabelaPrincipal[[#This Row],[PERCENTUAL DE ENTRADA]]&gt;0,0.15,0)</f>
        <v>0.15</v>
      </c>
      <c r="K75" s="1">
        <f>ROUND(F75+(F75*TabelaPrincipal[[#This Row],[PERCENTUAL MÍNIMO]]), 2)</f>
        <v>0.06</v>
      </c>
      <c r="L75" s="24">
        <v>7.0000000000000007E-2</v>
      </c>
      <c r="M75" s="25"/>
      <c r="N75" s="23">
        <f>TabelaPrincipal[[#This Row],[LANCE ATUAL]]*TabelaPrincipal[[#This Row],[QTD]]</f>
        <v>1750.0000000000002</v>
      </c>
    </row>
    <row r="76" spans="1:14" ht="15" customHeight="1" x14ac:dyDescent="0.25">
      <c r="A76" s="20">
        <v>79</v>
      </c>
      <c r="B76" s="21" t="str">
        <f>VLOOKUP(TabelaPrincipal[[#This Row],[ITEM]],TabelaModelo,2,FALSE)</f>
        <v>GLICLAZIDA 30 MG</v>
      </c>
      <c r="C76" s="22" t="s">
        <v>163</v>
      </c>
      <c r="D76" s="22">
        <f>VLOOKUP(TabelaPrincipal[[#This Row],[ITEM]],TabelaModelo,3,FALSE)</f>
        <v>3000</v>
      </c>
      <c r="E76" s="22" t="s">
        <v>173</v>
      </c>
      <c r="F76" s="23">
        <v>0.26</v>
      </c>
      <c r="G76" s="5">
        <f>IF(_xlfn.ISFORMULA(TabelaPrincipal[[#This Row],[CUSTO + PERCENTUAL DE ENTRADA]]),0.4,(TabelaPrincipal[[#This Row],[CUSTO + PERCENTUAL DE ENTRADA]]-TabelaPrincipal[[#This Row],[VALOR DE CUSTO]])/TabelaPrincipal[[#This Row],[VALOR DE CUSTO]])</f>
        <v>1.1153846153846154</v>
      </c>
      <c r="H76" s="1">
        <v>0.55000000000000004</v>
      </c>
      <c r="I76" s="2">
        <f t="shared" si="1"/>
        <v>1650.0000000000002</v>
      </c>
      <c r="J76" s="5">
        <f>IF(TabelaPrincipal[[#This Row],[PERCENTUAL DE ENTRADA]]&gt;0,0.15,0)</f>
        <v>0.15</v>
      </c>
      <c r="K76" s="1">
        <f>ROUND(F76+(F76*TabelaPrincipal[[#This Row],[PERCENTUAL MÍNIMO]]), 2)</f>
        <v>0.3</v>
      </c>
      <c r="L76" s="24">
        <v>0.55000000000000004</v>
      </c>
      <c r="M76" s="25"/>
      <c r="N76" s="23">
        <f>TabelaPrincipal[[#This Row],[LANCE ATUAL]]*TabelaPrincipal[[#This Row],[QTD]]</f>
        <v>1650.0000000000002</v>
      </c>
    </row>
    <row r="77" spans="1:14" ht="15" customHeight="1" x14ac:dyDescent="0.25">
      <c r="A77" s="20">
        <v>80</v>
      </c>
      <c r="B77" s="21" t="str">
        <f>VLOOKUP(TabelaPrincipal[[#This Row],[ITEM]],TabelaModelo,2,FALSE)</f>
        <v>GLICLAZIDA 60MG COMPRIMIDO DE LIBERACAO PROLONGADA</v>
      </c>
      <c r="C77" s="22" t="s">
        <v>163</v>
      </c>
      <c r="D77" s="22">
        <f>VLOOKUP(TabelaPrincipal[[#This Row],[ITEM]],TabelaModelo,3,FALSE)</f>
        <v>40000</v>
      </c>
      <c r="E77" s="22" t="s">
        <v>173</v>
      </c>
      <c r="F77" s="23">
        <v>0.7</v>
      </c>
      <c r="G77" s="5">
        <f>IF(_xlfn.ISFORMULA(TabelaPrincipal[[#This Row],[CUSTO + PERCENTUAL DE ENTRADA]]),0.4,(TabelaPrincipal[[#This Row],[CUSTO + PERCENTUAL DE ENTRADA]]-TabelaPrincipal[[#This Row],[VALOR DE CUSTO]])/TabelaPrincipal[[#This Row],[VALOR DE CUSTO]])</f>
        <v>0.78571428571428581</v>
      </c>
      <c r="H77" s="1">
        <v>1.25</v>
      </c>
      <c r="I77" s="2">
        <f t="shared" si="1"/>
        <v>50000</v>
      </c>
      <c r="J77" s="5">
        <f>IF(TabelaPrincipal[[#This Row],[PERCENTUAL DE ENTRADA]]&gt;0,0.15,0)</f>
        <v>0.15</v>
      </c>
      <c r="K77" s="1">
        <f>ROUND(F77+(F77*TabelaPrincipal[[#This Row],[PERCENTUAL MÍNIMO]]), 2)</f>
        <v>0.81</v>
      </c>
      <c r="L77" s="24">
        <v>0.81</v>
      </c>
      <c r="M77" s="25"/>
      <c r="N77" s="23">
        <f>TabelaPrincipal[[#This Row],[LANCE ATUAL]]*TabelaPrincipal[[#This Row],[QTD]]</f>
        <v>32400.000000000004</v>
      </c>
    </row>
    <row r="78" spans="1:14" ht="15" customHeight="1" x14ac:dyDescent="0.25">
      <c r="A78" s="20">
        <v>81</v>
      </c>
      <c r="B78" s="21" t="str">
        <f>VLOOKUP(TabelaPrincipal[[#This Row],[ITEM]],TabelaModelo,2,FALSE)</f>
        <v>GLICOSIMETROS (MEDIDOR DE GLICOSE)</v>
      </c>
      <c r="C78" s="22" t="s">
        <v>166</v>
      </c>
      <c r="D78" s="22">
        <f>VLOOKUP(TabelaPrincipal[[#This Row],[ITEM]],TabelaModelo,3,FALSE)</f>
        <v>7</v>
      </c>
      <c r="E78" s="22" t="s">
        <v>190</v>
      </c>
      <c r="F78" s="23">
        <v>52.44</v>
      </c>
      <c r="G78" s="5">
        <v>0</v>
      </c>
      <c r="H78" s="1">
        <f>ROUND(F78+(F78*TabelaPrincipal[[#This Row],[PERCENTUAL DE ENTRADA]]), 2)</f>
        <v>52.44</v>
      </c>
      <c r="I78" s="2">
        <f t="shared" si="1"/>
        <v>367.08</v>
      </c>
      <c r="J78" s="5">
        <f>IF(TabelaPrincipal[[#This Row],[PERCENTUAL DE ENTRADA]]&gt;0,0.15,0)</f>
        <v>0</v>
      </c>
      <c r="K78" s="1">
        <f>ROUND(F78+(F78*TabelaPrincipal[[#This Row],[PERCENTUAL MÍNIMO]]), 2)</f>
        <v>52.44</v>
      </c>
      <c r="L78" s="24">
        <f>IF(TabelaPrincipal[[#This Row],[PERCENTUAL DE ENTRADA]]=0,TabelaPrincipal[[#This Row],[VALOR MÍNIMO]],0)</f>
        <v>52.44</v>
      </c>
      <c r="M78" s="25"/>
      <c r="N78" s="23">
        <f>TabelaPrincipal[[#This Row],[LANCE ATUAL]]*TabelaPrincipal[[#This Row],[QTD]]</f>
        <v>367.08</v>
      </c>
    </row>
    <row r="79" spans="1:14" ht="15" customHeight="1" x14ac:dyDescent="0.25">
      <c r="A79" s="20">
        <v>83</v>
      </c>
      <c r="B79" s="21" t="str">
        <f>VLOOKUP(TabelaPrincipal[[#This Row],[ITEM]],TabelaModelo,2,FALSE)</f>
        <v>HALOPERIDOL 1MG</v>
      </c>
      <c r="C79" s="22" t="s">
        <v>163</v>
      </c>
      <c r="D79" s="22">
        <f>VLOOKUP(TabelaPrincipal[[#This Row],[ITEM]],TabelaModelo,3,FALSE)</f>
        <v>2000</v>
      </c>
      <c r="E79" s="22" t="s">
        <v>167</v>
      </c>
      <c r="F79" s="23">
        <v>0.36</v>
      </c>
      <c r="G7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9" s="1">
        <f>ROUND(F79+(F79*TabelaPrincipal[[#This Row],[PERCENTUAL DE ENTRADA]]), 2)</f>
        <v>0.5</v>
      </c>
      <c r="I79" s="2">
        <f t="shared" si="1"/>
        <v>1000</v>
      </c>
      <c r="J79" s="5">
        <f>IF(TabelaPrincipal[[#This Row],[PERCENTUAL DE ENTRADA]]&gt;0,0.15,0)</f>
        <v>0.15</v>
      </c>
      <c r="K79" s="1">
        <f>ROUND(F79+(F79*TabelaPrincipal[[#This Row],[PERCENTUAL MÍNIMO]]), 2)</f>
        <v>0.41</v>
      </c>
      <c r="L79" s="24">
        <v>0.5</v>
      </c>
      <c r="M79" s="25"/>
      <c r="N79" s="23">
        <f>TabelaPrincipal[[#This Row],[LANCE ATUAL]]*TabelaPrincipal[[#This Row],[QTD]]</f>
        <v>1000</v>
      </c>
    </row>
    <row r="80" spans="1:14" ht="15" customHeight="1" x14ac:dyDescent="0.25">
      <c r="A80" s="20">
        <v>85</v>
      </c>
      <c r="B80" s="21" t="str">
        <f>VLOOKUP(TabelaPrincipal[[#This Row],[ITEM]],TabelaModelo,2,FALSE)</f>
        <v>HALOPERIDOL 5 MG COMPRIMIDO</v>
      </c>
      <c r="C80" s="22" t="s">
        <v>163</v>
      </c>
      <c r="D80" s="22">
        <f>VLOOKUP(TabelaPrincipal[[#This Row],[ITEM]],TabelaModelo,3,FALSE)</f>
        <v>10000</v>
      </c>
      <c r="E80" s="22" t="s">
        <v>167</v>
      </c>
      <c r="F80" s="23">
        <v>0.69</v>
      </c>
      <c r="G8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0" s="1">
        <f>ROUND(F80+(F80*TabelaPrincipal[[#This Row],[PERCENTUAL DE ENTRADA]]), 2)</f>
        <v>0.97</v>
      </c>
      <c r="I80" s="2">
        <f t="shared" si="1"/>
        <v>9700</v>
      </c>
      <c r="J80" s="5">
        <f>IF(TabelaPrincipal[[#This Row],[PERCENTUAL DE ENTRADA]]&gt;0,0.15,0)</f>
        <v>0.15</v>
      </c>
      <c r="K80" s="1">
        <f>ROUND(F80+(F80*TabelaPrincipal[[#This Row],[PERCENTUAL MÍNIMO]]), 2)</f>
        <v>0.79</v>
      </c>
      <c r="L80" s="24">
        <v>0.79</v>
      </c>
      <c r="M80" s="25"/>
      <c r="N80" s="23">
        <f>TabelaPrincipal[[#This Row],[LANCE ATUAL]]*TabelaPrincipal[[#This Row],[QTD]]</f>
        <v>7900</v>
      </c>
    </row>
    <row r="81" spans="1:14" ht="15" customHeight="1" x14ac:dyDescent="0.25">
      <c r="A81" s="20">
        <v>86</v>
      </c>
      <c r="B81" s="21" t="str">
        <f>VLOOKUP(TabelaPrincipal[[#This Row],[ITEM]],TabelaModelo,2,FALSE)</f>
        <v>HIDROCLOROTIAZIDA 25 MG COMPRIMIDO</v>
      </c>
      <c r="C81" s="22" t="s">
        <v>163</v>
      </c>
      <c r="D81" s="22">
        <f>VLOOKUP(TabelaPrincipal[[#This Row],[ITEM]],TabelaModelo,3,FALSE)</f>
        <v>125000</v>
      </c>
      <c r="E81" s="22" t="s">
        <v>188</v>
      </c>
      <c r="F81" s="23">
        <v>0.04</v>
      </c>
      <c r="G8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1" s="1">
        <f>ROUND(F81+(F81*TabelaPrincipal[[#This Row],[PERCENTUAL DE ENTRADA]]), 2)</f>
        <v>0.06</v>
      </c>
      <c r="I81" s="2">
        <f t="shared" si="1"/>
        <v>7500</v>
      </c>
      <c r="J81" s="5">
        <f>IF(TabelaPrincipal[[#This Row],[PERCENTUAL DE ENTRADA]]&gt;0,0.15,0)</f>
        <v>0.15</v>
      </c>
      <c r="K81" s="1">
        <f>ROUND(F81+(F81*TabelaPrincipal[[#This Row],[PERCENTUAL MÍNIMO]]), 2)</f>
        <v>0.05</v>
      </c>
      <c r="L81" s="24">
        <v>0.06</v>
      </c>
      <c r="M81" s="25"/>
      <c r="N81" s="23">
        <f>TabelaPrincipal[[#This Row],[LANCE ATUAL]]*TabelaPrincipal[[#This Row],[QTD]]</f>
        <v>7500</v>
      </c>
    </row>
    <row r="82" spans="1:14" ht="15" customHeight="1" x14ac:dyDescent="0.25">
      <c r="A82" s="20">
        <v>87</v>
      </c>
      <c r="B82" s="21" t="str">
        <f>VLOOKUP(TabelaPrincipal[[#This Row],[ITEM]],TabelaModelo,2,FALSE)</f>
        <v>HIDROCORTISONA ACETATO 10MG/G CREME DERMATOLOGICO</v>
      </c>
      <c r="C82" s="22" t="s">
        <v>185</v>
      </c>
      <c r="D82" s="22">
        <f>VLOOKUP(TabelaPrincipal[[#This Row],[ITEM]],TabelaModelo,3,FALSE)</f>
        <v>100</v>
      </c>
      <c r="E82" s="22" t="s">
        <v>186</v>
      </c>
      <c r="F82" s="23">
        <v>12.4</v>
      </c>
      <c r="G82" s="5">
        <f>IF(_xlfn.ISFORMULA(TabelaPrincipal[[#This Row],[CUSTO + PERCENTUAL DE ENTRADA]]),0.4,(TabelaPrincipal[[#This Row],[CUSTO + PERCENTUAL DE ENTRADA]]-TabelaPrincipal[[#This Row],[VALOR DE CUSTO]])/TabelaPrincipal[[#This Row],[VALOR DE CUSTO]])</f>
        <v>0.53951612903225799</v>
      </c>
      <c r="H82" s="1">
        <v>19.09</v>
      </c>
      <c r="I82" s="2">
        <f t="shared" si="1"/>
        <v>1909</v>
      </c>
      <c r="J82" s="5">
        <f>IF(TabelaPrincipal[[#This Row],[PERCENTUAL DE ENTRADA]]&gt;0,0.15,0)</f>
        <v>0.15</v>
      </c>
      <c r="K82" s="1">
        <f>ROUND(F82+(F82*TabelaPrincipal[[#This Row],[PERCENTUAL MÍNIMO]]), 2)</f>
        <v>14.26</v>
      </c>
      <c r="L82" s="24">
        <v>14.26</v>
      </c>
      <c r="M82" s="25"/>
      <c r="N82" s="23">
        <f>TabelaPrincipal[[#This Row],[LANCE ATUAL]]*TabelaPrincipal[[#This Row],[QTD]]</f>
        <v>1426</v>
      </c>
    </row>
    <row r="83" spans="1:14" ht="15" customHeight="1" x14ac:dyDescent="0.25">
      <c r="A83" s="20">
        <v>88</v>
      </c>
      <c r="B83" s="21" t="str">
        <f>VLOOKUP(TabelaPrincipal[[#This Row],[ITEM]],TabelaModelo,2,FALSE)</f>
        <v>IBUPROFENO 50MG/ML</v>
      </c>
      <c r="C83" s="22" t="s">
        <v>166</v>
      </c>
      <c r="D83" s="22">
        <f>VLOOKUP(TabelaPrincipal[[#This Row],[ITEM]],TabelaModelo,3,FALSE)</f>
        <v>400</v>
      </c>
      <c r="E83" s="22" t="s">
        <v>164</v>
      </c>
      <c r="F83" s="23">
        <v>3.6</v>
      </c>
      <c r="G83" s="5">
        <f>IF(_xlfn.ISFORMULA(TabelaPrincipal[[#This Row],[CUSTO + PERCENTUAL DE ENTRADA]]),0.4,(TabelaPrincipal[[#This Row],[CUSTO + PERCENTUAL DE ENTRADA]]-TabelaPrincipal[[#This Row],[VALOR DE CUSTO]])/TabelaPrincipal[[#This Row],[VALOR DE CUSTO]])</f>
        <v>2.1444444444444444</v>
      </c>
      <c r="H83" s="1">
        <v>11.32</v>
      </c>
      <c r="I83" s="2">
        <f t="shared" si="1"/>
        <v>4528</v>
      </c>
      <c r="J83" s="5">
        <f>IF(TabelaPrincipal[[#This Row],[PERCENTUAL DE ENTRADA]]&gt;0,0.15,0)</f>
        <v>0.15</v>
      </c>
      <c r="K83" s="1">
        <f>ROUND(F83+(F83*TabelaPrincipal[[#This Row],[PERCENTUAL MÍNIMO]]), 2)</f>
        <v>4.1399999999999997</v>
      </c>
      <c r="L83" s="24">
        <v>4.1399999999999997</v>
      </c>
      <c r="M83" s="25"/>
      <c r="N83" s="23">
        <f>TabelaPrincipal[[#This Row],[LANCE ATUAL]]*TabelaPrincipal[[#This Row],[QTD]]</f>
        <v>1655.9999999999998</v>
      </c>
    </row>
    <row r="84" spans="1:14" ht="15" customHeight="1" x14ac:dyDescent="0.25">
      <c r="A84" s="20">
        <v>89</v>
      </c>
      <c r="B84" s="21" t="str">
        <f>VLOOKUP(TabelaPrincipal[[#This Row],[ITEM]],TabelaModelo,2,FALSE)</f>
        <v>IBUPROFENO 600 MG COMPRIMIDO</v>
      </c>
      <c r="C84" s="22" t="s">
        <v>163</v>
      </c>
      <c r="D84" s="22">
        <f>VLOOKUP(TabelaPrincipal[[#This Row],[ITEM]],TabelaModelo,3,FALSE)</f>
        <v>70000</v>
      </c>
      <c r="E84" s="22" t="s">
        <v>172</v>
      </c>
      <c r="F84" s="23">
        <v>0.26</v>
      </c>
      <c r="G8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4" s="1">
        <f>ROUND(F84+(F84*TabelaPrincipal[[#This Row],[PERCENTUAL DE ENTRADA]]), 2)</f>
        <v>0.36</v>
      </c>
      <c r="I84" s="2">
        <f t="shared" si="1"/>
        <v>25200</v>
      </c>
      <c r="J84" s="5">
        <f>IF(TabelaPrincipal[[#This Row],[PERCENTUAL DE ENTRADA]]&gt;0,0.15,0)</f>
        <v>0.15</v>
      </c>
      <c r="K84" s="1">
        <f>ROUND(F84+(F84*TabelaPrincipal[[#This Row],[PERCENTUAL MÍNIMO]]), 2)</f>
        <v>0.3</v>
      </c>
      <c r="L84" s="24">
        <v>0.3</v>
      </c>
      <c r="M84" s="25"/>
      <c r="N84" s="23">
        <f>TabelaPrincipal[[#This Row],[LANCE ATUAL]]*TabelaPrincipal[[#This Row],[QTD]]</f>
        <v>21000</v>
      </c>
    </row>
    <row r="85" spans="1:14" ht="15" customHeight="1" x14ac:dyDescent="0.25">
      <c r="A85" s="20">
        <v>90</v>
      </c>
      <c r="B85" s="21" t="str">
        <f>VLOOKUP(TabelaPrincipal[[#This Row],[ITEM]],TabelaModelo,2,FALSE)</f>
        <v>ISOSSORBIDA MONONITRATO 20 MG COMPRIMIDO</v>
      </c>
      <c r="C85" s="22" t="s">
        <v>163</v>
      </c>
      <c r="D85" s="22">
        <f>VLOOKUP(TabelaPrincipal[[#This Row],[ITEM]],TabelaModelo,3,FALSE)</f>
        <v>13000</v>
      </c>
      <c r="E85" s="22" t="s">
        <v>165</v>
      </c>
      <c r="F85" s="23">
        <v>0.26</v>
      </c>
      <c r="G8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5" s="1">
        <f>ROUND(F85+(F85*TabelaPrincipal[[#This Row],[PERCENTUAL DE ENTRADA]]), 2)</f>
        <v>0.36</v>
      </c>
      <c r="I85" s="2">
        <f t="shared" si="1"/>
        <v>4680</v>
      </c>
      <c r="J85" s="5">
        <f>IF(TabelaPrincipal[[#This Row],[PERCENTUAL DE ENTRADA]]&gt;0,0.15,0)</f>
        <v>0.15</v>
      </c>
      <c r="K85" s="1">
        <f>ROUND(F85+(F85*TabelaPrincipal[[#This Row],[PERCENTUAL MÍNIMO]]), 2)</f>
        <v>0.3</v>
      </c>
      <c r="L85" s="24">
        <v>0.31</v>
      </c>
      <c r="M85" s="25"/>
      <c r="N85" s="23">
        <f>TabelaPrincipal[[#This Row],[LANCE ATUAL]]*TabelaPrincipal[[#This Row],[QTD]]</f>
        <v>4030</v>
      </c>
    </row>
    <row r="86" spans="1:14" ht="15" customHeight="1" x14ac:dyDescent="0.25">
      <c r="A86" s="20">
        <v>91</v>
      </c>
      <c r="B86" s="21" t="str">
        <f>VLOOKUP(TabelaPrincipal[[#This Row],[ITEM]],TabelaModelo,2,FALSE)</f>
        <v>ISOSSORBIDA MONONITRATO 40 MG</v>
      </c>
      <c r="C86" s="22" t="s">
        <v>163</v>
      </c>
      <c r="D86" s="22">
        <f>VLOOKUP(TabelaPrincipal[[#This Row],[ITEM]],TabelaModelo,3,FALSE)</f>
        <v>8000</v>
      </c>
      <c r="E86" s="22" t="s">
        <v>189</v>
      </c>
      <c r="F86" s="23">
        <v>0.63</v>
      </c>
      <c r="G8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6" s="1">
        <f>ROUND(F86+(F86*TabelaPrincipal[[#This Row],[PERCENTUAL DE ENTRADA]]), 2)</f>
        <v>0.88</v>
      </c>
      <c r="I86" s="2">
        <f t="shared" si="1"/>
        <v>7040</v>
      </c>
      <c r="J86" s="5">
        <f>IF(TabelaPrincipal[[#This Row],[PERCENTUAL DE ENTRADA]]&gt;0,0.15,0)</f>
        <v>0.15</v>
      </c>
      <c r="K86" s="1">
        <f>ROUND(F86+(F86*TabelaPrincipal[[#This Row],[PERCENTUAL MÍNIMO]]), 2)</f>
        <v>0.72</v>
      </c>
      <c r="L86" s="24">
        <v>0.72</v>
      </c>
      <c r="M86" s="25"/>
      <c r="N86" s="23">
        <f>TabelaPrincipal[[#This Row],[LANCE ATUAL]]*TabelaPrincipal[[#This Row],[QTD]]</f>
        <v>5760</v>
      </c>
    </row>
    <row r="87" spans="1:14" ht="15" customHeight="1" x14ac:dyDescent="0.25">
      <c r="A87" s="20">
        <v>92</v>
      </c>
      <c r="B87" s="21" t="str">
        <f>VLOOKUP(TabelaPrincipal[[#This Row],[ITEM]],TabelaModelo,2,FALSE)</f>
        <v>ITRACONAZOL 100MG</v>
      </c>
      <c r="C87" s="22" t="s">
        <v>187</v>
      </c>
      <c r="D87" s="22">
        <f>VLOOKUP(TabelaPrincipal[[#This Row],[ITEM]],TabelaModelo,3,FALSE)</f>
        <v>600</v>
      </c>
      <c r="E87" s="22" t="s">
        <v>191</v>
      </c>
      <c r="F87" s="23">
        <v>1.25</v>
      </c>
      <c r="G87" s="5">
        <f>IF(_xlfn.ISFORMULA(TabelaPrincipal[[#This Row],[CUSTO + PERCENTUAL DE ENTRADA]]),0.4,(TabelaPrincipal[[#This Row],[CUSTO + PERCENTUAL DE ENTRADA]]-TabelaPrincipal[[#This Row],[VALOR DE CUSTO]])/TabelaPrincipal[[#This Row],[VALOR DE CUSTO]])</f>
        <v>0.85599999999999987</v>
      </c>
      <c r="H87" s="1">
        <v>2.3199999999999998</v>
      </c>
      <c r="I87" s="2">
        <f t="shared" si="1"/>
        <v>1392</v>
      </c>
      <c r="J87" s="5">
        <f>IF(TabelaPrincipal[[#This Row],[PERCENTUAL DE ENTRADA]]&gt;0,0.15,0)</f>
        <v>0.15</v>
      </c>
      <c r="K87" s="1">
        <f>ROUND(F87+(F87*TabelaPrincipal[[#This Row],[PERCENTUAL MÍNIMO]]), 2)</f>
        <v>1.44</v>
      </c>
      <c r="L87" s="24">
        <v>1.8</v>
      </c>
      <c r="M87" s="25"/>
      <c r="N87" s="23">
        <f>TabelaPrincipal[[#This Row],[LANCE ATUAL]]*TabelaPrincipal[[#This Row],[QTD]]</f>
        <v>1080</v>
      </c>
    </row>
    <row r="88" spans="1:14" ht="15" customHeight="1" x14ac:dyDescent="0.25">
      <c r="A88" s="20">
        <v>93</v>
      </c>
      <c r="B88" s="21" t="str">
        <f>VLOOKUP(TabelaPrincipal[[#This Row],[ITEM]],TabelaModelo,2,FALSE)</f>
        <v>IVERMECTINA 6MG</v>
      </c>
      <c r="C88" s="22" t="s">
        <v>163</v>
      </c>
      <c r="D88" s="22">
        <f>VLOOKUP(TabelaPrincipal[[#This Row],[ITEM]],TabelaModelo,3,FALSE)</f>
        <v>600</v>
      </c>
      <c r="E88" s="22" t="s">
        <v>176</v>
      </c>
      <c r="F88" s="23">
        <v>1.89</v>
      </c>
      <c r="G8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8" s="1">
        <f>ROUND(F88+(F88*TabelaPrincipal[[#This Row],[PERCENTUAL DE ENTRADA]]), 2)</f>
        <v>2.65</v>
      </c>
      <c r="I88" s="2">
        <f t="shared" si="1"/>
        <v>1590</v>
      </c>
      <c r="J88" s="5">
        <f>IF(TabelaPrincipal[[#This Row],[PERCENTUAL DE ENTRADA]]&gt;0,0.15,0)</f>
        <v>0.15</v>
      </c>
      <c r="K88" s="1">
        <f>ROUND(F88+(F88*TabelaPrincipal[[#This Row],[PERCENTUAL MÍNIMO]]), 2)</f>
        <v>2.17</v>
      </c>
      <c r="L88" s="24">
        <v>2.1800000000000002</v>
      </c>
      <c r="M88" s="25"/>
      <c r="N88" s="23">
        <f>TabelaPrincipal[[#This Row],[LANCE ATUAL]]*TabelaPrincipal[[#This Row],[QTD]]</f>
        <v>1308</v>
      </c>
    </row>
    <row r="89" spans="1:14" ht="15" customHeight="1" x14ac:dyDescent="0.25">
      <c r="A89" s="20">
        <v>96</v>
      </c>
      <c r="B89" s="21" t="str">
        <f>VLOOKUP(TabelaPrincipal[[#This Row],[ITEM]],TabelaModelo,2,FALSE)</f>
        <v>LEVOTIROXINA SODICA 100 MCG</v>
      </c>
      <c r="C89" s="22" t="s">
        <v>163</v>
      </c>
      <c r="D89" s="22">
        <f>VLOOKUP(TabelaPrincipal[[#This Row],[ITEM]],TabelaModelo,3,FALSE)</f>
        <v>10000</v>
      </c>
      <c r="E89" s="22" t="s">
        <v>192</v>
      </c>
      <c r="F89" s="23">
        <v>0.23</v>
      </c>
      <c r="G8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9" s="1">
        <f>ROUND(F89+(F89*TabelaPrincipal[[#This Row],[PERCENTUAL DE ENTRADA]]), 2)</f>
        <v>0.32</v>
      </c>
      <c r="I89" s="2">
        <f t="shared" si="1"/>
        <v>3200</v>
      </c>
      <c r="J89" s="5">
        <f>IF(TabelaPrincipal[[#This Row],[PERCENTUAL DE ENTRADA]]&gt;0,0.15,0)</f>
        <v>0.15</v>
      </c>
      <c r="K89" s="1">
        <f>ROUND(F89+(F89*TabelaPrincipal[[#This Row],[PERCENTUAL MÍNIMO]]), 2)</f>
        <v>0.26</v>
      </c>
      <c r="L89" s="24">
        <v>0.26</v>
      </c>
      <c r="M89" s="25"/>
      <c r="N89" s="23">
        <f>TabelaPrincipal[[#This Row],[LANCE ATUAL]]*TabelaPrincipal[[#This Row],[QTD]]</f>
        <v>2600</v>
      </c>
    </row>
    <row r="90" spans="1:14" ht="15" customHeight="1" x14ac:dyDescent="0.25">
      <c r="A90" s="20">
        <v>97</v>
      </c>
      <c r="B90" s="21" t="str">
        <f>VLOOKUP(TabelaPrincipal[[#This Row],[ITEM]],TabelaModelo,2,FALSE)</f>
        <v>LEVOTIROXINA SODICA 25 MCG COMPRIMIDO</v>
      </c>
      <c r="C90" s="22" t="s">
        <v>163</v>
      </c>
      <c r="D90" s="22">
        <f>VLOOKUP(TabelaPrincipal[[#This Row],[ITEM]],TabelaModelo,3,FALSE)</f>
        <v>70000</v>
      </c>
      <c r="E90" s="22" t="s">
        <v>192</v>
      </c>
      <c r="F90" s="23">
        <v>0.25</v>
      </c>
      <c r="G9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0" s="1">
        <f>ROUND(F90+(F90*TabelaPrincipal[[#This Row],[PERCENTUAL DE ENTRADA]]), 2)</f>
        <v>0.35</v>
      </c>
      <c r="I90" s="2">
        <f t="shared" si="1"/>
        <v>24500</v>
      </c>
      <c r="J90" s="5">
        <f>IF(TabelaPrincipal[[#This Row],[PERCENTUAL DE ENTRADA]]&gt;0,0.15,0)</f>
        <v>0.15</v>
      </c>
      <c r="K90" s="1">
        <f>ROUND(F90+(F90*TabelaPrincipal[[#This Row],[PERCENTUAL MÍNIMO]]), 2)</f>
        <v>0.28999999999999998</v>
      </c>
      <c r="L90" s="24">
        <v>0.28999999999999998</v>
      </c>
      <c r="M90" s="25"/>
      <c r="N90" s="23">
        <f>TabelaPrincipal[[#This Row],[LANCE ATUAL]]*TabelaPrincipal[[#This Row],[QTD]]</f>
        <v>20300</v>
      </c>
    </row>
    <row r="91" spans="1:14" ht="15" customHeight="1" x14ac:dyDescent="0.25">
      <c r="A91" s="20">
        <v>98</v>
      </c>
      <c r="B91" s="21" t="str">
        <f>VLOOKUP(TabelaPrincipal[[#This Row],[ITEM]],TabelaModelo,2,FALSE)</f>
        <v>LEVOTIROXINA SODICA 50 MCG COMPRIMIDO</v>
      </c>
      <c r="C91" s="22" t="s">
        <v>163</v>
      </c>
      <c r="D91" s="22">
        <f>VLOOKUP(TabelaPrincipal[[#This Row],[ITEM]],TabelaModelo,3,FALSE)</f>
        <v>70000</v>
      </c>
      <c r="E91" s="22" t="s">
        <v>192</v>
      </c>
      <c r="F91" s="23">
        <v>0.27</v>
      </c>
      <c r="G91" s="5">
        <f>IF(_xlfn.ISFORMULA(TabelaPrincipal[[#This Row],[CUSTO + PERCENTUAL DE ENTRADA]]),0.4,(TabelaPrincipal[[#This Row],[CUSTO + PERCENTUAL DE ENTRADA]]-TabelaPrincipal[[#This Row],[VALOR DE CUSTO]])/TabelaPrincipal[[#This Row],[VALOR DE CUSTO]])</f>
        <v>0.66666666666666663</v>
      </c>
      <c r="H91" s="1">
        <v>0.45</v>
      </c>
      <c r="I91" s="2">
        <f t="shared" si="1"/>
        <v>31500</v>
      </c>
      <c r="J91" s="5">
        <f>IF(TabelaPrincipal[[#This Row],[PERCENTUAL DE ENTRADA]]&gt;0,0.15,0)</f>
        <v>0.15</v>
      </c>
      <c r="K91" s="1">
        <f>ROUND(F91+(F91*TabelaPrincipal[[#This Row],[PERCENTUAL MÍNIMO]]), 2)</f>
        <v>0.31</v>
      </c>
      <c r="L91" s="24">
        <v>0.31</v>
      </c>
      <c r="M91" s="25"/>
      <c r="N91" s="23">
        <f>TabelaPrincipal[[#This Row],[LANCE ATUAL]]*TabelaPrincipal[[#This Row],[QTD]]</f>
        <v>21700</v>
      </c>
    </row>
    <row r="92" spans="1:14" ht="15" customHeight="1" x14ac:dyDescent="0.25">
      <c r="A92" s="20">
        <v>99</v>
      </c>
      <c r="B92" s="21" t="str">
        <f>VLOOKUP(TabelaPrincipal[[#This Row],[ITEM]],TabelaModelo,2,FALSE)</f>
        <v>LORATADINA 1 MG/ML XAROPE</v>
      </c>
      <c r="C92" s="22" t="s">
        <v>166</v>
      </c>
      <c r="D92" s="22">
        <f>VLOOKUP(TabelaPrincipal[[#This Row],[ITEM]],TabelaModelo,3,FALSE)</f>
        <v>900</v>
      </c>
      <c r="E92" s="22" t="s">
        <v>184</v>
      </c>
      <c r="F92" s="23">
        <v>6.8</v>
      </c>
      <c r="G9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2" s="1">
        <f>ROUND(F92+(F92*TabelaPrincipal[[#This Row],[PERCENTUAL DE ENTRADA]]), 2)</f>
        <v>9.52</v>
      </c>
      <c r="I92" s="2">
        <f t="shared" si="1"/>
        <v>8568</v>
      </c>
      <c r="J92" s="5">
        <f>IF(TabelaPrincipal[[#This Row],[PERCENTUAL DE ENTRADA]]&gt;0,0.15,0)</f>
        <v>0.15</v>
      </c>
      <c r="K92" s="1">
        <f>ROUND(F92+(F92*TabelaPrincipal[[#This Row],[PERCENTUAL MÍNIMO]]), 2)</f>
        <v>7.82</v>
      </c>
      <c r="L92" s="24">
        <v>7.82</v>
      </c>
      <c r="M92" s="25"/>
      <c r="N92" s="23">
        <f>TabelaPrincipal[[#This Row],[LANCE ATUAL]]*TabelaPrincipal[[#This Row],[QTD]]</f>
        <v>7038</v>
      </c>
    </row>
    <row r="93" spans="1:14" ht="15" customHeight="1" x14ac:dyDescent="0.25">
      <c r="A93" s="20">
        <v>100</v>
      </c>
      <c r="B93" s="21" t="str">
        <f>VLOOKUP(TabelaPrincipal[[#This Row],[ITEM]],TabelaModelo,2,FALSE)</f>
        <v>LORATADINA 10MG</v>
      </c>
      <c r="C93" s="22" t="s">
        <v>163</v>
      </c>
      <c r="D93" s="22">
        <f>VLOOKUP(TabelaPrincipal[[#This Row],[ITEM]],TabelaModelo,3,FALSE)</f>
        <v>10000</v>
      </c>
      <c r="E93" s="22" t="s">
        <v>164</v>
      </c>
      <c r="F93" s="23">
        <v>0.13</v>
      </c>
      <c r="G93" s="5">
        <f>IF(_xlfn.ISFORMULA(TabelaPrincipal[[#This Row],[CUSTO + PERCENTUAL DE ENTRADA]]),0.4,(TabelaPrincipal[[#This Row],[CUSTO + PERCENTUAL DE ENTRADA]]-TabelaPrincipal[[#This Row],[VALOR DE CUSTO]])/TabelaPrincipal[[#This Row],[VALOR DE CUSTO]])</f>
        <v>1.0769230769230771</v>
      </c>
      <c r="H93" s="1">
        <v>0.27</v>
      </c>
      <c r="I93" s="2">
        <f t="shared" si="1"/>
        <v>2700</v>
      </c>
      <c r="J93" s="5">
        <f>IF(TabelaPrincipal[[#This Row],[PERCENTUAL DE ENTRADA]]&gt;0,0.15,0)</f>
        <v>0.15</v>
      </c>
      <c r="K93" s="1">
        <f>ROUND(F93+(F93*TabelaPrincipal[[#This Row],[PERCENTUAL MÍNIMO]]), 2)</f>
        <v>0.15</v>
      </c>
      <c r="L93" s="24">
        <v>0.16</v>
      </c>
      <c r="M93" s="25"/>
      <c r="N93" s="23">
        <f>TabelaPrincipal[[#This Row],[LANCE ATUAL]]*TabelaPrincipal[[#This Row],[QTD]]</f>
        <v>1600</v>
      </c>
    </row>
    <row r="94" spans="1:14" ht="15" customHeight="1" x14ac:dyDescent="0.25">
      <c r="A94" s="20">
        <v>101</v>
      </c>
      <c r="B94" s="21" t="str">
        <f>VLOOKUP(TabelaPrincipal[[#This Row],[ITEM]],TabelaModelo,2,FALSE)</f>
        <v>LOSARTANA POTASSICA 50MG</v>
      </c>
      <c r="C94" s="22" t="s">
        <v>163</v>
      </c>
      <c r="D94" s="22">
        <f>VLOOKUP(TabelaPrincipal[[#This Row],[ITEM]],TabelaModelo,3,FALSE)</f>
        <v>280000</v>
      </c>
      <c r="E94" s="22" t="s">
        <v>173</v>
      </c>
      <c r="F94" s="23">
        <v>0.08</v>
      </c>
      <c r="G9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4" s="1">
        <f>ROUND(F94+(F94*TabelaPrincipal[[#This Row],[PERCENTUAL DE ENTRADA]]), 2)</f>
        <v>0.11</v>
      </c>
      <c r="I94" s="2">
        <f t="shared" si="1"/>
        <v>30800</v>
      </c>
      <c r="J94" s="5">
        <f>IF(TabelaPrincipal[[#This Row],[PERCENTUAL DE ENTRADA]]&gt;0,0.15,0)</f>
        <v>0.15</v>
      </c>
      <c r="K94" s="1">
        <f>ROUND(F94+(F94*TabelaPrincipal[[#This Row],[PERCENTUAL MÍNIMO]]), 2)</f>
        <v>0.09</v>
      </c>
      <c r="L94" s="24">
        <v>0.11</v>
      </c>
      <c r="M94" s="25"/>
      <c r="N94" s="23">
        <f>TabelaPrincipal[[#This Row],[LANCE ATUAL]]*TabelaPrincipal[[#This Row],[QTD]]</f>
        <v>30800</v>
      </c>
    </row>
    <row r="95" spans="1:14" ht="15" customHeight="1" x14ac:dyDescent="0.25">
      <c r="A95" s="20">
        <v>102</v>
      </c>
      <c r="B95" s="21" t="str">
        <f>VLOOKUP(TabelaPrincipal[[#This Row],[ITEM]],TabelaModelo,2,FALSE)</f>
        <v>MALEATO DE TIMOLOL 5MG/ML 0,5%</v>
      </c>
      <c r="C95" s="22" t="s">
        <v>169</v>
      </c>
      <c r="D95" s="22">
        <f>VLOOKUP(TabelaPrincipal[[#This Row],[ITEM]],TabelaModelo,3,FALSE)</f>
        <v>100</v>
      </c>
      <c r="E95" s="22" t="s">
        <v>176</v>
      </c>
      <c r="F95" s="23">
        <v>4.5999999999999996</v>
      </c>
      <c r="G9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5" s="1">
        <f>ROUND(F95+(F95*TabelaPrincipal[[#This Row],[PERCENTUAL DE ENTRADA]]), 2)</f>
        <v>6.44</v>
      </c>
      <c r="I95" s="2">
        <f t="shared" si="1"/>
        <v>644</v>
      </c>
      <c r="J95" s="5">
        <f>IF(TabelaPrincipal[[#This Row],[PERCENTUAL DE ENTRADA]]&gt;0,0.15,0)</f>
        <v>0.15</v>
      </c>
      <c r="K95" s="1">
        <f>ROUND(F95+(F95*TabelaPrincipal[[#This Row],[PERCENTUAL MÍNIMO]]), 2)</f>
        <v>5.29</v>
      </c>
      <c r="L95" s="24">
        <v>6.44</v>
      </c>
      <c r="M95" s="25"/>
      <c r="N95" s="23">
        <f>TabelaPrincipal[[#This Row],[LANCE ATUAL]]*TabelaPrincipal[[#This Row],[QTD]]</f>
        <v>644</v>
      </c>
    </row>
    <row r="96" spans="1:14" ht="15" customHeight="1" x14ac:dyDescent="0.25">
      <c r="A96" s="20">
        <v>103</v>
      </c>
      <c r="B96" s="21" t="str">
        <f>VLOOKUP(TabelaPrincipal[[#This Row],[ITEM]],TabelaModelo,2,FALSE)</f>
        <v>METFORMINA CLORIDRATO  850 MG COMPRIMIDO</v>
      </c>
      <c r="C96" s="22" t="s">
        <v>163</v>
      </c>
      <c r="D96" s="22">
        <f>VLOOKUP(TabelaPrincipal[[#This Row],[ITEM]],TabelaModelo,3,FALSE)</f>
        <v>100000</v>
      </c>
      <c r="E96" s="22" t="s">
        <v>164</v>
      </c>
      <c r="F96" s="23">
        <v>0.24</v>
      </c>
      <c r="G9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6" s="1">
        <f>ROUND(F96+(F96*TabelaPrincipal[[#This Row],[PERCENTUAL DE ENTRADA]]), 2)</f>
        <v>0.34</v>
      </c>
      <c r="I96" s="2">
        <f t="shared" si="1"/>
        <v>34000</v>
      </c>
      <c r="J96" s="5">
        <f>IF(TabelaPrincipal[[#This Row],[PERCENTUAL DE ENTRADA]]&gt;0,0.15,0)</f>
        <v>0.15</v>
      </c>
      <c r="K96" s="1">
        <f>ROUND(F96+(F96*TabelaPrincipal[[#This Row],[PERCENTUAL MÍNIMO]]), 2)</f>
        <v>0.28000000000000003</v>
      </c>
      <c r="L96" s="24">
        <v>0.28999999999999998</v>
      </c>
      <c r="M96" s="25"/>
      <c r="N96" s="23">
        <f>TabelaPrincipal[[#This Row],[LANCE ATUAL]]*TabelaPrincipal[[#This Row],[QTD]]</f>
        <v>28999.999999999996</v>
      </c>
    </row>
    <row r="97" spans="1:14" ht="15" customHeight="1" x14ac:dyDescent="0.25">
      <c r="A97" s="20">
        <v>104</v>
      </c>
      <c r="B97" s="21" t="str">
        <f>VLOOKUP(TabelaPrincipal[[#This Row],[ITEM]],TabelaModelo,2,FALSE)</f>
        <v>METFORMINA CLORIDRATO 500 MG COMPRIMIDO</v>
      </c>
      <c r="C97" s="22" t="s">
        <v>163</v>
      </c>
      <c r="D97" s="22">
        <f>VLOOKUP(TabelaPrincipal[[#This Row],[ITEM]],TabelaModelo,3,FALSE)</f>
        <v>70000</v>
      </c>
      <c r="E97" s="22" t="s">
        <v>172</v>
      </c>
      <c r="F97" s="23">
        <v>0.21</v>
      </c>
      <c r="G9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7" s="1">
        <f>ROUND(F97+(F97*TabelaPrincipal[[#This Row],[PERCENTUAL DE ENTRADA]]), 2)</f>
        <v>0.28999999999999998</v>
      </c>
      <c r="I97" s="2">
        <f t="shared" si="1"/>
        <v>20300</v>
      </c>
      <c r="J97" s="5">
        <f>IF(TabelaPrincipal[[#This Row],[PERCENTUAL DE ENTRADA]]&gt;0,0.15,0)</f>
        <v>0.15</v>
      </c>
      <c r="K97" s="1">
        <f>ROUND(F97+(F97*TabelaPrincipal[[#This Row],[PERCENTUAL MÍNIMO]]), 2)</f>
        <v>0.24</v>
      </c>
      <c r="L97" s="24">
        <v>0.24</v>
      </c>
      <c r="M97" s="25"/>
      <c r="N97" s="23">
        <f>TabelaPrincipal[[#This Row],[LANCE ATUAL]]*TabelaPrincipal[[#This Row],[QTD]]</f>
        <v>16800</v>
      </c>
    </row>
    <row r="98" spans="1:14" ht="15" customHeight="1" x14ac:dyDescent="0.25">
      <c r="A98" s="20">
        <v>105</v>
      </c>
      <c r="B98" s="21" t="str">
        <f>VLOOKUP(TabelaPrincipal[[#This Row],[ITEM]],TabelaModelo,2,FALSE)</f>
        <v>METILDOPA 250 MG COMPRIMIDO</v>
      </c>
      <c r="C98" s="22" t="s">
        <v>166</v>
      </c>
      <c r="D98" s="22">
        <f>VLOOKUP(TabelaPrincipal[[#This Row],[ITEM]],TabelaModelo,3,FALSE)</f>
        <v>35000</v>
      </c>
      <c r="E98" s="22" t="s">
        <v>161</v>
      </c>
      <c r="F98" s="23">
        <v>0.85</v>
      </c>
      <c r="G9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8" s="1">
        <f>ROUND(F98+(F98*TabelaPrincipal[[#This Row],[PERCENTUAL DE ENTRADA]]), 2)</f>
        <v>1.19</v>
      </c>
      <c r="I98" s="2">
        <f t="shared" si="1"/>
        <v>41650</v>
      </c>
      <c r="J98" s="5">
        <f>IF(TabelaPrincipal[[#This Row],[PERCENTUAL DE ENTRADA]]&gt;0,0.15,0)</f>
        <v>0.15</v>
      </c>
      <c r="K98" s="1">
        <f>ROUND(F98+(F98*TabelaPrincipal[[#This Row],[PERCENTUAL MÍNIMO]]), 2)</f>
        <v>0.98</v>
      </c>
      <c r="L98" s="24">
        <v>1.01</v>
      </c>
      <c r="M98" s="25"/>
      <c r="N98" s="23">
        <f>TabelaPrincipal[[#This Row],[LANCE ATUAL]]*TabelaPrincipal[[#This Row],[QTD]]</f>
        <v>35350</v>
      </c>
    </row>
    <row r="99" spans="1:14" ht="15" customHeight="1" x14ac:dyDescent="0.25">
      <c r="A99" s="20">
        <v>106</v>
      </c>
      <c r="B99" s="21" t="str">
        <f>VLOOKUP(TabelaPrincipal[[#This Row],[ITEM]],TabelaModelo,2,FALSE)</f>
        <v>METOCLOPRAMIDA CLORIDRATO 10 MG COMPRIMIDO</v>
      </c>
      <c r="C99" s="22" t="s">
        <v>163</v>
      </c>
      <c r="D99" s="22">
        <f>VLOOKUP(TabelaPrincipal[[#This Row],[ITEM]],TabelaModelo,3,FALSE)</f>
        <v>3000</v>
      </c>
      <c r="E99" s="22" t="s">
        <v>174</v>
      </c>
      <c r="F99" s="23">
        <v>0.15</v>
      </c>
      <c r="G99" s="5">
        <f>IF(_xlfn.ISFORMULA(TabelaPrincipal[[#This Row],[CUSTO + PERCENTUAL DE ENTRADA]]),0.4,(TabelaPrincipal[[#This Row],[CUSTO + PERCENTUAL DE ENTRADA]]-TabelaPrincipal[[#This Row],[VALOR DE CUSTO]])/TabelaPrincipal[[#This Row],[VALOR DE CUSTO]])</f>
        <v>1.6</v>
      </c>
      <c r="H99" s="1">
        <v>0.39</v>
      </c>
      <c r="I99" s="2">
        <f t="shared" si="1"/>
        <v>1170</v>
      </c>
      <c r="J99" s="5">
        <f>IF(TabelaPrincipal[[#This Row],[PERCENTUAL DE ENTRADA]]&gt;0,0.15,0)</f>
        <v>0.15</v>
      </c>
      <c r="K99" s="1">
        <f>ROUND(F99+(F99*TabelaPrincipal[[#This Row],[PERCENTUAL MÍNIMO]]), 2)</f>
        <v>0.17</v>
      </c>
      <c r="L99" s="24">
        <v>0.39</v>
      </c>
      <c r="M99" s="25"/>
      <c r="N99" s="23">
        <f>TabelaPrincipal[[#This Row],[LANCE ATUAL]]*TabelaPrincipal[[#This Row],[QTD]]</f>
        <v>1170</v>
      </c>
    </row>
    <row r="100" spans="1:14" ht="15" customHeight="1" x14ac:dyDescent="0.25">
      <c r="A100" s="20">
        <v>107</v>
      </c>
      <c r="B100" s="21" t="str">
        <f>VLOOKUP(TabelaPrincipal[[#This Row],[ITEM]],TabelaModelo,2,FALSE)</f>
        <v>METOCLOPRAMIDA CLORIDRATO 4 MG/ML SOLUCAO ORAL</v>
      </c>
      <c r="C100" s="22" t="s">
        <v>166</v>
      </c>
      <c r="D100" s="22">
        <f>VLOOKUP(TabelaPrincipal[[#This Row],[ITEM]],TabelaModelo,3,FALSE)</f>
        <v>60</v>
      </c>
      <c r="E100" s="22" t="s">
        <v>188</v>
      </c>
      <c r="F100" s="23">
        <v>2.35</v>
      </c>
      <c r="G100" s="5">
        <f>IF(_xlfn.ISFORMULA(TabelaPrincipal[[#This Row],[CUSTO + PERCENTUAL DE ENTRADA]]),0.4,(TabelaPrincipal[[#This Row],[CUSTO + PERCENTUAL DE ENTRADA]]-TabelaPrincipal[[#This Row],[VALOR DE CUSTO]])/TabelaPrincipal[[#This Row],[VALOR DE CUSTO]])</f>
        <v>0.92765957446808511</v>
      </c>
      <c r="H100" s="1">
        <v>4.53</v>
      </c>
      <c r="I100" s="2">
        <f t="shared" si="1"/>
        <v>271.8</v>
      </c>
      <c r="J100" s="5">
        <f>IF(TabelaPrincipal[[#This Row],[PERCENTUAL DE ENTRADA]]&gt;0,0.15,0)</f>
        <v>0.15</v>
      </c>
      <c r="K100" s="1">
        <f>ROUND(F100+(F100*TabelaPrincipal[[#This Row],[PERCENTUAL MÍNIMO]]), 2)</f>
        <v>2.7</v>
      </c>
      <c r="L100" s="24">
        <v>4.53</v>
      </c>
      <c r="M100" s="25"/>
      <c r="N100" s="23">
        <f>TabelaPrincipal[[#This Row],[LANCE ATUAL]]*TabelaPrincipal[[#This Row],[QTD]]</f>
        <v>271.8</v>
      </c>
    </row>
    <row r="101" spans="1:14" ht="15" customHeight="1" x14ac:dyDescent="0.25">
      <c r="A101" s="20">
        <v>108</v>
      </c>
      <c r="B101" s="21" t="str">
        <f>VLOOKUP(TabelaPrincipal[[#This Row],[ITEM]],TabelaModelo,2,FALSE)</f>
        <v>METOPROLOL SUCCINATO 100 MCG COMPRIMIDO REVESTIDO DE LIBERACAO CONTROLADA</v>
      </c>
      <c r="C101" s="22" t="s">
        <v>163</v>
      </c>
      <c r="D101" s="22">
        <f>VLOOKUP(TabelaPrincipal[[#This Row],[ITEM]],TabelaModelo,3,FALSE)</f>
        <v>10000</v>
      </c>
      <c r="E101" s="22" t="s">
        <v>165</v>
      </c>
      <c r="F101" s="23">
        <v>1.1100000000000001</v>
      </c>
      <c r="G101" s="5">
        <f>IF(_xlfn.ISFORMULA(TabelaPrincipal[[#This Row],[CUSTO + PERCENTUAL DE ENTRADA]]),0.4,(TabelaPrincipal[[#This Row],[CUSTO + PERCENTUAL DE ENTRADA]]-TabelaPrincipal[[#This Row],[VALOR DE CUSTO]])/TabelaPrincipal[[#This Row],[VALOR DE CUSTO]])</f>
        <v>2.1351351351351351</v>
      </c>
      <c r="H101" s="1">
        <v>3.48</v>
      </c>
      <c r="I101" s="2">
        <f t="shared" si="1"/>
        <v>34800</v>
      </c>
      <c r="J101" s="5">
        <f>IF(TabelaPrincipal[[#This Row],[PERCENTUAL DE ENTRADA]]&gt;0,0.15,0)</f>
        <v>0.15</v>
      </c>
      <c r="K101" s="1">
        <f>ROUND(F101+(F101*TabelaPrincipal[[#This Row],[PERCENTUAL MÍNIMO]]), 2)</f>
        <v>1.28</v>
      </c>
      <c r="L101" s="24">
        <v>1.28</v>
      </c>
      <c r="M101" s="25"/>
      <c r="N101" s="23">
        <f>TabelaPrincipal[[#This Row],[LANCE ATUAL]]*TabelaPrincipal[[#This Row],[QTD]]</f>
        <v>12800</v>
      </c>
    </row>
    <row r="102" spans="1:14" ht="15" customHeight="1" x14ac:dyDescent="0.25">
      <c r="A102" s="20">
        <v>110</v>
      </c>
      <c r="B102" s="21" t="str">
        <f>VLOOKUP(TabelaPrincipal[[#This Row],[ITEM]],TabelaModelo,2,FALSE)</f>
        <v>METOPROLOL SUCCINATO 50 MG COMPRIMIDO REVESTIDO DE LIBERACAO CONTROLADA</v>
      </c>
      <c r="C102" s="22" t="s">
        <v>163</v>
      </c>
      <c r="D102" s="22">
        <f>VLOOKUP(TabelaPrincipal[[#This Row],[ITEM]],TabelaModelo,3,FALSE)</f>
        <v>40000</v>
      </c>
      <c r="E102" s="22" t="s">
        <v>165</v>
      </c>
      <c r="F102" s="23">
        <v>0.82</v>
      </c>
      <c r="G102" s="5">
        <f>IF(_xlfn.ISFORMULA(TabelaPrincipal[[#This Row],[CUSTO + PERCENTUAL DE ENTRADA]]),0.4,(TabelaPrincipal[[#This Row],[CUSTO + PERCENTUAL DE ENTRADA]]-TabelaPrincipal[[#This Row],[VALOR DE CUSTO]])/TabelaPrincipal[[#This Row],[VALOR DE CUSTO]])</f>
        <v>1.4878048780487809</v>
      </c>
      <c r="H102" s="1">
        <v>2.04</v>
      </c>
      <c r="I102" s="2">
        <f t="shared" si="1"/>
        <v>81600</v>
      </c>
      <c r="J102" s="5">
        <f>IF(TabelaPrincipal[[#This Row],[PERCENTUAL DE ENTRADA]]&gt;0,0.15,0)</f>
        <v>0.15</v>
      </c>
      <c r="K102" s="1">
        <f>ROUND(F102+(F102*TabelaPrincipal[[#This Row],[PERCENTUAL MÍNIMO]]), 2)</f>
        <v>0.94</v>
      </c>
      <c r="L102" s="24">
        <v>0.94</v>
      </c>
      <c r="M102" s="25"/>
      <c r="N102" s="23">
        <f>TabelaPrincipal[[#This Row],[LANCE ATUAL]]*TabelaPrincipal[[#This Row],[QTD]]</f>
        <v>37600</v>
      </c>
    </row>
    <row r="103" spans="1:14" ht="15" customHeight="1" x14ac:dyDescent="0.25">
      <c r="A103" s="20">
        <v>111</v>
      </c>
      <c r="B103" s="21" t="str">
        <f>VLOOKUP(TabelaPrincipal[[#This Row],[ITEM]],TabelaModelo,2,FALSE)</f>
        <v>METRONIDAZOL 250 MG COMPRIMIDO</v>
      </c>
      <c r="C103" s="22" t="s">
        <v>163</v>
      </c>
      <c r="D103" s="22">
        <f>VLOOKUP(TabelaPrincipal[[#This Row],[ITEM]],TabelaModelo,3,FALSE)</f>
        <v>10000</v>
      </c>
      <c r="E103" s="22" t="s">
        <v>171</v>
      </c>
      <c r="F103" s="23">
        <v>0.27</v>
      </c>
      <c r="G10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3" s="1">
        <f>ROUND(F103+(F103*TabelaPrincipal[[#This Row],[PERCENTUAL DE ENTRADA]]), 2)</f>
        <v>0.38</v>
      </c>
      <c r="I103" s="2">
        <f t="shared" si="1"/>
        <v>3800</v>
      </c>
      <c r="J103" s="5">
        <f>IF(TabelaPrincipal[[#This Row],[PERCENTUAL DE ENTRADA]]&gt;0,0.15,0)</f>
        <v>0.15</v>
      </c>
      <c r="K103" s="1">
        <f>ROUND(F103+(F103*TabelaPrincipal[[#This Row],[PERCENTUAL MÍNIMO]]), 2)</f>
        <v>0.31</v>
      </c>
      <c r="L103" s="24">
        <v>0.32</v>
      </c>
      <c r="M103" s="25"/>
      <c r="N103" s="23">
        <f>TabelaPrincipal[[#This Row],[LANCE ATUAL]]*TabelaPrincipal[[#This Row],[QTD]]</f>
        <v>3200</v>
      </c>
    </row>
    <row r="104" spans="1:14" ht="15" customHeight="1" x14ac:dyDescent="0.25">
      <c r="A104" s="20">
        <v>112</v>
      </c>
      <c r="B104" s="21" t="str">
        <f>VLOOKUP(TabelaPrincipal[[#This Row],[ITEM]],TabelaModelo,2,FALSE)</f>
        <v>METRONIDAZOL 400 MG</v>
      </c>
      <c r="C104" s="22" t="s">
        <v>163</v>
      </c>
      <c r="D104" s="22">
        <f>VLOOKUP(TabelaPrincipal[[#This Row],[ITEM]],TabelaModelo,3,FALSE)</f>
        <v>600</v>
      </c>
      <c r="E104" s="22" t="s">
        <v>193</v>
      </c>
      <c r="F104" s="23">
        <v>0.43</v>
      </c>
      <c r="G104" s="5">
        <f>IF(_xlfn.ISFORMULA(TabelaPrincipal[[#This Row],[CUSTO + PERCENTUAL DE ENTRADA]]),0.4,(TabelaPrincipal[[#This Row],[CUSTO + PERCENTUAL DE ENTRADA]]-TabelaPrincipal[[#This Row],[VALOR DE CUSTO]])/TabelaPrincipal[[#This Row],[VALOR DE CUSTO]])</f>
        <v>0.81395348837209314</v>
      </c>
      <c r="H104" s="1">
        <v>0.78</v>
      </c>
      <c r="I104" s="2">
        <f t="shared" si="1"/>
        <v>468</v>
      </c>
      <c r="J104" s="5">
        <f>IF(TabelaPrincipal[[#This Row],[PERCENTUAL DE ENTRADA]]&gt;0,0.15,0)</f>
        <v>0.15</v>
      </c>
      <c r="K104" s="1">
        <f>ROUND(F104+(F104*TabelaPrincipal[[#This Row],[PERCENTUAL MÍNIMO]]), 2)</f>
        <v>0.49</v>
      </c>
      <c r="L104" s="24">
        <v>0.78</v>
      </c>
      <c r="M104" s="25"/>
      <c r="N104" s="23">
        <f>TabelaPrincipal[[#This Row],[LANCE ATUAL]]*TabelaPrincipal[[#This Row],[QTD]]</f>
        <v>468</v>
      </c>
    </row>
    <row r="105" spans="1:14" ht="15" customHeight="1" x14ac:dyDescent="0.25">
      <c r="A105" s="20">
        <v>113</v>
      </c>
      <c r="B105" s="21" t="str">
        <f>VLOOKUP(TabelaPrincipal[[#This Row],[ITEM]],TabelaModelo,2,FALSE)</f>
        <v>MICONAZOL NITRATO 20 MG/G CREME VAGINAL</v>
      </c>
      <c r="C105" s="22" t="s">
        <v>166</v>
      </c>
      <c r="D105" s="22">
        <f>VLOOKUP(TabelaPrincipal[[#This Row],[ITEM]],TabelaModelo,3,FALSE)</f>
        <v>500</v>
      </c>
      <c r="E105" s="22" t="s">
        <v>174</v>
      </c>
      <c r="F105" s="23">
        <v>14.8</v>
      </c>
      <c r="G10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5" s="1">
        <f>ROUND(F105+(F105*TabelaPrincipal[[#This Row],[PERCENTUAL DE ENTRADA]]), 2)</f>
        <v>20.72</v>
      </c>
      <c r="I105" s="2">
        <f t="shared" si="1"/>
        <v>10360</v>
      </c>
      <c r="J105" s="5">
        <f>IF(TabelaPrincipal[[#This Row],[PERCENTUAL DE ENTRADA]]&gt;0,0.15,0)</f>
        <v>0.15</v>
      </c>
      <c r="K105" s="1">
        <f>ROUND(F105+(F105*TabelaPrincipal[[#This Row],[PERCENTUAL MÍNIMO]]), 2)</f>
        <v>17.02</v>
      </c>
      <c r="L105" s="24">
        <v>17.02</v>
      </c>
      <c r="M105" s="25"/>
      <c r="N105" s="23">
        <f>TabelaPrincipal[[#This Row],[LANCE ATUAL]]*TabelaPrincipal[[#This Row],[QTD]]</f>
        <v>8510</v>
      </c>
    </row>
    <row r="106" spans="1:14" ht="15" customHeight="1" x14ac:dyDescent="0.25">
      <c r="A106" s="20">
        <v>114</v>
      </c>
      <c r="B106" s="21" t="str">
        <f>VLOOKUP(TabelaPrincipal[[#This Row],[ITEM]],TabelaModelo,2,FALSE)</f>
        <v>NITRATO DE MICONAZOL 20 MG CREME DERMATOLOGICO - EMBALAGEM 28 GRAMAS</v>
      </c>
      <c r="C106" s="22" t="s">
        <v>185</v>
      </c>
      <c r="D106" s="22">
        <f>VLOOKUP(TabelaPrincipal[[#This Row],[ITEM]],TabelaModelo,3,FALSE)</f>
        <v>300</v>
      </c>
      <c r="E106" s="22" t="s">
        <v>178</v>
      </c>
      <c r="F106" s="23">
        <v>5.8</v>
      </c>
      <c r="G10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6" s="1">
        <f>ROUND(F106+(F106*TabelaPrincipal[[#This Row],[PERCENTUAL DE ENTRADA]]), 2)</f>
        <v>8.1199999999999992</v>
      </c>
      <c r="I106" s="2">
        <f t="shared" si="1"/>
        <v>2435.9999999999995</v>
      </c>
      <c r="J106" s="5">
        <f>IF(TabelaPrincipal[[#This Row],[PERCENTUAL DE ENTRADA]]&gt;0,0.15,0)</f>
        <v>0.15</v>
      </c>
      <c r="K106" s="1">
        <f>ROUND(F106+(F106*TabelaPrincipal[[#This Row],[PERCENTUAL MÍNIMO]]), 2)</f>
        <v>6.67</v>
      </c>
      <c r="L106" s="24">
        <v>6.67</v>
      </c>
      <c r="M106" s="25"/>
      <c r="N106" s="23">
        <f>TabelaPrincipal[[#This Row],[LANCE ATUAL]]*TabelaPrincipal[[#This Row],[QTD]]</f>
        <v>2001</v>
      </c>
    </row>
    <row r="107" spans="1:14" ht="15" customHeight="1" x14ac:dyDescent="0.25">
      <c r="A107" s="20">
        <v>115</v>
      </c>
      <c r="B107" s="21" t="str">
        <f>VLOOKUP(TabelaPrincipal[[#This Row],[ITEM]],TabelaModelo,2,FALSE)</f>
        <v>NITROFURANTOINA 100 MG CAPSULA</v>
      </c>
      <c r="C107" s="22" t="s">
        <v>166</v>
      </c>
      <c r="D107" s="22">
        <f>VLOOKUP(TabelaPrincipal[[#This Row],[ITEM]],TabelaModelo,3,FALSE)</f>
        <v>1000</v>
      </c>
      <c r="E107" s="22" t="s">
        <v>186</v>
      </c>
      <c r="F107" s="23">
        <v>0.42</v>
      </c>
      <c r="G10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7" s="1">
        <f>ROUND(F107+(F107*TabelaPrincipal[[#This Row],[PERCENTUAL DE ENTRADA]]), 2)</f>
        <v>0.59</v>
      </c>
      <c r="I107" s="2">
        <f t="shared" si="1"/>
        <v>590</v>
      </c>
      <c r="J107" s="5">
        <f>IF(TabelaPrincipal[[#This Row],[PERCENTUAL DE ENTRADA]]&gt;0,0.15,0)</f>
        <v>0.15</v>
      </c>
      <c r="K107" s="1">
        <f>ROUND(F107+(F107*TabelaPrincipal[[#This Row],[PERCENTUAL MÍNIMO]]), 2)</f>
        <v>0.48</v>
      </c>
      <c r="L107" s="24">
        <v>0.59</v>
      </c>
      <c r="M107" s="25"/>
      <c r="N107" s="23">
        <f>TabelaPrincipal[[#This Row],[LANCE ATUAL]]*TabelaPrincipal[[#This Row],[QTD]]</f>
        <v>590</v>
      </c>
    </row>
    <row r="108" spans="1:14" ht="15" customHeight="1" x14ac:dyDescent="0.25">
      <c r="A108" s="20">
        <v>116</v>
      </c>
      <c r="B108" s="21" t="str">
        <f>VLOOKUP(TabelaPrincipal[[#This Row],[ITEM]],TabelaModelo,2,FALSE)</f>
        <v>ENANTATO DE NORETISTERONA + VALERATO DE ESTRADIOL 50 + 5 MG/ML SOLUÇÃO INJETÁVEL C/ 1 AMPOLA 1 ML</v>
      </c>
      <c r="C108" s="22" t="s">
        <v>160</v>
      </c>
      <c r="D108" s="22">
        <f>VLOOKUP(TabelaPrincipal[[#This Row],[ITEM]],TabelaModelo,3,FALSE)</f>
        <v>600</v>
      </c>
      <c r="E108" s="22" t="s">
        <v>194</v>
      </c>
      <c r="F108" s="23">
        <v>32.200000000000003</v>
      </c>
      <c r="G10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8" s="1">
        <f>ROUND(F108+(F108*TabelaPrincipal[[#This Row],[PERCENTUAL DE ENTRADA]]), 2)</f>
        <v>45.08</v>
      </c>
      <c r="I108" s="2">
        <f t="shared" si="1"/>
        <v>27048</v>
      </c>
      <c r="J108" s="5">
        <f>IF(TabelaPrincipal[[#This Row],[PERCENTUAL DE ENTRADA]]&gt;0,0.15,0)</f>
        <v>0.15</v>
      </c>
      <c r="K108" s="1">
        <f>ROUND(F108+(F108*TabelaPrincipal[[#This Row],[PERCENTUAL MÍNIMO]]), 2)</f>
        <v>37.03</v>
      </c>
      <c r="L108" s="24">
        <v>37.03</v>
      </c>
      <c r="M108" s="25"/>
      <c r="N108" s="23">
        <f>TabelaPrincipal[[#This Row],[LANCE ATUAL]]*TabelaPrincipal[[#This Row],[QTD]]</f>
        <v>22218</v>
      </c>
    </row>
    <row r="109" spans="1:14" ht="15" customHeight="1" x14ac:dyDescent="0.25">
      <c r="A109" s="20">
        <v>117</v>
      </c>
      <c r="B109" s="21" t="str">
        <f>VLOOKUP(TabelaPrincipal[[#This Row],[ITEM]],TabelaModelo,2,FALSE)</f>
        <v>NORTRIPTILINA CLORIDRATO 25 MG</v>
      </c>
      <c r="C109" s="22" t="s">
        <v>187</v>
      </c>
      <c r="D109" s="22">
        <f>VLOOKUP(TabelaPrincipal[[#This Row],[ITEM]],TabelaModelo,3,FALSE)</f>
        <v>3000</v>
      </c>
      <c r="E109" s="22" t="s">
        <v>195</v>
      </c>
      <c r="F109" s="23">
        <v>0.49</v>
      </c>
      <c r="G10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9" s="1">
        <f>ROUND(F109+(F109*TabelaPrincipal[[#This Row],[PERCENTUAL DE ENTRADA]]), 2)</f>
        <v>0.69</v>
      </c>
      <c r="I109" s="2">
        <f t="shared" si="1"/>
        <v>2070</v>
      </c>
      <c r="J109" s="5">
        <f>IF(TabelaPrincipal[[#This Row],[PERCENTUAL DE ENTRADA]]&gt;0,0.15,0)</f>
        <v>0.15</v>
      </c>
      <c r="K109" s="1">
        <f>ROUND(F109+(F109*TabelaPrincipal[[#This Row],[PERCENTUAL MÍNIMO]]), 2)</f>
        <v>0.56000000000000005</v>
      </c>
      <c r="L109" s="24">
        <v>0.56000000000000005</v>
      </c>
      <c r="M109" s="25"/>
      <c r="N109" s="23">
        <f>TabelaPrincipal[[#This Row],[LANCE ATUAL]]*TabelaPrincipal[[#This Row],[QTD]]</f>
        <v>1680.0000000000002</v>
      </c>
    </row>
    <row r="110" spans="1:14" ht="15" customHeight="1" x14ac:dyDescent="0.25">
      <c r="A110" s="20">
        <v>118</v>
      </c>
      <c r="B110" s="21" t="str">
        <f>VLOOKUP(TabelaPrincipal[[#This Row],[ITEM]],TabelaModelo,2,FALSE)</f>
        <v>NORTRIPTILINA CLORIDRATO 50 MG CAPSULA</v>
      </c>
      <c r="C110" s="22" t="s">
        <v>187</v>
      </c>
      <c r="D110" s="22">
        <f>VLOOKUP(TabelaPrincipal[[#This Row],[ITEM]],TabelaModelo,3,FALSE)</f>
        <v>10000</v>
      </c>
      <c r="E110" s="22" t="s">
        <v>195</v>
      </c>
      <c r="F110" s="23">
        <v>1.39</v>
      </c>
      <c r="G11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0" s="1">
        <f>ROUND(F110+(F110*TabelaPrincipal[[#This Row],[PERCENTUAL DE ENTRADA]]), 2)</f>
        <v>1.95</v>
      </c>
      <c r="I110" s="2">
        <f t="shared" si="1"/>
        <v>19500</v>
      </c>
      <c r="J110" s="5">
        <f>IF(TabelaPrincipal[[#This Row],[PERCENTUAL DE ENTRADA]]&gt;0,0.15,0)</f>
        <v>0.15</v>
      </c>
      <c r="K110" s="1">
        <f>ROUND(F110+(F110*TabelaPrincipal[[#This Row],[PERCENTUAL MÍNIMO]]), 2)</f>
        <v>1.6</v>
      </c>
      <c r="L110" s="24">
        <v>1.6</v>
      </c>
      <c r="M110" s="25">
        <v>4</v>
      </c>
      <c r="N110" s="23">
        <f>TabelaPrincipal[[#This Row],[LANCE ATUAL]]*TabelaPrincipal[[#This Row],[QTD]]</f>
        <v>16000</v>
      </c>
    </row>
    <row r="111" spans="1:14" ht="15" customHeight="1" x14ac:dyDescent="0.25">
      <c r="A111" s="20">
        <v>119</v>
      </c>
      <c r="B111" s="21" t="str">
        <f>VLOOKUP(TabelaPrincipal[[#This Row],[ITEM]],TabelaModelo,2,FALSE)</f>
        <v>OMEPRAZOL 20MG</v>
      </c>
      <c r="C111" s="22" t="s">
        <v>163</v>
      </c>
      <c r="D111" s="22">
        <f>VLOOKUP(TabelaPrincipal[[#This Row],[ITEM]],TabelaModelo,3,FALSE)</f>
        <v>90000</v>
      </c>
      <c r="E111" s="22" t="s">
        <v>164</v>
      </c>
      <c r="F111" s="23">
        <v>0.11</v>
      </c>
      <c r="G11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1" s="1">
        <f>ROUND(F111+(F111*TabelaPrincipal[[#This Row],[PERCENTUAL DE ENTRADA]]), 2)</f>
        <v>0.15</v>
      </c>
      <c r="I111" s="2">
        <f t="shared" si="1"/>
        <v>13500</v>
      </c>
      <c r="J111" s="5">
        <f>IF(TabelaPrincipal[[#This Row],[PERCENTUAL DE ENTRADA]]&gt;0,0.15,0)</f>
        <v>0.15</v>
      </c>
      <c r="K111" s="1">
        <f>ROUND(F111+(F111*TabelaPrincipal[[#This Row],[PERCENTUAL MÍNIMO]]), 2)</f>
        <v>0.13</v>
      </c>
      <c r="L111" s="24">
        <v>0.15</v>
      </c>
      <c r="M111" s="25"/>
      <c r="N111" s="23">
        <f>TabelaPrincipal[[#This Row],[LANCE ATUAL]]*TabelaPrincipal[[#This Row],[QTD]]</f>
        <v>13500</v>
      </c>
    </row>
    <row r="112" spans="1:14" ht="15" customHeight="1" x14ac:dyDescent="0.25">
      <c r="A112" s="20">
        <v>120</v>
      </c>
      <c r="B112" s="21" t="str">
        <f>VLOOKUP(TabelaPrincipal[[#This Row],[ITEM]],TabelaModelo,2,FALSE)</f>
        <v>PARACETAMOL 200 MG/ML SOLUCAO ORAL</v>
      </c>
      <c r="C112" s="22" t="s">
        <v>169</v>
      </c>
      <c r="D112" s="22">
        <f>VLOOKUP(TabelaPrincipal[[#This Row],[ITEM]],TabelaModelo,3,FALSE)</f>
        <v>200</v>
      </c>
      <c r="E112" s="22" t="s">
        <v>164</v>
      </c>
      <c r="F112" s="23">
        <v>2.7</v>
      </c>
      <c r="G11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2" s="1">
        <f>ROUND(F112+(F112*TabelaPrincipal[[#This Row],[PERCENTUAL DE ENTRADA]]), 2)</f>
        <v>3.78</v>
      </c>
      <c r="I112" s="2">
        <f t="shared" si="1"/>
        <v>756</v>
      </c>
      <c r="J112" s="5">
        <f>IF(TabelaPrincipal[[#This Row],[PERCENTUAL DE ENTRADA]]&gt;0,0.15,0)</f>
        <v>0.15</v>
      </c>
      <c r="K112" s="1">
        <f>ROUND(F112+(F112*TabelaPrincipal[[#This Row],[PERCENTUAL MÍNIMO]]), 2)</f>
        <v>3.11</v>
      </c>
      <c r="L112" s="24">
        <v>3.78</v>
      </c>
      <c r="M112" s="25"/>
      <c r="N112" s="23">
        <f>TabelaPrincipal[[#This Row],[LANCE ATUAL]]*TabelaPrincipal[[#This Row],[QTD]]</f>
        <v>756</v>
      </c>
    </row>
    <row r="113" spans="1:14" ht="15" customHeight="1" x14ac:dyDescent="0.25">
      <c r="A113" s="20">
        <v>121</v>
      </c>
      <c r="B113" s="21" t="str">
        <f>VLOOKUP(TabelaPrincipal[[#This Row],[ITEM]],TabelaModelo,2,FALSE)</f>
        <v>PARACETAMOL 500 MG COMPRIMIDO</v>
      </c>
      <c r="C113" s="22" t="s">
        <v>163</v>
      </c>
      <c r="D113" s="22">
        <f>VLOOKUP(TabelaPrincipal[[#This Row],[ITEM]],TabelaModelo,3,FALSE)</f>
        <v>20000</v>
      </c>
      <c r="E113" s="22" t="s">
        <v>174</v>
      </c>
      <c r="F113" s="23">
        <v>0.2</v>
      </c>
      <c r="G11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3" s="1">
        <f>ROUND(F113+(F113*TabelaPrincipal[[#This Row],[PERCENTUAL DE ENTRADA]]), 2)</f>
        <v>0.28000000000000003</v>
      </c>
      <c r="I113" s="2">
        <f t="shared" si="1"/>
        <v>5600.0000000000009</v>
      </c>
      <c r="J113" s="5">
        <f>IF(TabelaPrincipal[[#This Row],[PERCENTUAL DE ENTRADA]]&gt;0,0.15,0)</f>
        <v>0.15</v>
      </c>
      <c r="K113" s="1">
        <f>ROUND(F113+(F113*TabelaPrincipal[[#This Row],[PERCENTUAL MÍNIMO]]), 2)</f>
        <v>0.23</v>
      </c>
      <c r="L113" s="24">
        <v>0.28000000000000003</v>
      </c>
      <c r="M113" s="25"/>
      <c r="N113" s="23">
        <f>TabelaPrincipal[[#This Row],[LANCE ATUAL]]*TabelaPrincipal[[#This Row],[QTD]]</f>
        <v>5600.0000000000009</v>
      </c>
    </row>
    <row r="114" spans="1:14" ht="15" customHeight="1" x14ac:dyDescent="0.25">
      <c r="A114" s="20">
        <v>122</v>
      </c>
      <c r="B114" s="21" t="str">
        <f>VLOOKUP(TabelaPrincipal[[#This Row],[ITEM]],TabelaModelo,2,FALSE)</f>
        <v>PREDNISONA 20 MG COMPRIMIDO</v>
      </c>
      <c r="C114" s="22" t="s">
        <v>163</v>
      </c>
      <c r="D114" s="22">
        <f>VLOOKUP(TabelaPrincipal[[#This Row],[ITEM]],TabelaModelo,3,FALSE)</f>
        <v>15000</v>
      </c>
      <c r="E114" s="22" t="s">
        <v>196</v>
      </c>
      <c r="F114" s="23">
        <v>0.35</v>
      </c>
      <c r="G11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4" s="1">
        <f>ROUND(F114+(F114*TabelaPrincipal[[#This Row],[PERCENTUAL DE ENTRADA]]), 2)</f>
        <v>0.49</v>
      </c>
      <c r="I114" s="2">
        <f t="shared" si="1"/>
        <v>7350</v>
      </c>
      <c r="J114" s="5">
        <f>IF(TabelaPrincipal[[#This Row],[PERCENTUAL DE ENTRADA]]&gt;0,0.15,0)</f>
        <v>0.15</v>
      </c>
      <c r="K114" s="1">
        <f>ROUND(F114+(F114*TabelaPrincipal[[#This Row],[PERCENTUAL MÍNIMO]]), 2)</f>
        <v>0.4</v>
      </c>
      <c r="L114" s="24">
        <v>0.4</v>
      </c>
      <c r="M114" s="25"/>
      <c r="N114" s="23">
        <f>TabelaPrincipal[[#This Row],[LANCE ATUAL]]*TabelaPrincipal[[#This Row],[QTD]]</f>
        <v>6000</v>
      </c>
    </row>
    <row r="115" spans="1:14" ht="15" customHeight="1" x14ac:dyDescent="0.25">
      <c r="A115" s="20">
        <v>123</v>
      </c>
      <c r="B115" s="21" t="str">
        <f>VLOOKUP(TabelaPrincipal[[#This Row],[ITEM]],TabelaModelo,2,FALSE)</f>
        <v>PREDNISONA 5 MG COMPRIMIDO</v>
      </c>
      <c r="C115" s="22" t="s">
        <v>163</v>
      </c>
      <c r="D115" s="22">
        <f>VLOOKUP(TabelaPrincipal[[#This Row],[ITEM]],TabelaModelo,3,FALSE)</f>
        <v>15000</v>
      </c>
      <c r="E115" s="22" t="s">
        <v>177</v>
      </c>
      <c r="F115" s="23">
        <v>0.22</v>
      </c>
      <c r="G11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5" s="1">
        <f>ROUND(F115+(F115*TabelaPrincipal[[#This Row],[PERCENTUAL DE ENTRADA]]), 2)</f>
        <v>0.31</v>
      </c>
      <c r="I115" s="2">
        <f t="shared" si="1"/>
        <v>4650</v>
      </c>
      <c r="J115" s="5">
        <f>IF(TabelaPrincipal[[#This Row],[PERCENTUAL DE ENTRADA]]&gt;0,0.15,0)</f>
        <v>0.15</v>
      </c>
      <c r="K115" s="1">
        <f>ROUND(F115+(F115*TabelaPrincipal[[#This Row],[PERCENTUAL MÍNIMO]]), 2)</f>
        <v>0.25</v>
      </c>
      <c r="L115" s="24">
        <v>0.26</v>
      </c>
      <c r="M115" s="25"/>
      <c r="N115" s="23">
        <f>TabelaPrincipal[[#This Row],[LANCE ATUAL]]*TabelaPrincipal[[#This Row],[QTD]]</f>
        <v>3900</v>
      </c>
    </row>
    <row r="116" spans="1:14" ht="15" customHeight="1" x14ac:dyDescent="0.25">
      <c r="A116" s="20">
        <v>124</v>
      </c>
      <c r="B116" s="21" t="str">
        <f>VLOOKUP(TabelaPrincipal[[#This Row],[ITEM]],TabelaModelo,2,FALSE)</f>
        <v>LEVODORA + CLORIDRATO DE BENZERAZIDA 100/25 MG BD</v>
      </c>
      <c r="C116" s="22" t="s">
        <v>163</v>
      </c>
      <c r="D116" s="22">
        <f>VLOOKUP(TabelaPrincipal[[#This Row],[ITEM]],TabelaModelo,3,FALSE)</f>
        <v>30000</v>
      </c>
      <c r="E116" s="22" t="s">
        <v>197</v>
      </c>
      <c r="F116" s="23">
        <v>1.82</v>
      </c>
      <c r="G11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6" s="1">
        <f>ROUND(F116+(F116*TabelaPrincipal[[#This Row],[PERCENTUAL DE ENTRADA]]), 2)</f>
        <v>2.5499999999999998</v>
      </c>
      <c r="I116" s="2">
        <f t="shared" si="1"/>
        <v>76500</v>
      </c>
      <c r="J116" s="5">
        <f>IF(TabelaPrincipal[[#This Row],[PERCENTUAL DE ENTRADA]]&gt;0,0.15,0)</f>
        <v>0.15</v>
      </c>
      <c r="K116" s="1">
        <f>ROUND(F116+(F116*TabelaPrincipal[[#This Row],[PERCENTUAL MÍNIMO]]), 2)</f>
        <v>2.09</v>
      </c>
      <c r="L116" s="24">
        <v>2.09</v>
      </c>
      <c r="M116" s="25">
        <v>5</v>
      </c>
      <c r="N116" s="23">
        <f>TabelaPrincipal[[#This Row],[LANCE ATUAL]]*TabelaPrincipal[[#This Row],[QTD]]</f>
        <v>62699.999999999993</v>
      </c>
    </row>
    <row r="117" spans="1:14" ht="15" customHeight="1" x14ac:dyDescent="0.25">
      <c r="A117" s="20">
        <v>125</v>
      </c>
      <c r="B117" s="21" t="str">
        <f>VLOOKUP(TabelaPrincipal[[#This Row],[ITEM]],TabelaModelo,2,FALSE)</f>
        <v>LEVODORA + CORIDRATO DE BENZERAZIDA 200MG/50 MG</v>
      </c>
      <c r="C117" s="22" t="s">
        <v>163</v>
      </c>
      <c r="D117" s="22">
        <f>VLOOKUP(TabelaPrincipal[[#This Row],[ITEM]],TabelaModelo,3,FALSE)</f>
        <v>18000</v>
      </c>
      <c r="E117" s="22" t="s">
        <v>197</v>
      </c>
      <c r="F117" s="23">
        <v>3.63</v>
      </c>
      <c r="G11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7" s="1">
        <f>ROUND(F117+(F117*TabelaPrincipal[[#This Row],[PERCENTUAL DE ENTRADA]]), 2)</f>
        <v>5.08</v>
      </c>
      <c r="I117" s="2">
        <f t="shared" si="1"/>
        <v>91440</v>
      </c>
      <c r="J117" s="5">
        <f>IF(TabelaPrincipal[[#This Row],[PERCENTUAL DE ENTRADA]]&gt;0,0.15,0)</f>
        <v>0.15</v>
      </c>
      <c r="K117" s="1">
        <f>ROUND(F117+(F117*TabelaPrincipal[[#This Row],[PERCENTUAL MÍNIMO]]), 2)</f>
        <v>4.17</v>
      </c>
      <c r="L117" s="24">
        <v>4.17</v>
      </c>
      <c r="M117" s="25"/>
      <c r="N117" s="23">
        <f>TabelaPrincipal[[#This Row],[LANCE ATUAL]]*TabelaPrincipal[[#This Row],[QTD]]</f>
        <v>75060</v>
      </c>
    </row>
    <row r="118" spans="1:14" ht="15" customHeight="1" x14ac:dyDescent="0.25">
      <c r="A118" s="20">
        <v>127</v>
      </c>
      <c r="B118" s="21" t="str">
        <f>VLOOKUP(TabelaPrincipal[[#This Row],[ITEM]],TabelaModelo,2,FALSE)</f>
        <v>SINVASTATINA 10MG</v>
      </c>
      <c r="C118" s="22" t="s">
        <v>163</v>
      </c>
      <c r="D118" s="22">
        <f>VLOOKUP(TabelaPrincipal[[#This Row],[ITEM]],TabelaModelo,3,FALSE)</f>
        <v>15000</v>
      </c>
      <c r="E118" s="22" t="s">
        <v>173</v>
      </c>
      <c r="F118" s="23">
        <v>0.13</v>
      </c>
      <c r="G11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8" s="1">
        <f>ROUND(F118+(F118*TabelaPrincipal[[#This Row],[PERCENTUAL DE ENTRADA]]), 2)</f>
        <v>0.18</v>
      </c>
      <c r="I118" s="2">
        <f t="shared" si="1"/>
        <v>2700</v>
      </c>
      <c r="J118" s="5">
        <f>IF(TabelaPrincipal[[#This Row],[PERCENTUAL DE ENTRADA]]&gt;0,0.15,0)</f>
        <v>0.15</v>
      </c>
      <c r="K118" s="1">
        <f>ROUND(F118+(F118*TabelaPrincipal[[#This Row],[PERCENTUAL MÍNIMO]]), 2)</f>
        <v>0.15</v>
      </c>
      <c r="L118" s="24">
        <v>0.18</v>
      </c>
      <c r="M118" s="25"/>
      <c r="N118" s="23">
        <f>TabelaPrincipal[[#This Row],[LANCE ATUAL]]*TabelaPrincipal[[#This Row],[QTD]]</f>
        <v>2700</v>
      </c>
    </row>
    <row r="119" spans="1:14" ht="15" customHeight="1" x14ac:dyDescent="0.25">
      <c r="A119" s="20">
        <v>128</v>
      </c>
      <c r="B119" s="21" t="str">
        <f>VLOOKUP(TabelaPrincipal[[#This Row],[ITEM]],TabelaModelo,2,FALSE)</f>
        <v>SINVASTATINA 20 MG</v>
      </c>
      <c r="C119" s="22" t="s">
        <v>163</v>
      </c>
      <c r="D119" s="22">
        <f>VLOOKUP(TabelaPrincipal[[#This Row],[ITEM]],TabelaModelo,3,FALSE)</f>
        <v>50000</v>
      </c>
      <c r="E119" s="22" t="s">
        <v>177</v>
      </c>
      <c r="F119" s="23">
        <v>0.14000000000000001</v>
      </c>
      <c r="G11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9" s="1">
        <f>ROUND(F119+(F119*TabelaPrincipal[[#This Row],[PERCENTUAL DE ENTRADA]]), 2)</f>
        <v>0.2</v>
      </c>
      <c r="I119" s="2">
        <f t="shared" si="1"/>
        <v>10000</v>
      </c>
      <c r="J119" s="5">
        <f>IF(TabelaPrincipal[[#This Row],[PERCENTUAL DE ENTRADA]]&gt;0,0.15,0)</f>
        <v>0.15</v>
      </c>
      <c r="K119" s="1">
        <f>ROUND(F119+(F119*TabelaPrincipal[[#This Row],[PERCENTUAL MÍNIMO]]), 2)</f>
        <v>0.16</v>
      </c>
      <c r="L119" s="24">
        <v>0.2</v>
      </c>
      <c r="M119" s="25"/>
      <c r="N119" s="23">
        <f>TabelaPrincipal[[#This Row],[LANCE ATUAL]]*TabelaPrincipal[[#This Row],[QTD]]</f>
        <v>10000</v>
      </c>
    </row>
    <row r="120" spans="1:14" ht="15" customHeight="1" x14ac:dyDescent="0.25">
      <c r="A120" s="20">
        <v>129</v>
      </c>
      <c r="B120" s="21" t="str">
        <f>VLOOKUP(TabelaPrincipal[[#This Row],[ITEM]],TabelaModelo,2,FALSE)</f>
        <v>SINVASTATINA 40 MG</v>
      </c>
      <c r="C120" s="22" t="s">
        <v>163</v>
      </c>
      <c r="D120" s="22">
        <f>VLOOKUP(TabelaPrincipal[[#This Row],[ITEM]],TabelaModelo,3,FALSE)</f>
        <v>70000</v>
      </c>
      <c r="E120" s="22" t="s">
        <v>175</v>
      </c>
      <c r="F120" s="23">
        <v>0.2</v>
      </c>
      <c r="G12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0" s="1">
        <f>ROUND(F120+(F120*TabelaPrincipal[[#This Row],[PERCENTUAL DE ENTRADA]]), 2)</f>
        <v>0.28000000000000003</v>
      </c>
      <c r="I120" s="2">
        <f t="shared" si="1"/>
        <v>19600.000000000004</v>
      </c>
      <c r="J120" s="5">
        <f>IF(TabelaPrincipal[[#This Row],[PERCENTUAL DE ENTRADA]]&gt;0,0.15,0)</f>
        <v>0.15</v>
      </c>
      <c r="K120" s="1">
        <f>ROUND(F120+(F120*TabelaPrincipal[[#This Row],[PERCENTUAL MÍNIMO]]), 2)</f>
        <v>0.23</v>
      </c>
      <c r="L120" s="24">
        <v>0.28000000000000003</v>
      </c>
      <c r="M120" s="25"/>
      <c r="N120" s="23">
        <f>TabelaPrincipal[[#This Row],[LANCE ATUAL]]*TabelaPrincipal[[#This Row],[QTD]]</f>
        <v>19600.000000000004</v>
      </c>
    </row>
    <row r="121" spans="1:14" ht="15" customHeight="1" x14ac:dyDescent="0.25">
      <c r="A121" s="20">
        <v>130</v>
      </c>
      <c r="B121" s="21" t="str">
        <f>VLOOKUP(TabelaPrincipal[[#This Row],[ITEM]],TabelaModelo,2,FALSE)</f>
        <v>SULFADIAZINA DE PRATA 10 MG/G CREME</v>
      </c>
      <c r="C121" s="22" t="s">
        <v>166</v>
      </c>
      <c r="D121" s="22">
        <f>VLOOKUP(TabelaPrincipal[[#This Row],[ITEM]],TabelaModelo,3,FALSE)</f>
        <v>400</v>
      </c>
      <c r="E121" s="22" t="s">
        <v>178</v>
      </c>
      <c r="F121" s="23">
        <v>10.5</v>
      </c>
      <c r="G12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1" s="1">
        <f>ROUND(F121+(F121*TabelaPrincipal[[#This Row],[PERCENTUAL DE ENTRADA]]), 2)</f>
        <v>14.7</v>
      </c>
      <c r="I121" s="2">
        <f t="shared" si="1"/>
        <v>5880</v>
      </c>
      <c r="J121" s="5">
        <f>IF(TabelaPrincipal[[#This Row],[PERCENTUAL DE ENTRADA]]&gt;0,0.15,0)</f>
        <v>0.15</v>
      </c>
      <c r="K121" s="1">
        <f>ROUND(F121+(F121*TabelaPrincipal[[#This Row],[PERCENTUAL MÍNIMO]]), 2)</f>
        <v>12.08</v>
      </c>
      <c r="L121" s="24">
        <v>12.08</v>
      </c>
      <c r="M121" s="25"/>
      <c r="N121" s="23">
        <f>TabelaPrincipal[[#This Row],[LANCE ATUAL]]*TabelaPrincipal[[#This Row],[QTD]]</f>
        <v>4832</v>
      </c>
    </row>
    <row r="122" spans="1:14" ht="15" customHeight="1" x14ac:dyDescent="0.25">
      <c r="A122" s="20">
        <v>131</v>
      </c>
      <c r="B122" s="21" t="str">
        <f>VLOOKUP(TabelaPrincipal[[#This Row],[ITEM]],TabelaModelo,2,FALSE)</f>
        <v>SULFAMETOXAZOL + TRIMETROPRIMA 40 + 8 MG/ML SUSPENSAO ORAL</v>
      </c>
      <c r="C122" s="22" t="s">
        <v>166</v>
      </c>
      <c r="D122" s="22">
        <f>VLOOKUP(TabelaPrincipal[[#This Row],[ITEM]],TabelaModelo,3,FALSE)</f>
        <v>150</v>
      </c>
      <c r="E122" s="22" t="s">
        <v>161</v>
      </c>
      <c r="F122" s="23">
        <v>6.4</v>
      </c>
      <c r="G122" s="5">
        <f>IF(_xlfn.ISFORMULA(TabelaPrincipal[[#This Row],[CUSTO + PERCENTUAL DE ENTRADA]]),0.4,(TabelaPrincipal[[#This Row],[CUSTO + PERCENTUAL DE ENTRADA]]-TabelaPrincipal[[#This Row],[VALOR DE CUSTO]])/TabelaPrincipal[[#This Row],[VALOR DE CUSTO]])</f>
        <v>4.8468749999999998</v>
      </c>
      <c r="H122" s="1">
        <v>37.42</v>
      </c>
      <c r="I122" s="2">
        <f t="shared" si="1"/>
        <v>5613</v>
      </c>
      <c r="J122" s="5">
        <f>IF(TabelaPrincipal[[#This Row],[PERCENTUAL DE ENTRADA]]&gt;0,0.15,0)</f>
        <v>0.15</v>
      </c>
      <c r="K122" s="1">
        <f>ROUND(F122+(F122*TabelaPrincipal[[#This Row],[PERCENTUAL MÍNIMO]]), 2)</f>
        <v>7.36</v>
      </c>
      <c r="L122" s="24">
        <v>7.36</v>
      </c>
      <c r="M122" s="25">
        <v>5</v>
      </c>
      <c r="N122" s="23">
        <f>TabelaPrincipal[[#This Row],[LANCE ATUAL]]*TabelaPrincipal[[#This Row],[QTD]]</f>
        <v>1104</v>
      </c>
    </row>
    <row r="123" spans="1:14" ht="15" customHeight="1" x14ac:dyDescent="0.25">
      <c r="A123" s="20">
        <v>132</v>
      </c>
      <c r="B123" s="21" t="str">
        <f>VLOOKUP(TabelaPrincipal[[#This Row],[ITEM]],TabelaModelo,2,FALSE)</f>
        <v>SULFAMETOXAZOL + TRIMETROPRIMA 400 + 80 MG COMPRIMIDO</v>
      </c>
      <c r="C123" s="22" t="s">
        <v>163</v>
      </c>
      <c r="D123" s="22">
        <f>VLOOKUP(TabelaPrincipal[[#This Row],[ITEM]],TabelaModelo,3,FALSE)</f>
        <v>5000</v>
      </c>
      <c r="E123" s="22" t="s">
        <v>172</v>
      </c>
      <c r="F123" s="23">
        <v>0.3</v>
      </c>
      <c r="G12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3" s="1">
        <f>ROUND(F123+(F123*TabelaPrincipal[[#This Row],[PERCENTUAL DE ENTRADA]]), 2)</f>
        <v>0.42</v>
      </c>
      <c r="I123" s="2">
        <f t="shared" si="1"/>
        <v>2100</v>
      </c>
      <c r="J123" s="5">
        <f>IF(TabelaPrincipal[[#This Row],[PERCENTUAL DE ENTRADA]]&gt;0,0.15,0)</f>
        <v>0.15</v>
      </c>
      <c r="K123" s="1">
        <f>ROUND(F123+(F123*TabelaPrincipal[[#This Row],[PERCENTUAL MÍNIMO]]), 2)</f>
        <v>0.35</v>
      </c>
      <c r="L123" s="24">
        <v>0.37</v>
      </c>
      <c r="M123" s="25"/>
      <c r="N123" s="23">
        <f>TabelaPrincipal[[#This Row],[LANCE ATUAL]]*TabelaPrincipal[[#This Row],[QTD]]</f>
        <v>1850</v>
      </c>
    </row>
    <row r="124" spans="1:14" ht="15" customHeight="1" x14ac:dyDescent="0.25">
      <c r="A124" s="20">
        <v>134</v>
      </c>
      <c r="B124" s="21" t="str">
        <f>VLOOKUP(TabelaPrincipal[[#This Row],[ITEM]],TabelaModelo,2,FALSE)</f>
        <v>SULFATO DE SALBUTAMOL 100MCG AEROSOL ORAL</v>
      </c>
      <c r="C124" s="22" t="s">
        <v>166</v>
      </c>
      <c r="D124" s="22">
        <f>VLOOKUP(TabelaPrincipal[[#This Row],[ITEM]],TabelaModelo,3,FALSE)</f>
        <v>700</v>
      </c>
      <c r="E124" s="22" t="s">
        <v>198</v>
      </c>
      <c r="F124" s="23">
        <v>19.7</v>
      </c>
      <c r="G12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4" s="1">
        <f>ROUND(F124+(F124*TabelaPrincipal[[#This Row],[PERCENTUAL DE ENTRADA]]), 2)</f>
        <v>27.58</v>
      </c>
      <c r="I124" s="2">
        <f t="shared" si="1"/>
        <v>19306</v>
      </c>
      <c r="J124" s="5">
        <f>IF(TabelaPrincipal[[#This Row],[PERCENTUAL DE ENTRADA]]&gt;0,0.15,0)</f>
        <v>0.15</v>
      </c>
      <c r="K124" s="1">
        <f>ROUND(F124+(F124*TabelaPrincipal[[#This Row],[PERCENTUAL MÍNIMO]]), 2)</f>
        <v>22.66</v>
      </c>
      <c r="L124" s="24">
        <v>22.66</v>
      </c>
      <c r="M124" s="25">
        <v>5</v>
      </c>
      <c r="N124" s="23">
        <f>TabelaPrincipal[[#This Row],[LANCE ATUAL]]*TabelaPrincipal[[#This Row],[QTD]]</f>
        <v>15862</v>
      </c>
    </row>
    <row r="125" spans="1:14" ht="15" customHeight="1" x14ac:dyDescent="0.25">
      <c r="A125" s="20">
        <v>135</v>
      </c>
      <c r="B125" s="21" t="str">
        <f>VLOOKUP(TabelaPrincipal[[#This Row],[ITEM]],TabelaModelo,2,FALSE)</f>
        <v>SULFATO FERROSO 125 MG/ML GOTAS</v>
      </c>
      <c r="C125" s="22" t="s">
        <v>169</v>
      </c>
      <c r="D125" s="22">
        <f>VLOOKUP(TabelaPrincipal[[#This Row],[ITEM]],TabelaModelo,3,FALSE)</f>
        <v>250</v>
      </c>
      <c r="E125" s="22" t="s">
        <v>199</v>
      </c>
      <c r="F125" s="23">
        <v>4</v>
      </c>
      <c r="G12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5" s="1">
        <f>ROUND(F125+(F125*TabelaPrincipal[[#This Row],[PERCENTUAL DE ENTRADA]]), 2)</f>
        <v>5.6</v>
      </c>
      <c r="I125" s="2">
        <f t="shared" si="1"/>
        <v>1400</v>
      </c>
      <c r="J125" s="5">
        <f>IF(TabelaPrincipal[[#This Row],[PERCENTUAL DE ENTRADA]]&gt;0,0.15,0)</f>
        <v>0.15</v>
      </c>
      <c r="K125" s="1">
        <f>ROUND(F125+(F125*TabelaPrincipal[[#This Row],[PERCENTUAL MÍNIMO]]), 2)</f>
        <v>4.5999999999999996</v>
      </c>
      <c r="L125" s="24">
        <v>4.5999999999999996</v>
      </c>
      <c r="M125" s="25">
        <v>5</v>
      </c>
      <c r="N125" s="23">
        <f>TabelaPrincipal[[#This Row],[LANCE ATUAL]]*TabelaPrincipal[[#This Row],[QTD]]</f>
        <v>1150</v>
      </c>
    </row>
    <row r="126" spans="1:14" ht="15" customHeight="1" x14ac:dyDescent="0.25">
      <c r="A126" s="20">
        <v>137</v>
      </c>
      <c r="B126" s="21" t="str">
        <f>VLOOKUP(TabelaPrincipal[[#This Row],[ITEM]],TabelaModelo,2,FALSE)</f>
        <v xml:space="preserve">FITA PARA TESTES DE GLICEMIA COMPATIVEL PARA O APARELHO ACCU-CHEK ACTIVE </v>
      </c>
      <c r="C126" s="22" t="s">
        <v>166</v>
      </c>
      <c r="D126" s="22">
        <f>VLOOKUP(TabelaPrincipal[[#This Row],[ITEM]],TabelaModelo,3,FALSE)</f>
        <v>100000</v>
      </c>
      <c r="E126" s="22" t="s">
        <v>190</v>
      </c>
      <c r="F126" s="23">
        <v>0.75</v>
      </c>
      <c r="G12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6" s="1">
        <f>ROUND(F126+(F126*TabelaPrincipal[[#This Row],[PERCENTUAL DE ENTRADA]]), 2)</f>
        <v>1.05</v>
      </c>
      <c r="I126" s="2">
        <f t="shared" si="1"/>
        <v>105000</v>
      </c>
      <c r="J126" s="5">
        <f>IF(TabelaPrincipal[[#This Row],[PERCENTUAL DE ENTRADA]]&gt;0,0.15,0)</f>
        <v>0.15</v>
      </c>
      <c r="K126" s="1">
        <f>ROUND(F126+(F126*TabelaPrincipal[[#This Row],[PERCENTUAL MÍNIMO]]), 2)</f>
        <v>0.86</v>
      </c>
      <c r="L126" s="24">
        <v>0.86</v>
      </c>
      <c r="M126" s="25">
        <v>3</v>
      </c>
      <c r="N126" s="23">
        <f>TabelaPrincipal[[#This Row],[LANCE ATUAL]]*TabelaPrincipal[[#This Row],[QTD]]</f>
        <v>86000</v>
      </c>
    </row>
    <row r="127" spans="1:14" ht="15" customHeight="1" x14ac:dyDescent="0.25">
      <c r="A127" s="20">
        <v>138</v>
      </c>
      <c r="B127" s="21" t="str">
        <f>VLOOKUP(TabelaPrincipal[[#This Row],[ITEM]],TabelaModelo,2,FALSE)</f>
        <v>VARFARINA SODICA 5 MG COMPRIMIDO</v>
      </c>
      <c r="C127" s="22" t="s">
        <v>163</v>
      </c>
      <c r="D127" s="22">
        <f>VLOOKUP(TabelaPrincipal[[#This Row],[ITEM]],TabelaModelo,3,FALSE)</f>
        <v>12000</v>
      </c>
      <c r="E127" s="22" t="s">
        <v>200</v>
      </c>
      <c r="F127" s="23">
        <v>0.16</v>
      </c>
      <c r="G12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7" s="1">
        <f>ROUND(F127+(F127*TabelaPrincipal[[#This Row],[PERCENTUAL DE ENTRADA]]), 2)</f>
        <v>0.22</v>
      </c>
      <c r="I127" s="2">
        <f t="shared" si="1"/>
        <v>2640</v>
      </c>
      <c r="J127" s="5">
        <f>IF(TabelaPrincipal[[#This Row],[PERCENTUAL DE ENTRADA]]&gt;0,0.15,0)</f>
        <v>0.15</v>
      </c>
      <c r="K127" s="1">
        <f>ROUND(F127+(F127*TabelaPrincipal[[#This Row],[PERCENTUAL MÍNIMO]]), 2)</f>
        <v>0.18</v>
      </c>
      <c r="L127" s="24">
        <v>0.22</v>
      </c>
      <c r="M127" s="25">
        <v>4</v>
      </c>
      <c r="N127" s="23">
        <f>TabelaPrincipal[[#This Row],[LANCE ATUAL]]*TabelaPrincipal[[#This Row],[QTD]]</f>
        <v>2640</v>
      </c>
    </row>
  </sheetData>
  <conditionalFormatting sqref="L2:L127">
    <cfRule type="expression" dxfId="48" priority="1">
      <formula>$L2&lt;$K2</formula>
    </cfRule>
  </conditionalFormatting>
  <conditionalFormatting sqref="A2:N127">
    <cfRule type="expression" dxfId="47" priority="2">
      <formula>$M2=1</formula>
    </cfRule>
  </conditionalFormatting>
  <conditionalFormatting sqref="L2:L127">
    <cfRule type="expression" dxfId="46" priority="5">
      <formula>$G2=0</formula>
    </cfRule>
  </conditionalFormatting>
  <conditionalFormatting sqref="G2:G127">
    <cfRule type="expression" dxfId="45" priority="4">
      <formula>$G2&gt;0.4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9727-5DA9-40D4-8223-AE69951C4CB4}">
  <dimension ref="A1:H128"/>
  <sheetViews>
    <sheetView topLeftCell="A107" workbookViewId="0">
      <selection activeCell="H128" sqref="H128"/>
    </sheetView>
  </sheetViews>
  <sheetFormatPr defaultRowHeight="15" x14ac:dyDescent="0.25"/>
  <cols>
    <col min="1" max="1" width="4.85546875" bestFit="1" customWidth="1"/>
    <col min="2" max="2" width="50.7109375" customWidth="1"/>
    <col min="3" max="3" width="3.5703125" bestFit="1" customWidth="1"/>
    <col min="4" max="4" width="7" bestFit="1" customWidth="1"/>
    <col min="5" max="5" width="15.28515625" bestFit="1" customWidth="1"/>
    <col min="6" max="6" width="10" bestFit="1" customWidth="1"/>
    <col min="7" max="7" width="15" bestFit="1" customWidth="1"/>
    <col min="8" max="8" width="72.7109375" bestFit="1" customWidth="1"/>
  </cols>
  <sheetData>
    <row r="1" spans="1:8" ht="25.5" x14ac:dyDescent="0.25">
      <c r="A1" s="6" t="s">
        <v>0</v>
      </c>
      <c r="B1" s="7" t="s">
        <v>5</v>
      </c>
      <c r="C1" s="7" t="s">
        <v>2</v>
      </c>
      <c r="D1" s="7" t="s">
        <v>1</v>
      </c>
      <c r="E1" s="7" t="s">
        <v>6</v>
      </c>
      <c r="F1" s="17" t="s">
        <v>8</v>
      </c>
      <c r="G1" s="8" t="s">
        <v>3</v>
      </c>
      <c r="H1" s="7" t="s">
        <v>9</v>
      </c>
    </row>
    <row r="2" spans="1:8" x14ac:dyDescent="0.25">
      <c r="A2" s="9">
        <f>TabelaPrincipal[[#This Row],[ITEM]]</f>
        <v>1</v>
      </c>
      <c r="B2" s="10" t="str">
        <f>TabelaPrincipal[[#This Row],[DESCRIÇÃO]]</f>
        <v>ACETATO DE DEXAMETASONA CREME 1MG//G TUBO 10 G</v>
      </c>
      <c r="C2" s="11" t="str">
        <f>TabelaPrincipal[[#This Row],[UND]]</f>
        <v>TB</v>
      </c>
      <c r="D2" s="10">
        <f>TabelaPrincipal[[#This Row],[QTD]]</f>
        <v>700</v>
      </c>
      <c r="E2" s="10" t="str">
        <f>TabelaPrincipal[[#This Row],[MARCA]]</f>
        <v>Osório de Moraes</v>
      </c>
      <c r="F2" s="12">
        <f>TabelaPrincipal[[#This Row],[CUSTO + PERCENTUAL DE ENTRADA]]</f>
        <v>4.54</v>
      </c>
      <c r="G2" s="13">
        <f>TabelaPrincipal[[#This Row],[VALOR TOTAL]]</f>
        <v>3178</v>
      </c>
      <c r="H2" s="11"/>
    </row>
    <row r="3" spans="1:8" x14ac:dyDescent="0.25">
      <c r="A3" s="9">
        <f>TabelaPrincipal[[#This Row],[ITEM]]</f>
        <v>2</v>
      </c>
      <c r="B3" s="10" t="str">
        <f>TabelaPrincipal[[#This Row],[DESCRIÇÃO]]</f>
        <v>ACETATO DE MEDROXIPROGESTERONA SUSPENSAO INJETAVEL 150 MG/ML</v>
      </c>
      <c r="C3" s="11" t="str">
        <f>TabelaPrincipal[[#This Row],[UND]]</f>
        <v>AM</v>
      </c>
      <c r="D3" s="10">
        <f>TabelaPrincipal[[#This Row],[QTD]]</f>
        <v>100</v>
      </c>
      <c r="E3" s="10" t="str">
        <f>TabelaPrincipal[[#This Row],[MARCA]]</f>
        <v>EMS</v>
      </c>
      <c r="F3" s="12">
        <f>TabelaPrincipal[[#This Row],[CUSTO + PERCENTUAL DE ENTRADA]]</f>
        <v>47.82</v>
      </c>
      <c r="G3" s="13">
        <f>TabelaPrincipal[[#This Row],[VALOR TOTAL]]</f>
        <v>4782</v>
      </c>
      <c r="H3" s="11"/>
    </row>
    <row r="4" spans="1:8" x14ac:dyDescent="0.25">
      <c r="A4" s="9">
        <f>TabelaPrincipal[[#This Row],[ITEM]]</f>
        <v>3</v>
      </c>
      <c r="B4" s="10" t="str">
        <f>TabelaPrincipal[[#This Row],[DESCRIÇÃO]]</f>
        <v>ACIDO ACETILSALICILICO 100 MG COMPRIMIDO</v>
      </c>
      <c r="C4" s="11" t="str">
        <f>TabelaPrincipal[[#This Row],[UND]]</f>
        <v>CP</v>
      </c>
      <c r="D4" s="10">
        <f>TabelaPrincipal[[#This Row],[QTD]]</f>
        <v>62000</v>
      </c>
      <c r="E4" s="10" t="str">
        <f>TabelaPrincipal[[#This Row],[MARCA]]</f>
        <v>Brasterápica</v>
      </c>
      <c r="F4" s="12">
        <f>TabelaPrincipal[[#This Row],[CUSTO + PERCENTUAL DE ENTRADA]]</f>
        <v>0.08</v>
      </c>
      <c r="G4" s="13">
        <f>TabelaPrincipal[[#This Row],[VALOR TOTAL]]</f>
        <v>4960</v>
      </c>
      <c r="H4" s="11"/>
    </row>
    <row r="5" spans="1:8" x14ac:dyDescent="0.25">
      <c r="A5" s="9">
        <f>TabelaPrincipal[[#This Row],[ITEM]]</f>
        <v>4</v>
      </c>
      <c r="B5" s="10" t="str">
        <f>TabelaPrincipal[[#This Row],[DESCRIÇÃO]]</f>
        <v>ACIDO FOLICO 5MG</v>
      </c>
      <c r="C5" s="11" t="str">
        <f>TabelaPrincipal[[#This Row],[UND]]</f>
        <v>CP</v>
      </c>
      <c r="D5" s="10">
        <f>TabelaPrincipal[[#This Row],[QTD]]</f>
        <v>10000</v>
      </c>
      <c r="E5" s="10" t="str">
        <f>TabelaPrincipal[[#This Row],[MARCA]]</f>
        <v>Geolab</v>
      </c>
      <c r="F5" s="12">
        <f>TabelaPrincipal[[#This Row],[CUSTO + PERCENTUAL DE ENTRADA]]</f>
        <v>0.28000000000000003</v>
      </c>
      <c r="G5" s="13">
        <f>TabelaPrincipal[[#This Row],[VALOR TOTAL]]</f>
        <v>2800.0000000000005</v>
      </c>
      <c r="H5" s="11"/>
    </row>
    <row r="6" spans="1:8" x14ac:dyDescent="0.25">
      <c r="A6" s="9">
        <f>TabelaPrincipal[[#This Row],[ITEM]]</f>
        <v>5</v>
      </c>
      <c r="B6" s="10" t="str">
        <f>TabelaPrincipal[[#This Row],[DESCRIÇÃO]]</f>
        <v>ACIDO VALPROICO 250MG</v>
      </c>
      <c r="C6" s="11" t="str">
        <f>TabelaPrincipal[[#This Row],[UND]]</f>
        <v>CP</v>
      </c>
      <c r="D6" s="10">
        <f>TabelaPrincipal[[#This Row],[QTD]]</f>
        <v>30000</v>
      </c>
      <c r="E6" s="10" t="str">
        <f>TabelaPrincipal[[#This Row],[MARCA]]</f>
        <v>Biolab</v>
      </c>
      <c r="F6" s="12">
        <f>TabelaPrincipal[[#This Row],[CUSTO + PERCENTUAL DE ENTRADA]]</f>
        <v>0.88</v>
      </c>
      <c r="G6" s="13">
        <f>TabelaPrincipal[[#This Row],[VALOR TOTAL]]</f>
        <v>26400</v>
      </c>
      <c r="H6" s="11"/>
    </row>
    <row r="7" spans="1:8" x14ac:dyDescent="0.25">
      <c r="A7" s="9">
        <f>TabelaPrincipal[[#This Row],[ITEM]]</f>
        <v>6</v>
      </c>
      <c r="B7" s="10" t="str">
        <f>TabelaPrincipal[[#This Row],[DESCRIÇÃO]]</f>
        <v>ACIDO VALPROICO 500 MG</v>
      </c>
      <c r="C7" s="11" t="str">
        <f>TabelaPrincipal[[#This Row],[UND]]</f>
        <v>CP</v>
      </c>
      <c r="D7" s="10">
        <f>TabelaPrincipal[[#This Row],[QTD]]</f>
        <v>2800</v>
      </c>
      <c r="E7" s="10" t="str">
        <f>TabelaPrincipal[[#This Row],[MARCA]]</f>
        <v>Biolab</v>
      </c>
      <c r="F7" s="12">
        <f>TabelaPrincipal[[#This Row],[CUSTO + PERCENTUAL DE ENTRADA]]</f>
        <v>1.32</v>
      </c>
      <c r="G7" s="13">
        <f>TabelaPrincipal[[#This Row],[VALOR TOTAL]]</f>
        <v>3696</v>
      </c>
      <c r="H7" s="11"/>
    </row>
    <row r="8" spans="1:8" x14ac:dyDescent="0.25">
      <c r="A8" s="9">
        <f>TabelaPrincipal[[#This Row],[ITEM]]</f>
        <v>7</v>
      </c>
      <c r="B8" s="10" t="str">
        <f>TabelaPrincipal[[#This Row],[DESCRIÇÃO]]</f>
        <v>ALBENDAZOL 40 MG/ML SUSPENSAO ORAL   - FRASCO COM 10 ML  - FRASCO COM 10 ML</v>
      </c>
      <c r="C8" s="11" t="str">
        <f>TabelaPrincipal[[#This Row],[UND]]</f>
        <v>UN</v>
      </c>
      <c r="D8" s="10">
        <f>TabelaPrincipal[[#This Row],[QTD]]</f>
        <v>250</v>
      </c>
      <c r="E8" s="10" t="str">
        <f>TabelaPrincipal[[#This Row],[MARCA]]</f>
        <v>Geolab</v>
      </c>
      <c r="F8" s="12">
        <f>TabelaPrincipal[[#This Row],[CUSTO + PERCENTUAL DE ENTRADA]]</f>
        <v>4.83</v>
      </c>
      <c r="G8" s="13">
        <f>TabelaPrincipal[[#This Row],[VALOR TOTAL]]</f>
        <v>1207.5</v>
      </c>
      <c r="H8" s="11"/>
    </row>
    <row r="9" spans="1:8" x14ac:dyDescent="0.25">
      <c r="A9" s="9">
        <f>TabelaPrincipal[[#This Row],[ITEM]]</f>
        <v>8</v>
      </c>
      <c r="B9" s="10" t="str">
        <f>TabelaPrincipal[[#This Row],[DESCRIÇÃO]]</f>
        <v>ALBENDAZOL 400 MG COMPRIMIDO MASTIGAVEL</v>
      </c>
      <c r="C9" s="11" t="str">
        <f>TabelaPrincipal[[#This Row],[UND]]</f>
        <v>CP</v>
      </c>
      <c r="D9" s="10">
        <f>TabelaPrincipal[[#This Row],[QTD]]</f>
        <v>500</v>
      </c>
      <c r="E9" s="10" t="str">
        <f>TabelaPrincipal[[#This Row],[MARCA]]</f>
        <v>Geolab</v>
      </c>
      <c r="F9" s="12">
        <f>TabelaPrincipal[[#This Row],[CUSTO + PERCENTUAL DE ENTRADA]]</f>
        <v>4.92</v>
      </c>
      <c r="G9" s="13">
        <f>TabelaPrincipal[[#This Row],[VALOR TOTAL]]</f>
        <v>2460</v>
      </c>
      <c r="H9" s="11"/>
    </row>
    <row r="10" spans="1:8" x14ac:dyDescent="0.25">
      <c r="A10" s="9">
        <f>TabelaPrincipal[[#This Row],[ITEM]]</f>
        <v>9</v>
      </c>
      <c r="B10" s="10" t="str">
        <f>TabelaPrincipal[[#This Row],[DESCRIÇÃO]]</f>
        <v>ALENDRONATO SODIO 70 MG COMPRIMIDO</v>
      </c>
      <c r="C10" s="11" t="str">
        <f>TabelaPrincipal[[#This Row],[UND]]</f>
        <v>CP</v>
      </c>
      <c r="D10" s="10">
        <f>TabelaPrincipal[[#This Row],[QTD]]</f>
        <v>5000</v>
      </c>
      <c r="E10" s="10" t="str">
        <f>TabelaPrincipal[[#This Row],[MARCA]]</f>
        <v>Cellera</v>
      </c>
      <c r="F10" s="12">
        <f>TabelaPrincipal[[#This Row],[CUSTO + PERCENTUAL DE ENTRADA]]</f>
        <v>0.94</v>
      </c>
      <c r="G10" s="13">
        <f>TabelaPrincipal[[#This Row],[VALOR TOTAL]]</f>
        <v>4700</v>
      </c>
      <c r="H10" s="11"/>
    </row>
    <row r="11" spans="1:8" x14ac:dyDescent="0.25">
      <c r="A11" s="9">
        <f>TabelaPrincipal[[#This Row],[ITEM]]</f>
        <v>10</v>
      </c>
      <c r="B11" s="10" t="str">
        <f>TabelaPrincipal[[#This Row],[DESCRIÇÃO]]</f>
        <v>ALOPURINOL 100 MG</v>
      </c>
      <c r="C11" s="11" t="str">
        <f>TabelaPrincipal[[#This Row],[UND]]</f>
        <v>CP</v>
      </c>
      <c r="D11" s="10">
        <f>TabelaPrincipal[[#This Row],[QTD]]</f>
        <v>18000</v>
      </c>
      <c r="E11" s="10" t="str">
        <f>TabelaPrincipal[[#This Row],[MARCA]]</f>
        <v>Sandoz</v>
      </c>
      <c r="F11" s="12">
        <f>TabelaPrincipal[[#This Row],[CUSTO + PERCENTUAL DE ENTRADA]]</f>
        <v>0.31</v>
      </c>
      <c r="G11" s="13">
        <f>TabelaPrincipal[[#This Row],[VALOR TOTAL]]</f>
        <v>5580</v>
      </c>
      <c r="H11" s="11"/>
    </row>
    <row r="12" spans="1:8" x14ac:dyDescent="0.25">
      <c r="A12" s="9">
        <f>TabelaPrincipal[[#This Row],[ITEM]]</f>
        <v>11</v>
      </c>
      <c r="B12" s="10" t="str">
        <f>TabelaPrincipal[[#This Row],[DESCRIÇÃO]]</f>
        <v>ALOPURINOL 300 MG COMPRIMIDO</v>
      </c>
      <c r="C12" s="11" t="str">
        <f>TabelaPrincipal[[#This Row],[UND]]</f>
        <v>CP</v>
      </c>
      <c r="D12" s="10">
        <f>TabelaPrincipal[[#This Row],[QTD]]</f>
        <v>18000</v>
      </c>
      <c r="E12" s="10" t="str">
        <f>TabelaPrincipal[[#This Row],[MARCA]]</f>
        <v>Sandoz</v>
      </c>
      <c r="F12" s="12">
        <f>TabelaPrincipal[[#This Row],[CUSTO + PERCENTUAL DE ENTRADA]]</f>
        <v>0.52</v>
      </c>
      <c r="G12" s="13">
        <f>TabelaPrincipal[[#This Row],[VALOR TOTAL]]</f>
        <v>9360</v>
      </c>
      <c r="H12" s="11"/>
    </row>
    <row r="13" spans="1:8" x14ac:dyDescent="0.25">
      <c r="A13" s="9">
        <f>TabelaPrincipal[[#This Row],[ITEM]]</f>
        <v>12</v>
      </c>
      <c r="B13" s="10" t="str">
        <f>TabelaPrincipal[[#This Row],[DESCRIÇÃO]]</f>
        <v>AMOXICILINA 250MG/5ML SUSPENSAO ORAL 150ML</v>
      </c>
      <c r="C13" s="11" t="str">
        <f>TabelaPrincipal[[#This Row],[UND]]</f>
        <v>FR</v>
      </c>
      <c r="D13" s="10">
        <f>TabelaPrincipal[[#This Row],[QTD]]</f>
        <v>500</v>
      </c>
      <c r="E13" s="10" t="str">
        <f>TabelaPrincipal[[#This Row],[MARCA]]</f>
        <v>Eurofarma</v>
      </c>
      <c r="F13" s="12">
        <f>TabelaPrincipal[[#This Row],[CUSTO + PERCENTUAL DE ENTRADA]]</f>
        <v>29.51</v>
      </c>
      <c r="G13" s="13">
        <f>TabelaPrincipal[[#This Row],[VALOR TOTAL]]</f>
        <v>14755</v>
      </c>
      <c r="H13" s="11"/>
    </row>
    <row r="14" spans="1:8" x14ac:dyDescent="0.25">
      <c r="A14" s="9">
        <f>TabelaPrincipal[[#This Row],[ITEM]]</f>
        <v>13</v>
      </c>
      <c r="B14" s="10" t="str">
        <f>TabelaPrincipal[[#This Row],[DESCRIÇÃO]]</f>
        <v>AMOXILINA + CLAVULANATO DE POTASSIO 50+12,5 MG/ML PO PARA SUSPENSAO ORAL</v>
      </c>
      <c r="C14" s="11" t="str">
        <f>TabelaPrincipal[[#This Row],[UND]]</f>
        <v>UN</v>
      </c>
      <c r="D14" s="10">
        <f>TabelaPrincipal[[#This Row],[QTD]]</f>
        <v>150</v>
      </c>
      <c r="E14" s="10" t="str">
        <f>TabelaPrincipal[[#This Row],[MARCA]]</f>
        <v>EMS</v>
      </c>
      <c r="F14" s="12">
        <f>TabelaPrincipal[[#This Row],[CUSTO + PERCENTUAL DE ENTRADA]]</f>
        <v>48.16</v>
      </c>
      <c r="G14" s="13">
        <f>TabelaPrincipal[[#This Row],[VALOR TOTAL]]</f>
        <v>7223.9999999999991</v>
      </c>
      <c r="H14" s="11"/>
    </row>
    <row r="15" spans="1:8" x14ac:dyDescent="0.25">
      <c r="A15" s="9">
        <f>TabelaPrincipal[[#This Row],[ITEM]]</f>
        <v>14</v>
      </c>
      <c r="B15" s="10" t="str">
        <f>TabelaPrincipal[[#This Row],[DESCRIÇÃO]]</f>
        <v>AMOXILINA + CLAVULANATO DE POTASSIO 500+125 MG COMPRIMIDO</v>
      </c>
      <c r="C15" s="11" t="str">
        <f>TabelaPrincipal[[#This Row],[UND]]</f>
        <v>UN</v>
      </c>
      <c r="D15" s="10">
        <f>TabelaPrincipal[[#This Row],[QTD]]</f>
        <v>15000</v>
      </c>
      <c r="E15" s="10" t="str">
        <f>TabelaPrincipal[[#This Row],[MARCA]]</f>
        <v>EMS</v>
      </c>
      <c r="F15" s="12">
        <f>TabelaPrincipal[[#This Row],[CUSTO + PERCENTUAL DE ENTRADA]]</f>
        <v>5.54</v>
      </c>
      <c r="G15" s="13">
        <f>TabelaPrincipal[[#This Row],[VALOR TOTAL]]</f>
        <v>83100</v>
      </c>
      <c r="H15" s="11"/>
    </row>
    <row r="16" spans="1:8" x14ac:dyDescent="0.25">
      <c r="A16" s="9">
        <f>TabelaPrincipal[[#This Row],[ITEM]]</f>
        <v>15</v>
      </c>
      <c r="B16" s="10" t="str">
        <f>TabelaPrincipal[[#This Row],[DESCRIÇÃO]]</f>
        <v>AMOXILINA 500MG CAPSULA</v>
      </c>
      <c r="C16" s="11" t="str">
        <f>TabelaPrincipal[[#This Row],[UND]]</f>
        <v>UN</v>
      </c>
      <c r="D16" s="10">
        <f>TabelaPrincipal[[#This Row],[QTD]]</f>
        <v>20000</v>
      </c>
      <c r="E16" s="10" t="str">
        <f>TabelaPrincipal[[#This Row],[MARCA]]</f>
        <v>Brainfarma</v>
      </c>
      <c r="F16" s="12">
        <f>TabelaPrincipal[[#This Row],[CUSTO + PERCENTUAL DE ENTRADA]]</f>
        <v>0.74</v>
      </c>
      <c r="G16" s="13">
        <f>TabelaPrincipal[[#This Row],[VALOR TOTAL]]</f>
        <v>14800</v>
      </c>
      <c r="H16" s="11"/>
    </row>
    <row r="17" spans="1:8" x14ac:dyDescent="0.25">
      <c r="A17" s="9">
        <f>TabelaPrincipal[[#This Row],[ITEM]]</f>
        <v>16</v>
      </c>
      <c r="B17" s="10" t="str">
        <f>TabelaPrincipal[[#This Row],[DESCRIÇÃO]]</f>
        <v>ANLODIPINO BESILATO 10 MG COMPRIMIDO</v>
      </c>
      <c r="C17" s="11" t="str">
        <f>TabelaPrincipal[[#This Row],[UND]]</f>
        <v>CP</v>
      </c>
      <c r="D17" s="10">
        <f>TabelaPrincipal[[#This Row],[QTD]]</f>
        <v>22000</v>
      </c>
      <c r="E17" s="10" t="str">
        <f>TabelaPrincipal[[#This Row],[MARCA]]</f>
        <v>Vitamedic</v>
      </c>
      <c r="F17" s="12">
        <f>TabelaPrincipal[[#This Row],[CUSTO + PERCENTUAL DE ENTRADA]]</f>
        <v>0.38</v>
      </c>
      <c r="G17" s="13">
        <f>TabelaPrincipal[[#This Row],[VALOR TOTAL]]</f>
        <v>8360</v>
      </c>
      <c r="H17" s="11"/>
    </row>
    <row r="18" spans="1:8" x14ac:dyDescent="0.25">
      <c r="A18" s="9">
        <f>TabelaPrincipal[[#This Row],[ITEM]]</f>
        <v>17</v>
      </c>
      <c r="B18" s="10" t="str">
        <f>TabelaPrincipal[[#This Row],[DESCRIÇÃO]]</f>
        <v>ATENOLOL 50MG</v>
      </c>
      <c r="C18" s="11" t="str">
        <f>TabelaPrincipal[[#This Row],[UND]]</f>
        <v>CP</v>
      </c>
      <c r="D18" s="10">
        <f>TabelaPrincipal[[#This Row],[QTD]]</f>
        <v>50000</v>
      </c>
      <c r="E18" s="10" t="str">
        <f>TabelaPrincipal[[#This Row],[MARCA]]</f>
        <v>Sandoz</v>
      </c>
      <c r="F18" s="12">
        <f>TabelaPrincipal[[#This Row],[CUSTO + PERCENTUAL DE ENTRADA]]</f>
        <v>0.1</v>
      </c>
      <c r="G18" s="13">
        <f>TabelaPrincipal[[#This Row],[VALOR TOTAL]]</f>
        <v>5000</v>
      </c>
      <c r="H18" s="11"/>
    </row>
    <row r="19" spans="1:8" x14ac:dyDescent="0.25">
      <c r="A19" s="9">
        <f>TabelaPrincipal[[#This Row],[ITEM]]</f>
        <v>18</v>
      </c>
      <c r="B19" s="10" t="str">
        <f>TabelaPrincipal[[#This Row],[DESCRIÇÃO]]</f>
        <v>AZITROMICINA 40 MG/ML (600 MG) PO PARA SUSPENSAO ORAL</v>
      </c>
      <c r="C19" s="11" t="str">
        <f>TabelaPrincipal[[#This Row],[UND]]</f>
        <v>UN</v>
      </c>
      <c r="D19" s="10">
        <f>TabelaPrincipal[[#This Row],[QTD]]</f>
        <v>300</v>
      </c>
      <c r="E19" s="10" t="str">
        <f>TabelaPrincipal[[#This Row],[MARCA]]</f>
        <v>Pharlab</v>
      </c>
      <c r="F19" s="12">
        <f>TabelaPrincipal[[#This Row],[CUSTO + PERCENTUAL DE ENTRADA]]</f>
        <v>18.829999999999998</v>
      </c>
      <c r="G19" s="13">
        <f>TabelaPrincipal[[#This Row],[VALOR TOTAL]]</f>
        <v>5648.9999999999991</v>
      </c>
      <c r="H19" s="11"/>
    </row>
    <row r="20" spans="1:8" x14ac:dyDescent="0.25">
      <c r="A20" s="9">
        <f>TabelaPrincipal[[#This Row],[ITEM]]</f>
        <v>19</v>
      </c>
      <c r="B20" s="10" t="str">
        <f>TabelaPrincipal[[#This Row],[DESCRIÇÃO]]</f>
        <v>AZITROMICINA DI-HIDRATADA 500MG</v>
      </c>
      <c r="C20" s="11" t="str">
        <f>TabelaPrincipal[[#This Row],[UND]]</f>
        <v>CP</v>
      </c>
      <c r="D20" s="10">
        <f>TabelaPrincipal[[#This Row],[QTD]]</f>
        <v>8000</v>
      </c>
      <c r="E20" s="10" t="str">
        <f>TabelaPrincipal[[#This Row],[MARCA]]</f>
        <v>Geolab</v>
      </c>
      <c r="F20" s="12">
        <f>TabelaPrincipal[[#This Row],[CUSTO + PERCENTUAL DE ENTRADA]]</f>
        <v>2</v>
      </c>
      <c r="G20" s="13">
        <f>TabelaPrincipal[[#This Row],[VALOR TOTAL]]</f>
        <v>16000</v>
      </c>
      <c r="H20" s="11"/>
    </row>
    <row r="21" spans="1:8" x14ac:dyDescent="0.25">
      <c r="A21" s="9">
        <f>TabelaPrincipal[[#This Row],[ITEM]]</f>
        <v>20</v>
      </c>
      <c r="B21" s="10" t="str">
        <f>TabelaPrincipal[[#This Row],[DESCRIÇÃO]]</f>
        <v>BENZOILMETRONIDAZOL 40MG/ML SUSPENSAO ORAL</v>
      </c>
      <c r="C21" s="11" t="str">
        <f>TabelaPrincipal[[#This Row],[UND]]</f>
        <v>UN</v>
      </c>
      <c r="D21" s="10">
        <f>TabelaPrincipal[[#This Row],[QTD]]</f>
        <v>100</v>
      </c>
      <c r="E21" s="10" t="str">
        <f>TabelaPrincipal[[#This Row],[MARCA]]</f>
        <v>Belfar</v>
      </c>
      <c r="F21" s="12">
        <f>TabelaPrincipal[[#This Row],[CUSTO + PERCENTUAL DE ENTRADA]]</f>
        <v>12.6</v>
      </c>
      <c r="G21" s="13">
        <f>TabelaPrincipal[[#This Row],[VALOR TOTAL]]</f>
        <v>1260</v>
      </c>
      <c r="H21" s="11"/>
    </row>
    <row r="22" spans="1:8" x14ac:dyDescent="0.25">
      <c r="A22" s="9">
        <f>TabelaPrincipal[[#This Row],[ITEM]]</f>
        <v>21</v>
      </c>
      <c r="B22" s="10" t="str">
        <f>TabelaPrincipal[[#This Row],[DESCRIÇÃO]]</f>
        <v>BESILATO DE ANLODIPINO  5MG</v>
      </c>
      <c r="C22" s="11" t="str">
        <f>TabelaPrincipal[[#This Row],[UND]]</f>
        <v>CP</v>
      </c>
      <c r="D22" s="10">
        <f>TabelaPrincipal[[#This Row],[QTD]]</f>
        <v>100000</v>
      </c>
      <c r="E22" s="10" t="str">
        <f>TabelaPrincipal[[#This Row],[MARCA]]</f>
        <v>Vitamedic</v>
      </c>
      <c r="F22" s="12">
        <f>TabelaPrincipal[[#This Row],[CUSTO + PERCENTUAL DE ENTRADA]]</f>
        <v>0.08</v>
      </c>
      <c r="G22" s="13">
        <f>TabelaPrincipal[[#This Row],[VALOR TOTAL]]</f>
        <v>8000</v>
      </c>
      <c r="H22" s="11"/>
    </row>
    <row r="23" spans="1:8" x14ac:dyDescent="0.25">
      <c r="A23" s="9">
        <f>TabelaPrincipal[[#This Row],[ITEM]]</f>
        <v>22</v>
      </c>
      <c r="B23" s="10" t="str">
        <f>TabelaPrincipal[[#This Row],[DESCRIÇÃO]]</f>
        <v>CAPTOPRIL 25 MG COMPRIMIDO</v>
      </c>
      <c r="C23" s="11" t="str">
        <f>TabelaPrincipal[[#This Row],[UND]]</f>
        <v>CP</v>
      </c>
      <c r="D23" s="10">
        <f>TabelaPrincipal[[#This Row],[QTD]]</f>
        <v>20000</v>
      </c>
      <c r="E23" s="10" t="str">
        <f>TabelaPrincipal[[#This Row],[MARCA]]</f>
        <v>Geolab</v>
      </c>
      <c r="F23" s="12">
        <f>TabelaPrincipal[[#This Row],[CUSTO + PERCENTUAL DE ENTRADA]]</f>
        <v>0.1</v>
      </c>
      <c r="G23" s="13">
        <f>TabelaPrincipal[[#This Row],[VALOR TOTAL]]</f>
        <v>2000</v>
      </c>
      <c r="H23" s="11"/>
    </row>
    <row r="24" spans="1:8" x14ac:dyDescent="0.25">
      <c r="A24" s="9">
        <f>TabelaPrincipal[[#This Row],[ITEM]]</f>
        <v>23</v>
      </c>
      <c r="B24" s="10" t="str">
        <f>TabelaPrincipal[[#This Row],[DESCRIÇÃO]]</f>
        <v>CARBAMAZEPINA 20 MG/ML SUSPENSAO ORAL</v>
      </c>
      <c r="C24" s="11" t="str">
        <f>TabelaPrincipal[[#This Row],[UND]]</f>
        <v>FR</v>
      </c>
      <c r="D24" s="10">
        <f>TabelaPrincipal[[#This Row],[QTD]]</f>
        <v>180</v>
      </c>
      <c r="E24" s="10" t="str">
        <f>TabelaPrincipal[[#This Row],[MARCA]]</f>
        <v>Novartis</v>
      </c>
      <c r="F24" s="12">
        <f>TabelaPrincipal[[#This Row],[CUSTO + PERCENTUAL DE ENTRADA]]</f>
        <v>42.35</v>
      </c>
      <c r="G24" s="13">
        <f>TabelaPrincipal[[#This Row],[VALOR TOTAL]]</f>
        <v>7623</v>
      </c>
      <c r="H24" s="11"/>
    </row>
    <row r="25" spans="1:8" x14ac:dyDescent="0.25">
      <c r="A25" s="9">
        <f>TabelaPrincipal[[#This Row],[ITEM]]</f>
        <v>24</v>
      </c>
      <c r="B25" s="10" t="str">
        <f>TabelaPrincipal[[#This Row],[DESCRIÇÃO]]</f>
        <v>CARBAMAZEPINA 200 MG</v>
      </c>
      <c r="C25" s="11" t="str">
        <f>TabelaPrincipal[[#This Row],[UND]]</f>
        <v>UN</v>
      </c>
      <c r="D25" s="10">
        <f>TabelaPrincipal[[#This Row],[QTD]]</f>
        <v>62000</v>
      </c>
      <c r="E25" s="10" t="str">
        <f>TabelaPrincipal[[#This Row],[MARCA]]</f>
        <v>Germed</v>
      </c>
      <c r="F25" s="12">
        <f>TabelaPrincipal[[#This Row],[CUSTO + PERCENTUAL DE ENTRADA]]</f>
        <v>0.67</v>
      </c>
      <c r="G25" s="13">
        <f>TabelaPrincipal[[#This Row],[VALOR TOTAL]]</f>
        <v>41540</v>
      </c>
      <c r="H25" s="11"/>
    </row>
    <row r="26" spans="1:8" x14ac:dyDescent="0.25">
      <c r="A26" s="9">
        <f>TabelaPrincipal[[#This Row],[ITEM]]</f>
        <v>26</v>
      </c>
      <c r="B26" s="10" t="str">
        <f>TabelaPrincipal[[#This Row],[DESCRIÇÃO]]</f>
        <v>CARBONATO DE CALCIO 500MG</v>
      </c>
      <c r="C26" s="11" t="str">
        <f>TabelaPrincipal[[#This Row],[UND]]</f>
        <v>CP</v>
      </c>
      <c r="D26" s="10">
        <f>TabelaPrincipal[[#This Row],[QTD]]</f>
        <v>50000</v>
      </c>
      <c r="E26" s="10" t="str">
        <f>TabelaPrincipal[[#This Row],[MARCA]]</f>
        <v>Nutivit/Imec</v>
      </c>
      <c r="F26" s="12">
        <f>TabelaPrincipal[[#This Row],[CUSTO + PERCENTUAL DE ENTRADA]]</f>
        <v>0.28999999999999998</v>
      </c>
      <c r="G26" s="13">
        <f>TabelaPrincipal[[#This Row],[VALOR TOTAL]]</f>
        <v>14499.999999999998</v>
      </c>
      <c r="H26" s="11"/>
    </row>
    <row r="27" spans="1:8" x14ac:dyDescent="0.25">
      <c r="A27" s="9">
        <f>TabelaPrincipal[[#This Row],[ITEM]]</f>
        <v>27</v>
      </c>
      <c r="B27" s="10" t="str">
        <f>TabelaPrincipal[[#This Row],[DESCRIÇÃO]]</f>
        <v>CARBONATO DE LITIO 300MG</v>
      </c>
      <c r="C27" s="11" t="str">
        <f>TabelaPrincipal[[#This Row],[UND]]</f>
        <v>CP</v>
      </c>
      <c r="D27" s="10">
        <f>TabelaPrincipal[[#This Row],[QTD]]</f>
        <v>25000</v>
      </c>
      <c r="E27" s="10" t="str">
        <f>TabelaPrincipal[[#This Row],[MARCA]]</f>
        <v>Biolab</v>
      </c>
      <c r="F27" s="12">
        <f>TabelaPrincipal[[#This Row],[CUSTO + PERCENTUAL DE ENTRADA]]</f>
        <v>0.62</v>
      </c>
      <c r="G27" s="13">
        <f>TabelaPrincipal[[#This Row],[VALOR TOTAL]]</f>
        <v>15500</v>
      </c>
      <c r="H27" s="11"/>
    </row>
    <row r="28" spans="1:8" x14ac:dyDescent="0.25">
      <c r="A28" s="9">
        <f>TabelaPrincipal[[#This Row],[ITEM]]</f>
        <v>28</v>
      </c>
      <c r="B28" s="10" t="str">
        <f>TabelaPrincipal[[#This Row],[DESCRIÇÃO]]</f>
        <v>CARVEDILOL 12,5 MG COMPRIMIDO</v>
      </c>
      <c r="C28" s="11" t="str">
        <f>TabelaPrincipal[[#This Row],[UND]]</f>
        <v>CP</v>
      </c>
      <c r="D28" s="10">
        <f>TabelaPrincipal[[#This Row],[QTD]]</f>
        <v>42000</v>
      </c>
      <c r="E28" s="10" t="str">
        <f>TabelaPrincipal[[#This Row],[MARCA]]</f>
        <v>Biolab</v>
      </c>
      <c r="F28" s="12">
        <f>TabelaPrincipal[[#This Row],[CUSTO + PERCENTUAL DE ENTRADA]]</f>
        <v>0.21</v>
      </c>
      <c r="G28" s="13">
        <f>TabelaPrincipal[[#This Row],[VALOR TOTAL]]</f>
        <v>8820</v>
      </c>
      <c r="H28" s="11"/>
    </row>
    <row r="29" spans="1:8" x14ac:dyDescent="0.25">
      <c r="A29" s="9">
        <f>TabelaPrincipal[[#This Row],[ITEM]]</f>
        <v>29</v>
      </c>
      <c r="B29" s="10" t="str">
        <f>TabelaPrincipal[[#This Row],[DESCRIÇÃO]]</f>
        <v>CARVEDILOL 25 MG COMPRIMIDO</v>
      </c>
      <c r="C29" s="11" t="str">
        <f>TabelaPrincipal[[#This Row],[UND]]</f>
        <v>CP</v>
      </c>
      <c r="D29" s="10">
        <f>TabelaPrincipal[[#This Row],[QTD]]</f>
        <v>20000</v>
      </c>
      <c r="E29" s="10" t="str">
        <f>TabelaPrincipal[[#This Row],[MARCA]]</f>
        <v>Biolab</v>
      </c>
      <c r="F29" s="12">
        <f>TabelaPrincipal[[#This Row],[CUSTO + PERCENTUAL DE ENTRADA]]</f>
        <v>0.32</v>
      </c>
      <c r="G29" s="13">
        <f>TabelaPrincipal[[#This Row],[VALOR TOTAL]]</f>
        <v>6400</v>
      </c>
      <c r="H29" s="11"/>
    </row>
    <row r="30" spans="1:8" x14ac:dyDescent="0.25">
      <c r="A30" s="9">
        <f>TabelaPrincipal[[#This Row],[ITEM]]</f>
        <v>30</v>
      </c>
      <c r="B30" s="10" t="str">
        <f>TabelaPrincipal[[#This Row],[DESCRIÇÃO]]</f>
        <v>CARVEDILOL 3,125 MG COMPRIMIDO</v>
      </c>
      <c r="C30" s="11" t="str">
        <f>TabelaPrincipal[[#This Row],[UND]]</f>
        <v>CP</v>
      </c>
      <c r="D30" s="10">
        <f>TabelaPrincipal[[#This Row],[QTD]]</f>
        <v>44000</v>
      </c>
      <c r="E30" s="10" t="str">
        <f>TabelaPrincipal[[#This Row],[MARCA]]</f>
        <v>Biolab</v>
      </c>
      <c r="F30" s="12">
        <f>TabelaPrincipal[[#This Row],[CUSTO + PERCENTUAL DE ENTRADA]]</f>
        <v>0.33</v>
      </c>
      <c r="G30" s="13">
        <f>TabelaPrincipal[[#This Row],[VALOR TOTAL]]</f>
        <v>14520</v>
      </c>
      <c r="H30" s="11"/>
    </row>
    <row r="31" spans="1:8" x14ac:dyDescent="0.25">
      <c r="A31" s="9">
        <f>TabelaPrincipal[[#This Row],[ITEM]]</f>
        <v>31</v>
      </c>
      <c r="B31" s="10" t="str">
        <f>TabelaPrincipal[[#This Row],[DESCRIÇÃO]]</f>
        <v>CARVEDILOL 6,25 MG COMPRIMIDO</v>
      </c>
      <c r="C31" s="11" t="str">
        <f>TabelaPrincipal[[#This Row],[UND]]</f>
        <v>CP</v>
      </c>
      <c r="D31" s="10">
        <f>TabelaPrincipal[[#This Row],[QTD]]</f>
        <v>20000</v>
      </c>
      <c r="E31" s="10" t="str">
        <f>TabelaPrincipal[[#This Row],[MARCA]]</f>
        <v>Biolab</v>
      </c>
      <c r="F31" s="12">
        <f>TabelaPrincipal[[#This Row],[CUSTO + PERCENTUAL DE ENTRADA]]</f>
        <v>0.24</v>
      </c>
      <c r="G31" s="13">
        <f>TabelaPrincipal[[#This Row],[VALOR TOTAL]]</f>
        <v>4800</v>
      </c>
      <c r="H31" s="11"/>
    </row>
    <row r="32" spans="1:8" x14ac:dyDescent="0.25">
      <c r="A32" s="9">
        <f>TabelaPrincipal[[#This Row],[ITEM]]</f>
        <v>32</v>
      </c>
      <c r="B32" s="10" t="str">
        <f>TabelaPrincipal[[#This Row],[DESCRIÇÃO]]</f>
        <v>CEFALEXINA 500 MG COMPRIMIDO</v>
      </c>
      <c r="C32" s="11" t="str">
        <f>TabelaPrincipal[[#This Row],[UND]]</f>
        <v>CP</v>
      </c>
      <c r="D32" s="10">
        <f>TabelaPrincipal[[#This Row],[QTD]]</f>
        <v>18000</v>
      </c>
      <c r="E32" s="10" t="str">
        <f>TabelaPrincipal[[#This Row],[MARCA]]</f>
        <v>Nova Química</v>
      </c>
      <c r="F32" s="12">
        <f>TabelaPrincipal[[#This Row],[CUSTO + PERCENTUAL DE ENTRADA]]</f>
        <v>1.57</v>
      </c>
      <c r="G32" s="13">
        <f>TabelaPrincipal[[#This Row],[VALOR TOTAL]]</f>
        <v>28260</v>
      </c>
      <c r="H32" s="11"/>
    </row>
    <row r="33" spans="1:8" x14ac:dyDescent="0.25">
      <c r="A33" s="9">
        <f>TabelaPrincipal[[#This Row],[ITEM]]</f>
        <v>33</v>
      </c>
      <c r="B33" s="10" t="str">
        <f>TabelaPrincipal[[#This Row],[DESCRIÇÃO]]</f>
        <v>CEFALEXINA SUSPENSAO ORAL 250MG/5ML 100ML</v>
      </c>
      <c r="C33" s="11" t="str">
        <f>TabelaPrincipal[[#This Row],[UND]]</f>
        <v>FR</v>
      </c>
      <c r="D33" s="10">
        <f>TabelaPrincipal[[#This Row],[QTD]]</f>
        <v>100</v>
      </c>
      <c r="E33" s="10" t="str">
        <f>TabelaPrincipal[[#This Row],[MARCA]]</f>
        <v>Brainfarma</v>
      </c>
      <c r="F33" s="12">
        <f>TabelaPrincipal[[#This Row],[CUSTO + PERCENTUAL DE ENTRADA]]</f>
        <v>25.62</v>
      </c>
      <c r="G33" s="13">
        <f>TabelaPrincipal[[#This Row],[VALOR TOTAL]]</f>
        <v>2562</v>
      </c>
      <c r="H33" s="11"/>
    </row>
    <row r="34" spans="1:8" x14ac:dyDescent="0.25">
      <c r="A34" s="9">
        <f>TabelaPrincipal[[#This Row],[ITEM]]</f>
        <v>34</v>
      </c>
      <c r="B34" s="10" t="str">
        <f>TabelaPrincipal[[#This Row],[DESCRIÇÃO]]</f>
        <v>CETOCONAZOL 20MG/ML SHAMPOO</v>
      </c>
      <c r="C34" s="11" t="str">
        <f>TabelaPrincipal[[#This Row],[UND]]</f>
        <v>FR</v>
      </c>
      <c r="D34" s="10">
        <f>TabelaPrincipal[[#This Row],[QTD]]</f>
        <v>50</v>
      </c>
      <c r="E34" s="10" t="str">
        <f>TabelaPrincipal[[#This Row],[MARCA]]</f>
        <v>Nativita</v>
      </c>
      <c r="F34" s="12">
        <f>TabelaPrincipal[[#This Row],[CUSTO + PERCENTUAL DE ENTRADA]]</f>
        <v>12.74</v>
      </c>
      <c r="G34" s="13">
        <f>TabelaPrincipal[[#This Row],[VALOR TOTAL]]</f>
        <v>637</v>
      </c>
      <c r="H34" s="11"/>
    </row>
    <row r="35" spans="1:8" x14ac:dyDescent="0.25">
      <c r="A35" s="9">
        <f>TabelaPrincipal[[#This Row],[ITEM]]</f>
        <v>36</v>
      </c>
      <c r="B35" s="10" t="str">
        <f>TabelaPrincipal[[#This Row],[DESCRIÇÃO]]</f>
        <v>CIPROFLOXACINO CLORIDRATO 500 MG COMPRIMIDO</v>
      </c>
      <c r="C35" s="11" t="str">
        <f>TabelaPrincipal[[#This Row],[UND]]</f>
        <v>CP</v>
      </c>
      <c r="D35" s="10">
        <f>TabelaPrincipal[[#This Row],[QTD]]</f>
        <v>16000</v>
      </c>
      <c r="E35" s="10" t="str">
        <f>TabelaPrincipal[[#This Row],[MARCA]]</f>
        <v>Nova Química</v>
      </c>
      <c r="F35" s="12">
        <f>TabelaPrincipal[[#This Row],[CUSTO + PERCENTUAL DE ENTRADA]]</f>
        <v>0.74</v>
      </c>
      <c r="G35" s="13">
        <f>TabelaPrincipal[[#This Row],[VALOR TOTAL]]</f>
        <v>11840</v>
      </c>
      <c r="H35" s="11"/>
    </row>
    <row r="36" spans="1:8" x14ac:dyDescent="0.25">
      <c r="A36" s="9">
        <f>TabelaPrincipal[[#This Row],[ITEM]]</f>
        <v>37</v>
      </c>
      <c r="B36" s="10" t="str">
        <f>TabelaPrincipal[[#This Row],[DESCRIÇÃO]]</f>
        <v>CLARITROMICINA 500MG COMPRIMIDO</v>
      </c>
      <c r="C36" s="11" t="str">
        <f>TabelaPrincipal[[#This Row],[UND]]</f>
        <v>CP</v>
      </c>
      <c r="D36" s="10">
        <f>TabelaPrincipal[[#This Row],[QTD]]</f>
        <v>800</v>
      </c>
      <c r="E36" s="10" t="str">
        <f>TabelaPrincipal[[#This Row],[MARCA]]</f>
        <v>Pharlab</v>
      </c>
      <c r="F36" s="12">
        <f>TabelaPrincipal[[#This Row],[CUSTO + PERCENTUAL DE ENTRADA]]</f>
        <v>4.3</v>
      </c>
      <c r="G36" s="13">
        <f>TabelaPrincipal[[#This Row],[VALOR TOTAL]]</f>
        <v>3440</v>
      </c>
      <c r="H36" s="11"/>
    </row>
    <row r="37" spans="1:8" x14ac:dyDescent="0.25">
      <c r="A37" s="9">
        <f>TabelaPrincipal[[#This Row],[ITEM]]</f>
        <v>38</v>
      </c>
      <c r="B37" s="10" t="str">
        <f>TabelaPrincipal[[#This Row],[DESCRIÇÃO]]</f>
        <v>DIPROPIONATO DE BECLOMETASONA 200MCG SPRAY 200 DOSES 10ML</v>
      </c>
      <c r="C37" s="11" t="str">
        <f>TabelaPrincipal[[#This Row],[UND]]</f>
        <v>FR</v>
      </c>
      <c r="D37" s="10">
        <f>TabelaPrincipal[[#This Row],[QTD]]</f>
        <v>150</v>
      </c>
      <c r="E37" s="10" t="str">
        <f>TabelaPrincipal[[#This Row],[MARCA]]</f>
        <v>Chiesi</v>
      </c>
      <c r="F37" s="12">
        <f>TabelaPrincipal[[#This Row],[CUSTO + PERCENTUAL DE ENTRADA]]</f>
        <v>101.85</v>
      </c>
      <c r="G37" s="13">
        <f>TabelaPrincipal[[#This Row],[VALOR TOTAL]]</f>
        <v>15277.5</v>
      </c>
      <c r="H37" s="11"/>
    </row>
    <row r="38" spans="1:8" x14ac:dyDescent="0.25">
      <c r="A38" s="9">
        <f>TabelaPrincipal[[#This Row],[ITEM]]</f>
        <v>39</v>
      </c>
      <c r="B38" s="10" t="str">
        <f>TabelaPrincipal[[#This Row],[DESCRIÇÃO]]</f>
        <v>DIPROPIONATO DE BECLOMETASONA 50MCG SPRAY 200 DOSES 10ML</v>
      </c>
      <c r="C38" s="11" t="str">
        <f>TabelaPrincipal[[#This Row],[UND]]</f>
        <v>FR</v>
      </c>
      <c r="D38" s="10">
        <f>TabelaPrincipal[[#This Row],[QTD]]</f>
        <v>100</v>
      </c>
      <c r="E38" s="10" t="str">
        <f>TabelaPrincipal[[#This Row],[MARCA]]</f>
        <v>Chiesi</v>
      </c>
      <c r="F38" s="12">
        <f>TabelaPrincipal[[#This Row],[CUSTO + PERCENTUAL DE ENTRADA]]</f>
        <v>62.23</v>
      </c>
      <c r="G38" s="13">
        <f>TabelaPrincipal[[#This Row],[VALOR TOTAL]]</f>
        <v>6223</v>
      </c>
      <c r="H38" s="11"/>
    </row>
    <row r="39" spans="1:8" x14ac:dyDescent="0.25">
      <c r="A39" s="9">
        <f>TabelaPrincipal[[#This Row],[ITEM]]</f>
        <v>40</v>
      </c>
      <c r="B39" s="10" t="str">
        <f>TabelaPrincipal[[#This Row],[DESCRIÇÃO]]</f>
        <v>DIPROPIONATO DE BECLOMETASONA 250 MCG/DOSE SOL AER CT TB AL + DISPOSITIVO ORAL X 200 DOSES</v>
      </c>
      <c r="C39" s="11" t="str">
        <f>TabelaPrincipal[[#This Row],[UND]]</f>
        <v>FR</v>
      </c>
      <c r="D39" s="10">
        <f>TabelaPrincipal[[#This Row],[QTD]]</f>
        <v>400</v>
      </c>
      <c r="E39" s="10" t="str">
        <f>TabelaPrincipal[[#This Row],[MARCA]]</f>
        <v>Chiesi</v>
      </c>
      <c r="F39" s="12">
        <f>TabelaPrincipal[[#This Row],[CUSTO + PERCENTUAL DE ENTRADA]]</f>
        <v>100.52</v>
      </c>
      <c r="G39" s="13">
        <f>TabelaPrincipal[[#This Row],[VALOR TOTAL]]</f>
        <v>40208</v>
      </c>
      <c r="H39" s="11"/>
    </row>
    <row r="40" spans="1:8" x14ac:dyDescent="0.25">
      <c r="A40" s="9">
        <f>TabelaPrincipal[[#This Row],[ITEM]]</f>
        <v>41</v>
      </c>
      <c r="B40" s="10" t="str">
        <f>TabelaPrincipal[[#This Row],[DESCRIÇÃO]]</f>
        <v>CLONAZEPAM 2,5MG/ML</v>
      </c>
      <c r="C40" s="11" t="str">
        <f>TabelaPrincipal[[#This Row],[UND]]</f>
        <v>UN</v>
      </c>
      <c r="D40" s="10">
        <f>TabelaPrincipal[[#This Row],[QTD]]</f>
        <v>800</v>
      </c>
      <c r="E40" s="10" t="str">
        <f>TabelaPrincipal[[#This Row],[MARCA]]</f>
        <v>Geolab</v>
      </c>
      <c r="F40" s="12">
        <f>TabelaPrincipal[[#This Row],[CUSTO + PERCENTUAL DE ENTRADA]]</f>
        <v>7.14</v>
      </c>
      <c r="G40" s="13">
        <f>TabelaPrincipal[[#This Row],[VALOR TOTAL]]</f>
        <v>5712</v>
      </c>
      <c r="H40" s="11"/>
    </row>
    <row r="41" spans="1:8" x14ac:dyDescent="0.25">
      <c r="A41" s="9">
        <f>TabelaPrincipal[[#This Row],[ITEM]]</f>
        <v>42</v>
      </c>
      <c r="B41" s="10" t="str">
        <f>TabelaPrincipal[[#This Row],[DESCRIÇÃO]]</f>
        <v>CLORETO DE SODIO 9 MG/ML SOLUCAO NASAL (NASOJET)</v>
      </c>
      <c r="C41" s="11" t="str">
        <f>TabelaPrincipal[[#This Row],[UND]]</f>
        <v>UN</v>
      </c>
      <c r="D41" s="10">
        <f>TabelaPrincipal[[#This Row],[QTD]]</f>
        <v>150</v>
      </c>
      <c r="E41" s="10" t="str">
        <f>TabelaPrincipal[[#This Row],[MARCA]]</f>
        <v>Natulab</v>
      </c>
      <c r="F41" s="12">
        <f>TabelaPrincipal[[#This Row],[CUSTO + PERCENTUAL DE ENTRADA]]</f>
        <v>14.65</v>
      </c>
      <c r="G41" s="13">
        <f>TabelaPrincipal[[#This Row],[VALOR TOTAL]]</f>
        <v>2197.5</v>
      </c>
      <c r="H41" s="11"/>
    </row>
    <row r="42" spans="1:8" x14ac:dyDescent="0.25">
      <c r="A42" s="9">
        <f>TabelaPrincipal[[#This Row],[ITEM]]</f>
        <v>43</v>
      </c>
      <c r="B42" s="10" t="str">
        <f>TabelaPrincipal[[#This Row],[DESCRIÇÃO]]</f>
        <v>CLORIDRATO DE AMIODARONA 200MG</v>
      </c>
      <c r="C42" s="11" t="str">
        <f>TabelaPrincipal[[#This Row],[UND]]</f>
        <v>CP</v>
      </c>
      <c r="D42" s="10">
        <f>TabelaPrincipal[[#This Row],[QTD]]</f>
        <v>28000</v>
      </c>
      <c r="E42" s="10" t="str">
        <f>TabelaPrincipal[[#This Row],[MARCA]]</f>
        <v>Geolab</v>
      </c>
      <c r="F42" s="12">
        <f>TabelaPrincipal[[#This Row],[CUSTO + PERCENTUAL DE ENTRADA]]</f>
        <v>1.0900000000000001</v>
      </c>
      <c r="G42" s="13">
        <f>TabelaPrincipal[[#This Row],[VALOR TOTAL]]</f>
        <v>30520.000000000004</v>
      </c>
      <c r="H42" s="11"/>
    </row>
    <row r="43" spans="1:8" x14ac:dyDescent="0.25">
      <c r="A43" s="9">
        <f>TabelaPrincipal[[#This Row],[ITEM]]</f>
        <v>44</v>
      </c>
      <c r="B43" s="10" t="str">
        <f>TabelaPrincipal[[#This Row],[DESCRIÇÃO]]</f>
        <v>CLORIDRATO DE AMITRIPTILINA 25 MG CAIXA COM 30</v>
      </c>
      <c r="C43" s="11" t="str">
        <f>TabelaPrincipal[[#This Row],[UND]]</f>
        <v>CX</v>
      </c>
      <c r="D43" s="10">
        <f>TabelaPrincipal[[#This Row],[QTD]]</f>
        <v>3000</v>
      </c>
      <c r="E43" s="10" t="str">
        <f>TabelaPrincipal[[#This Row],[MARCA]]</f>
        <v>Brainfarma</v>
      </c>
      <c r="F43" s="12">
        <f>TabelaPrincipal[[#This Row],[CUSTO + PERCENTUAL DE ENTRADA]]</f>
        <v>10.06</v>
      </c>
      <c r="G43" s="13">
        <f>TabelaPrincipal[[#This Row],[VALOR TOTAL]]</f>
        <v>30180</v>
      </c>
      <c r="H43" s="11"/>
    </row>
    <row r="44" spans="1:8" x14ac:dyDescent="0.25">
      <c r="A44" s="9">
        <f>TabelaPrincipal[[#This Row],[ITEM]]</f>
        <v>46</v>
      </c>
      <c r="B44" s="10" t="str">
        <f>TabelaPrincipal[[#This Row],[DESCRIÇÃO]]</f>
        <v>CLORIDRATO DE CLOMIPRAMINA 25 MG</v>
      </c>
      <c r="C44" s="11" t="str">
        <f>TabelaPrincipal[[#This Row],[UND]]</f>
        <v>CP</v>
      </c>
      <c r="D44" s="10">
        <f>TabelaPrincipal[[#This Row],[QTD]]</f>
        <v>8000</v>
      </c>
      <c r="E44" s="10" t="str">
        <f>TabelaPrincipal[[#This Row],[MARCA]]</f>
        <v>Germed</v>
      </c>
      <c r="F44" s="12">
        <f>TabelaPrincipal[[#This Row],[CUSTO + PERCENTUAL DE ENTRADA]]</f>
        <v>2.27</v>
      </c>
      <c r="G44" s="13">
        <f>TabelaPrincipal[[#This Row],[VALOR TOTAL]]</f>
        <v>18160</v>
      </c>
      <c r="H44" s="11"/>
    </row>
    <row r="45" spans="1:8" x14ac:dyDescent="0.25">
      <c r="A45" s="9">
        <f>TabelaPrincipal[[#This Row],[ITEM]]</f>
        <v>47</v>
      </c>
      <c r="B45" s="10" t="str">
        <f>TabelaPrincipal[[#This Row],[DESCRIÇÃO]]</f>
        <v>CLORIDRATO DE CLORPROMAZINA 100MG</v>
      </c>
      <c r="C45" s="11" t="str">
        <f>TabelaPrincipal[[#This Row],[UND]]</f>
        <v>CP</v>
      </c>
      <c r="D45" s="10">
        <f>TabelaPrincipal[[#This Row],[QTD]]</f>
        <v>2600</v>
      </c>
      <c r="E45" s="10" t="str">
        <f>TabelaPrincipal[[#This Row],[MARCA]]</f>
        <v>Sanofi</v>
      </c>
      <c r="F45" s="12">
        <f>TabelaPrincipal[[#This Row],[CUSTO + PERCENTUAL DE ENTRADA]]</f>
        <v>0.84</v>
      </c>
      <c r="G45" s="13">
        <f>TabelaPrincipal[[#This Row],[VALOR TOTAL]]</f>
        <v>2184</v>
      </c>
      <c r="H45" s="11"/>
    </row>
    <row r="46" spans="1:8" x14ac:dyDescent="0.25">
      <c r="A46" s="9">
        <f>TabelaPrincipal[[#This Row],[ITEM]]</f>
        <v>48</v>
      </c>
      <c r="B46" s="10" t="str">
        <f>TabelaPrincipal[[#This Row],[DESCRIÇÃO]]</f>
        <v>CLORIDRATO DE CLORPROMAZINA 25MG</v>
      </c>
      <c r="C46" s="11" t="str">
        <f>TabelaPrincipal[[#This Row],[UND]]</f>
        <v>CP</v>
      </c>
      <c r="D46" s="10">
        <f>TabelaPrincipal[[#This Row],[QTD]]</f>
        <v>2000</v>
      </c>
      <c r="E46" s="10" t="str">
        <f>TabelaPrincipal[[#This Row],[MARCA]]</f>
        <v>Sanofi</v>
      </c>
      <c r="F46" s="12">
        <f>TabelaPrincipal[[#This Row],[CUSTO + PERCENTUAL DE ENTRADA]]</f>
        <v>0.56000000000000005</v>
      </c>
      <c r="G46" s="13">
        <f>TabelaPrincipal[[#This Row],[VALOR TOTAL]]</f>
        <v>1120</v>
      </c>
      <c r="H46" s="11"/>
    </row>
    <row r="47" spans="1:8" x14ac:dyDescent="0.25">
      <c r="A47" s="9">
        <f>TabelaPrincipal[[#This Row],[ITEM]]</f>
        <v>49</v>
      </c>
      <c r="B47" s="10" t="str">
        <f>TabelaPrincipal[[#This Row],[DESCRIÇÃO]]</f>
        <v>CLORIDRATO DE CLORPROMAZINA 40MG/ML SOL OR CT FR VD GOTAS X 20ML 4%</v>
      </c>
      <c r="C47" s="11" t="str">
        <f>TabelaPrincipal[[#This Row],[UND]]</f>
        <v>FR</v>
      </c>
      <c r="D47" s="10">
        <f>TabelaPrincipal[[#This Row],[QTD]]</f>
        <v>50</v>
      </c>
      <c r="E47" s="10" t="str">
        <f>TabelaPrincipal[[#This Row],[MARCA]]</f>
        <v>Sanofi</v>
      </c>
      <c r="F47" s="12">
        <f>TabelaPrincipal[[#This Row],[CUSTO + PERCENTUAL DE ENTRADA]]</f>
        <v>13.44</v>
      </c>
      <c r="G47" s="13">
        <f>TabelaPrincipal[[#This Row],[VALOR TOTAL]]</f>
        <v>672</v>
      </c>
      <c r="H47" s="11"/>
    </row>
    <row r="48" spans="1:8" x14ac:dyDescent="0.25">
      <c r="A48" s="9">
        <f>TabelaPrincipal[[#This Row],[ITEM]]</f>
        <v>50</v>
      </c>
      <c r="B48" s="10" t="str">
        <f>TabelaPrincipal[[#This Row],[DESCRIÇÃO]]</f>
        <v>CLORIDRATO DE HIDRALAZINA 25MG</v>
      </c>
      <c r="C48" s="11" t="str">
        <f>TabelaPrincipal[[#This Row],[UND]]</f>
        <v>CP</v>
      </c>
      <c r="D48" s="10">
        <f>TabelaPrincipal[[#This Row],[QTD]]</f>
        <v>10000</v>
      </c>
      <c r="E48" s="10" t="str">
        <f>TabelaPrincipal[[#This Row],[MARCA]]</f>
        <v>Novartis</v>
      </c>
      <c r="F48" s="12">
        <f>TabelaPrincipal[[#This Row],[CUSTO + PERCENTUAL DE ENTRADA]]</f>
        <v>0.5</v>
      </c>
      <c r="G48" s="13">
        <f>TabelaPrincipal[[#This Row],[VALOR TOTAL]]</f>
        <v>5000</v>
      </c>
      <c r="H48" s="11"/>
    </row>
    <row r="49" spans="1:8" x14ac:dyDescent="0.25">
      <c r="A49" s="9">
        <f>TabelaPrincipal[[#This Row],[ITEM]]</f>
        <v>51</v>
      </c>
      <c r="B49" s="10" t="str">
        <f>TabelaPrincipal[[#This Row],[DESCRIÇÃO]]</f>
        <v>CLORIDRATO DE IMIPRAMINA 25 MG</v>
      </c>
      <c r="C49" s="11" t="str">
        <f>TabelaPrincipal[[#This Row],[UND]]</f>
        <v>CP</v>
      </c>
      <c r="D49" s="10">
        <f>TabelaPrincipal[[#This Row],[QTD]]</f>
        <v>1000</v>
      </c>
      <c r="E49" s="10" t="str">
        <f>TabelaPrincipal[[#This Row],[MARCA]]</f>
        <v>Cristália</v>
      </c>
      <c r="F49" s="12">
        <f>TabelaPrincipal[[#This Row],[CUSTO + PERCENTUAL DE ENTRADA]]</f>
        <v>0.74</v>
      </c>
      <c r="G49" s="13">
        <f>TabelaPrincipal[[#This Row],[VALOR TOTAL]]</f>
        <v>740</v>
      </c>
      <c r="H49" s="11"/>
    </row>
    <row r="50" spans="1:8" x14ac:dyDescent="0.25">
      <c r="A50" s="9">
        <f>TabelaPrincipal[[#This Row],[ITEM]]</f>
        <v>52</v>
      </c>
      <c r="B50" s="10" t="str">
        <f>TabelaPrincipal[[#This Row],[DESCRIÇÃO]]</f>
        <v>CLORIDRATO DE PROPRANOLOL 40MG</v>
      </c>
      <c r="C50" s="11" t="str">
        <f>TabelaPrincipal[[#This Row],[UND]]</f>
        <v>CX</v>
      </c>
      <c r="D50" s="10">
        <f>TabelaPrincipal[[#This Row],[QTD]]</f>
        <v>1334</v>
      </c>
      <c r="E50" s="10" t="str">
        <f>TabelaPrincipal[[#This Row],[MARCA]]</f>
        <v>Osório de Moraes</v>
      </c>
      <c r="F50" s="12">
        <f>TabelaPrincipal[[#This Row],[CUSTO + PERCENTUAL DE ENTRADA]]</f>
        <v>13.8</v>
      </c>
      <c r="G50" s="13">
        <f>TabelaPrincipal[[#This Row],[VALOR TOTAL]]</f>
        <v>18409.2</v>
      </c>
      <c r="H50" s="11"/>
    </row>
    <row r="51" spans="1:8" x14ac:dyDescent="0.25">
      <c r="A51" s="9">
        <f>TabelaPrincipal[[#This Row],[ITEM]]</f>
        <v>53</v>
      </c>
      <c r="B51" s="10" t="str">
        <f>TabelaPrincipal[[#This Row],[DESCRIÇÃO]]</f>
        <v>CLORIDRATO DE VERAPAMIL 80MG</v>
      </c>
      <c r="C51" s="11" t="str">
        <f>TabelaPrincipal[[#This Row],[UND]]</f>
        <v>CP</v>
      </c>
      <c r="D51" s="10">
        <f>TabelaPrincipal[[#This Row],[QTD]]</f>
        <v>1000</v>
      </c>
      <c r="E51" s="10" t="str">
        <f>TabelaPrincipal[[#This Row],[MARCA]]</f>
        <v>EMS</v>
      </c>
      <c r="F51" s="12">
        <f>TabelaPrincipal[[#This Row],[CUSTO + PERCENTUAL DE ENTRADA]]</f>
        <v>2.09</v>
      </c>
      <c r="G51" s="13">
        <f>TabelaPrincipal[[#This Row],[VALOR TOTAL]]</f>
        <v>2090</v>
      </c>
      <c r="H51" s="11"/>
    </row>
    <row r="52" spans="1:8" x14ac:dyDescent="0.25">
      <c r="A52" s="9">
        <f>TabelaPrincipal[[#This Row],[ITEM]]</f>
        <v>54</v>
      </c>
      <c r="B52" s="10" t="str">
        <f>TabelaPrincipal[[#This Row],[DESCRIÇÃO]]</f>
        <v>DEXAMETASONA 1 MG/ML (0,1%) SUSPENSAO OFTALMICA</v>
      </c>
      <c r="C52" s="11" t="str">
        <f>TabelaPrincipal[[#This Row],[UND]]</f>
        <v>FR</v>
      </c>
      <c r="D52" s="10">
        <f>TabelaPrincipal[[#This Row],[QTD]]</f>
        <v>50</v>
      </c>
      <c r="E52" s="10" t="str">
        <f>TabelaPrincipal[[#This Row],[MARCA]]</f>
        <v>Novartis</v>
      </c>
      <c r="F52" s="12">
        <f>TabelaPrincipal[[#This Row],[CUSTO + PERCENTUAL DE ENTRADA]]</f>
        <v>12.53</v>
      </c>
      <c r="G52" s="13">
        <f>TabelaPrincipal[[#This Row],[VALOR TOTAL]]</f>
        <v>626.5</v>
      </c>
      <c r="H52" s="11"/>
    </row>
    <row r="53" spans="1:8" x14ac:dyDescent="0.25">
      <c r="A53" s="9">
        <f>TabelaPrincipal[[#This Row],[ITEM]]</f>
        <v>55</v>
      </c>
      <c r="B53" s="10" t="str">
        <f>TabelaPrincipal[[#This Row],[DESCRIÇÃO]]</f>
        <v>DEXCLORFENIRAMINA MALEATO 0,4 MG/ML SOLUCAO ORAL</v>
      </c>
      <c r="C53" s="11" t="str">
        <f>TabelaPrincipal[[#This Row],[UND]]</f>
        <v>UN</v>
      </c>
      <c r="D53" s="10">
        <f>TabelaPrincipal[[#This Row],[QTD]]</f>
        <v>900</v>
      </c>
      <c r="E53" s="10" t="str">
        <f>TabelaPrincipal[[#This Row],[MARCA]]</f>
        <v>Geolab</v>
      </c>
      <c r="F53" s="12">
        <f>TabelaPrincipal[[#This Row],[CUSTO + PERCENTUAL DE ENTRADA]]</f>
        <v>10.28</v>
      </c>
      <c r="G53" s="13">
        <f>TabelaPrincipal[[#This Row],[VALOR TOTAL]]</f>
        <v>9252</v>
      </c>
      <c r="H53" s="11"/>
    </row>
    <row r="54" spans="1:8" x14ac:dyDescent="0.25">
      <c r="A54" s="9">
        <f>TabelaPrincipal[[#This Row],[ITEM]]</f>
        <v>56</v>
      </c>
      <c r="B54" s="10" t="str">
        <f>TabelaPrincipal[[#This Row],[DESCRIÇÃO]]</f>
        <v>DEXCLORFENIRAMINA MALEATO 2MG</v>
      </c>
      <c r="C54" s="11" t="str">
        <f>TabelaPrincipal[[#This Row],[UND]]</f>
        <v>CP</v>
      </c>
      <c r="D54" s="10">
        <f>TabelaPrincipal[[#This Row],[QTD]]</f>
        <v>10000</v>
      </c>
      <c r="E54" s="10" t="str">
        <f>TabelaPrincipal[[#This Row],[MARCA]]</f>
        <v>Geolab</v>
      </c>
      <c r="F54" s="12">
        <f>TabelaPrincipal[[#This Row],[CUSTO + PERCENTUAL DE ENTRADA]]</f>
        <v>0.21</v>
      </c>
      <c r="G54" s="13">
        <f>TabelaPrincipal[[#This Row],[VALOR TOTAL]]</f>
        <v>2100</v>
      </c>
      <c r="H54" s="11"/>
    </row>
    <row r="55" spans="1:8" x14ac:dyDescent="0.25">
      <c r="A55" s="9">
        <f>TabelaPrincipal[[#This Row],[ITEM]]</f>
        <v>57</v>
      </c>
      <c r="B55" s="10" t="str">
        <f>TabelaPrincipal[[#This Row],[DESCRIÇÃO]]</f>
        <v>DIAZEPAM 10 MG</v>
      </c>
      <c r="C55" s="11" t="str">
        <f>TabelaPrincipal[[#This Row],[UND]]</f>
        <v>CP</v>
      </c>
      <c r="D55" s="10">
        <f>TabelaPrincipal[[#This Row],[QTD]]</f>
        <v>35000</v>
      </c>
      <c r="E55" s="10" t="str">
        <f>TabelaPrincipal[[#This Row],[MARCA]]</f>
        <v>Pharlab</v>
      </c>
      <c r="F55" s="12">
        <f>TabelaPrincipal[[#This Row],[CUSTO + PERCENTUAL DE ENTRADA]]</f>
        <v>0.22</v>
      </c>
      <c r="G55" s="13">
        <f>TabelaPrincipal[[#This Row],[VALOR TOTAL]]</f>
        <v>7700</v>
      </c>
      <c r="H55" s="11"/>
    </row>
    <row r="56" spans="1:8" x14ac:dyDescent="0.25">
      <c r="A56" s="9">
        <f>TabelaPrincipal[[#This Row],[ITEM]]</f>
        <v>58</v>
      </c>
      <c r="B56" s="10" t="str">
        <f>TabelaPrincipal[[#This Row],[DESCRIÇÃO]]</f>
        <v>DIAZEPAM 5 MG</v>
      </c>
      <c r="C56" s="11" t="str">
        <f>TabelaPrincipal[[#This Row],[UND]]</f>
        <v>CP</v>
      </c>
      <c r="D56" s="10">
        <f>TabelaPrincipal[[#This Row],[QTD]]</f>
        <v>1000</v>
      </c>
      <c r="E56" s="10" t="str">
        <f>TabelaPrincipal[[#This Row],[MARCA]]</f>
        <v>Germed</v>
      </c>
      <c r="F56" s="12">
        <f>TabelaPrincipal[[#This Row],[CUSTO + PERCENTUAL DE ENTRADA]]</f>
        <v>0.2</v>
      </c>
      <c r="G56" s="13">
        <f>TabelaPrincipal[[#This Row],[VALOR TOTAL]]</f>
        <v>200</v>
      </c>
      <c r="H56" s="11"/>
    </row>
    <row r="57" spans="1:8" x14ac:dyDescent="0.25">
      <c r="A57" s="9">
        <f>TabelaPrincipal[[#This Row],[ITEM]]</f>
        <v>59</v>
      </c>
      <c r="B57" s="10" t="str">
        <f>TabelaPrincipal[[#This Row],[DESCRIÇÃO]]</f>
        <v>DIGOXINA 0,25 MG</v>
      </c>
      <c r="C57" s="11" t="str">
        <f>TabelaPrincipal[[#This Row],[UND]]</f>
        <v>CP</v>
      </c>
      <c r="D57" s="10">
        <f>TabelaPrincipal[[#This Row],[QTD]]</f>
        <v>6000</v>
      </c>
      <c r="E57" s="10" t="str">
        <f>TabelaPrincipal[[#This Row],[MARCA]]</f>
        <v>Pharlab</v>
      </c>
      <c r="F57" s="12">
        <f>TabelaPrincipal[[#This Row],[CUSTO + PERCENTUAL DE ENTRADA]]</f>
        <v>0.39</v>
      </c>
      <c r="G57" s="13">
        <f>TabelaPrincipal[[#This Row],[VALOR TOTAL]]</f>
        <v>2340</v>
      </c>
      <c r="H57" s="11"/>
    </row>
    <row r="58" spans="1:8" x14ac:dyDescent="0.25">
      <c r="A58" s="9">
        <f>TabelaPrincipal[[#This Row],[ITEM]]</f>
        <v>60</v>
      </c>
      <c r="B58" s="10" t="str">
        <f>TabelaPrincipal[[#This Row],[DESCRIÇÃO]]</f>
        <v>DINITRATO DE ISOSSORBIDA 5MG SUBLINGUAL</v>
      </c>
      <c r="C58" s="11" t="str">
        <f>TabelaPrincipal[[#This Row],[UND]]</f>
        <v>CP</v>
      </c>
      <c r="D58" s="10">
        <f>TabelaPrincipal[[#This Row],[QTD]]</f>
        <v>500</v>
      </c>
      <c r="E58" s="10" t="str">
        <f>TabelaPrincipal[[#This Row],[MARCA]]</f>
        <v>EMS</v>
      </c>
      <c r="F58" s="12">
        <f>TabelaPrincipal[[#This Row],[CUSTO + PERCENTUAL DE ENTRADA]]</f>
        <v>0.56000000000000005</v>
      </c>
      <c r="G58" s="13">
        <f>TabelaPrincipal[[#This Row],[VALOR TOTAL]]</f>
        <v>280</v>
      </c>
      <c r="H58" s="11"/>
    </row>
    <row r="59" spans="1:8" x14ac:dyDescent="0.25">
      <c r="A59" s="9">
        <f>TabelaPrincipal[[#This Row],[ITEM]]</f>
        <v>61</v>
      </c>
      <c r="B59" s="10" t="str">
        <f>TabelaPrincipal[[#This Row],[DESCRIÇÃO]]</f>
        <v>DIPIRONA SODICA 500 MG COMPRIMIDO</v>
      </c>
      <c r="C59" s="11" t="str">
        <f>TabelaPrincipal[[#This Row],[UND]]</f>
        <v>CP</v>
      </c>
      <c r="D59" s="10">
        <f>TabelaPrincipal[[#This Row],[QTD]]</f>
        <v>70000</v>
      </c>
      <c r="E59" s="10" t="str">
        <f>TabelaPrincipal[[#This Row],[MARCA]]</f>
        <v>Vitamedic</v>
      </c>
      <c r="F59" s="12">
        <f>TabelaPrincipal[[#This Row],[CUSTO + PERCENTUAL DE ENTRADA]]</f>
        <v>0.35</v>
      </c>
      <c r="G59" s="13">
        <f>TabelaPrincipal[[#This Row],[VALOR TOTAL]]</f>
        <v>24500</v>
      </c>
      <c r="H59" s="11"/>
    </row>
    <row r="60" spans="1:8" x14ac:dyDescent="0.25">
      <c r="A60" s="9">
        <f>TabelaPrincipal[[#This Row],[ITEM]]</f>
        <v>62</v>
      </c>
      <c r="B60" s="10" t="str">
        <f>TabelaPrincipal[[#This Row],[DESCRIÇÃO]]</f>
        <v>DIPIRONA SODICA 500MG/ML FRASCO 20ML</v>
      </c>
      <c r="C60" s="11" t="str">
        <f>TabelaPrincipal[[#This Row],[UND]]</f>
        <v>FR</v>
      </c>
      <c r="D60" s="10">
        <f>TabelaPrincipal[[#This Row],[QTD]]</f>
        <v>600</v>
      </c>
      <c r="E60" s="10" t="str">
        <f>TabelaPrincipal[[#This Row],[MARCA]]</f>
        <v>Airela</v>
      </c>
      <c r="F60" s="12">
        <f>TabelaPrincipal[[#This Row],[CUSTO + PERCENTUAL DE ENTRADA]]</f>
        <v>6.56</v>
      </c>
      <c r="G60" s="13">
        <f>TabelaPrincipal[[#This Row],[VALOR TOTAL]]</f>
        <v>3935.9999999999995</v>
      </c>
      <c r="H60" s="11"/>
    </row>
    <row r="61" spans="1:8" x14ac:dyDescent="0.25">
      <c r="A61" s="9">
        <f>TabelaPrincipal[[#This Row],[ITEM]]</f>
        <v>63</v>
      </c>
      <c r="B61" s="10" t="str">
        <f>TabelaPrincipal[[#This Row],[DESCRIÇÃO]]</f>
        <v>DOXAZOSINA 2MG</v>
      </c>
      <c r="C61" s="11" t="str">
        <f>TabelaPrincipal[[#This Row],[UND]]</f>
        <v>CP</v>
      </c>
      <c r="D61" s="10">
        <f>TabelaPrincipal[[#This Row],[QTD]]</f>
        <v>12000</v>
      </c>
      <c r="E61" s="10" t="str">
        <f>TabelaPrincipal[[#This Row],[MARCA]]</f>
        <v>Geolab</v>
      </c>
      <c r="F61" s="12">
        <f>TabelaPrincipal[[#This Row],[CUSTO + PERCENTUAL DE ENTRADA]]</f>
        <v>0.28000000000000003</v>
      </c>
      <c r="G61" s="13">
        <f>TabelaPrincipal[[#This Row],[VALOR TOTAL]]</f>
        <v>3360.0000000000005</v>
      </c>
      <c r="H61" s="11"/>
    </row>
    <row r="62" spans="1:8" x14ac:dyDescent="0.25">
      <c r="A62" s="9">
        <f>TabelaPrincipal[[#This Row],[ITEM]]</f>
        <v>64</v>
      </c>
      <c r="B62" s="10" t="str">
        <f>TabelaPrincipal[[#This Row],[DESCRIÇÃO]]</f>
        <v>DOXAZOSINA MESILATO 4MG</v>
      </c>
      <c r="C62" s="11" t="str">
        <f>TabelaPrincipal[[#This Row],[UND]]</f>
        <v>CP</v>
      </c>
      <c r="D62" s="10">
        <f>TabelaPrincipal[[#This Row],[QTD]]</f>
        <v>8000</v>
      </c>
      <c r="E62" s="10" t="str">
        <f>TabelaPrincipal[[#This Row],[MARCA]]</f>
        <v>Eurofarma</v>
      </c>
      <c r="F62" s="12">
        <f>TabelaPrincipal[[#This Row],[CUSTO + PERCENTUAL DE ENTRADA]]</f>
        <v>1.31</v>
      </c>
      <c r="G62" s="13">
        <f>TabelaPrincipal[[#This Row],[VALOR TOTAL]]</f>
        <v>10480</v>
      </c>
      <c r="H62" s="11"/>
    </row>
    <row r="63" spans="1:8" x14ac:dyDescent="0.25">
      <c r="A63" s="9">
        <f>TabelaPrincipal[[#This Row],[ITEM]]</f>
        <v>65</v>
      </c>
      <c r="B63" s="10" t="str">
        <f>TabelaPrincipal[[#This Row],[DESCRIÇÃO]]</f>
        <v>ENALAPRIL MALEATO 10 MG COMPRIMIDO</v>
      </c>
      <c r="C63" s="11" t="str">
        <f>TabelaPrincipal[[#This Row],[UND]]</f>
        <v>CP</v>
      </c>
      <c r="D63" s="10">
        <f>TabelaPrincipal[[#This Row],[QTD]]</f>
        <v>45000</v>
      </c>
      <c r="E63" s="10" t="str">
        <f>TabelaPrincipal[[#This Row],[MARCA]]</f>
        <v>Vitamedic</v>
      </c>
      <c r="F63" s="12">
        <f>TabelaPrincipal[[#This Row],[CUSTO + PERCENTUAL DE ENTRADA]]</f>
        <v>0.14000000000000001</v>
      </c>
      <c r="G63" s="13">
        <f>TabelaPrincipal[[#This Row],[VALOR TOTAL]]</f>
        <v>6300.0000000000009</v>
      </c>
      <c r="H63" s="11"/>
    </row>
    <row r="64" spans="1:8" x14ac:dyDescent="0.25">
      <c r="A64" s="9">
        <f>TabelaPrincipal[[#This Row],[ITEM]]</f>
        <v>66</v>
      </c>
      <c r="B64" s="10" t="str">
        <f>TabelaPrincipal[[#This Row],[DESCRIÇÃO]]</f>
        <v>ENALAPRIL MALEATO 20 MG</v>
      </c>
      <c r="C64" s="11" t="str">
        <f>TabelaPrincipal[[#This Row],[UND]]</f>
        <v>CP</v>
      </c>
      <c r="D64" s="10">
        <f>TabelaPrincipal[[#This Row],[QTD]]</f>
        <v>45000</v>
      </c>
      <c r="E64" s="10" t="str">
        <f>TabelaPrincipal[[#This Row],[MARCA]]</f>
        <v>Vitamedic</v>
      </c>
      <c r="F64" s="12">
        <f>TabelaPrincipal[[#This Row],[CUSTO + PERCENTUAL DE ENTRADA]]</f>
        <v>0.18</v>
      </c>
      <c r="G64" s="13">
        <f>TabelaPrincipal[[#This Row],[VALOR TOTAL]]</f>
        <v>8100</v>
      </c>
      <c r="H64" s="11"/>
    </row>
    <row r="65" spans="1:8" x14ac:dyDescent="0.25">
      <c r="A65" s="9">
        <f>TabelaPrincipal[[#This Row],[ITEM]]</f>
        <v>67</v>
      </c>
      <c r="B65" s="10" t="str">
        <f>TabelaPrincipal[[#This Row],[DESCRIÇÃO]]</f>
        <v>ENALAPRIL MALEATO 5 MG COMPRIMIDO</v>
      </c>
      <c r="C65" s="11" t="str">
        <f>TabelaPrincipal[[#This Row],[UND]]</f>
        <v>CP</v>
      </c>
      <c r="D65" s="10">
        <f>TabelaPrincipal[[#This Row],[QTD]]</f>
        <v>4000</v>
      </c>
      <c r="E65" s="10" t="str">
        <f>TabelaPrincipal[[#This Row],[MARCA]]</f>
        <v>Belfar</v>
      </c>
      <c r="F65" s="12">
        <f>TabelaPrincipal[[#This Row],[CUSTO + PERCENTUAL DE ENTRADA]]</f>
        <v>0.27</v>
      </c>
      <c r="G65" s="13">
        <f>TabelaPrincipal[[#This Row],[VALOR TOTAL]]</f>
        <v>1080</v>
      </c>
      <c r="H65" s="11"/>
    </row>
    <row r="66" spans="1:8" x14ac:dyDescent="0.25">
      <c r="A66" s="9">
        <f>TabelaPrincipal[[#This Row],[ITEM]]</f>
        <v>68</v>
      </c>
      <c r="B66" s="10" t="str">
        <f>TabelaPrincipal[[#This Row],[DESCRIÇÃO]]</f>
        <v>ESPIRONOCTONA 25 MG</v>
      </c>
      <c r="C66" s="11" t="str">
        <f>TabelaPrincipal[[#This Row],[UND]]</f>
        <v>CP</v>
      </c>
      <c r="D66" s="10">
        <f>TabelaPrincipal[[#This Row],[QTD]]</f>
        <v>50000</v>
      </c>
      <c r="E66" s="10" t="str">
        <f>TabelaPrincipal[[#This Row],[MARCA]]</f>
        <v>Geolab</v>
      </c>
      <c r="F66" s="12">
        <f>TabelaPrincipal[[#This Row],[CUSTO + PERCENTUAL DE ENTRADA]]</f>
        <v>0.52</v>
      </c>
      <c r="G66" s="13">
        <f>TabelaPrincipal[[#This Row],[VALOR TOTAL]]</f>
        <v>26000</v>
      </c>
      <c r="H66" s="11"/>
    </row>
    <row r="67" spans="1:8" x14ac:dyDescent="0.25">
      <c r="A67" s="9">
        <f>TabelaPrincipal[[#This Row],[ITEM]]</f>
        <v>69</v>
      </c>
      <c r="B67" s="10" t="str">
        <f>TabelaPrincipal[[#This Row],[DESCRIÇÃO]]</f>
        <v>ESTRIOL 1MG/G CREME VAGINAL</v>
      </c>
      <c r="C67" s="11" t="str">
        <f>TabelaPrincipal[[#This Row],[UND]]</f>
        <v>BN</v>
      </c>
      <c r="D67" s="10">
        <f>TabelaPrincipal[[#This Row],[QTD]]</f>
        <v>50</v>
      </c>
      <c r="E67" s="10" t="str">
        <f>TabelaPrincipal[[#This Row],[MARCA]]</f>
        <v>Biolab</v>
      </c>
      <c r="F67" s="12">
        <f>TabelaPrincipal[[#This Row],[CUSTO + PERCENTUAL DE ENTRADA]]</f>
        <v>43.82</v>
      </c>
      <c r="G67" s="13">
        <f>TabelaPrincipal[[#This Row],[VALOR TOTAL]]</f>
        <v>2191</v>
      </c>
      <c r="H67" s="11"/>
    </row>
    <row r="68" spans="1:8" x14ac:dyDescent="0.25">
      <c r="A68" s="9">
        <f>TabelaPrincipal[[#This Row],[ITEM]]</f>
        <v>70</v>
      </c>
      <c r="B68" s="10" t="str">
        <f>TabelaPrincipal[[#This Row],[DESCRIÇÃO]]</f>
        <v>FENITOINA SODICA 100 MG COMPRIMIDO</v>
      </c>
      <c r="C68" s="11" t="str">
        <f>TabelaPrincipal[[#This Row],[UND]]</f>
        <v>CP</v>
      </c>
      <c r="D68" s="10">
        <f>TabelaPrincipal[[#This Row],[QTD]]</f>
        <v>20000</v>
      </c>
      <c r="E68" s="10" t="str">
        <f>TabelaPrincipal[[#This Row],[MARCA]]</f>
        <v>Teuto</v>
      </c>
      <c r="F68" s="12">
        <f>TabelaPrincipal[[#This Row],[CUSTO + PERCENTUAL DE ENTRADA]]</f>
        <v>0.24</v>
      </c>
      <c r="G68" s="13">
        <f>TabelaPrincipal[[#This Row],[VALOR TOTAL]]</f>
        <v>4800</v>
      </c>
      <c r="H68" s="11"/>
    </row>
    <row r="69" spans="1:8" x14ac:dyDescent="0.25">
      <c r="A69" s="9">
        <f>TabelaPrincipal[[#This Row],[ITEM]]</f>
        <v>71</v>
      </c>
      <c r="B69" s="10" t="str">
        <f>TabelaPrincipal[[#This Row],[DESCRIÇÃO]]</f>
        <v>FENOBARBITAL 100MG</v>
      </c>
      <c r="C69" s="11" t="str">
        <f>TabelaPrincipal[[#This Row],[UND]]</f>
        <v>CP</v>
      </c>
      <c r="D69" s="10">
        <f>TabelaPrincipal[[#This Row],[QTD]]</f>
        <v>20000</v>
      </c>
      <c r="E69" s="10" t="str">
        <f>TabelaPrincipal[[#This Row],[MARCA]]</f>
        <v>Teuto</v>
      </c>
      <c r="F69" s="12">
        <f>TabelaPrincipal[[#This Row],[CUSTO + PERCENTUAL DE ENTRADA]]</f>
        <v>0.21</v>
      </c>
      <c r="G69" s="13">
        <f>TabelaPrincipal[[#This Row],[VALOR TOTAL]]</f>
        <v>4200</v>
      </c>
      <c r="H69" s="11"/>
    </row>
    <row r="70" spans="1:8" x14ac:dyDescent="0.25">
      <c r="A70" s="9">
        <f>TabelaPrincipal[[#This Row],[ITEM]]</f>
        <v>72</v>
      </c>
      <c r="B70" s="10" t="str">
        <f>TabelaPrincipal[[#This Row],[DESCRIÇÃO]]</f>
        <v>FENOBARBITAL SODICO 40 MG/ML SOLUCAO ORAL</v>
      </c>
      <c r="C70" s="11" t="str">
        <f>TabelaPrincipal[[#This Row],[UND]]</f>
        <v>UN</v>
      </c>
      <c r="D70" s="10">
        <f>TabelaPrincipal[[#This Row],[QTD]]</f>
        <v>60</v>
      </c>
      <c r="E70" s="10" t="str">
        <f>TabelaPrincipal[[#This Row],[MARCA]]</f>
        <v>Sanofi</v>
      </c>
      <c r="F70" s="12">
        <f>TabelaPrincipal[[#This Row],[CUSTO + PERCENTUAL DE ENTRADA]]</f>
        <v>15.19</v>
      </c>
      <c r="G70" s="13">
        <f>TabelaPrincipal[[#This Row],[VALOR TOTAL]]</f>
        <v>911.4</v>
      </c>
      <c r="H70" s="11"/>
    </row>
    <row r="71" spans="1:8" x14ac:dyDescent="0.25">
      <c r="A71" s="9">
        <f>TabelaPrincipal[[#This Row],[ITEM]]</f>
        <v>73</v>
      </c>
      <c r="B71" s="10" t="str">
        <f>TabelaPrincipal[[#This Row],[DESCRIÇÃO]]</f>
        <v>FLUCONAZOL 150 MG - CAPSULA</v>
      </c>
      <c r="C71" s="11" t="str">
        <f>TabelaPrincipal[[#This Row],[UND]]</f>
        <v>CA</v>
      </c>
      <c r="D71" s="10">
        <f>TabelaPrincipal[[#This Row],[QTD]]</f>
        <v>4000</v>
      </c>
      <c r="E71" s="10" t="str">
        <f>TabelaPrincipal[[#This Row],[MARCA]]</f>
        <v>Vitamedic</v>
      </c>
      <c r="F71" s="12">
        <f>TabelaPrincipal[[#This Row],[CUSTO + PERCENTUAL DE ENTRADA]]</f>
        <v>1.1200000000000001</v>
      </c>
      <c r="G71" s="13">
        <f>TabelaPrincipal[[#This Row],[VALOR TOTAL]]</f>
        <v>4480</v>
      </c>
      <c r="H71" s="11"/>
    </row>
    <row r="72" spans="1:8" x14ac:dyDescent="0.25">
      <c r="A72" s="9">
        <f>TabelaPrincipal[[#This Row],[ITEM]]</f>
        <v>74</v>
      </c>
      <c r="B72" s="10" t="str">
        <f>TabelaPrincipal[[#This Row],[DESCRIÇÃO]]</f>
        <v>FLUOXETINA CLORIDRATO 20 MG CAPSULA</v>
      </c>
      <c r="C72" s="11" t="str">
        <f>TabelaPrincipal[[#This Row],[UND]]</f>
        <v>CA</v>
      </c>
      <c r="D72" s="10">
        <f>TabelaPrincipal[[#This Row],[QTD]]</f>
        <v>100000</v>
      </c>
      <c r="E72" s="10" t="str">
        <f>TabelaPrincipal[[#This Row],[MARCA]]</f>
        <v>Medquímica</v>
      </c>
      <c r="F72" s="12">
        <f>TabelaPrincipal[[#This Row],[CUSTO + PERCENTUAL DE ENTRADA]]</f>
        <v>0.24</v>
      </c>
      <c r="G72" s="13">
        <f>TabelaPrincipal[[#This Row],[VALOR TOTAL]]</f>
        <v>24000</v>
      </c>
      <c r="H72" s="11"/>
    </row>
    <row r="73" spans="1:8" x14ac:dyDescent="0.25">
      <c r="A73" s="9">
        <f>TabelaPrincipal[[#This Row],[ITEM]]</f>
        <v>75</v>
      </c>
      <c r="B73" s="10" t="str">
        <f>TabelaPrincipal[[#This Row],[DESCRIÇÃO]]</f>
        <v>FOSFATO DE SODIO DE PREDNISOLONA 3MG/ML XAROPE</v>
      </c>
      <c r="C73" s="11" t="str">
        <f>TabelaPrincipal[[#This Row],[UND]]</f>
        <v>FR</v>
      </c>
      <c r="D73" s="10">
        <f>TabelaPrincipal[[#This Row],[QTD]]</f>
        <v>1000</v>
      </c>
      <c r="E73" s="10" t="str">
        <f>TabelaPrincipal[[#This Row],[MARCA]]</f>
        <v>Aché</v>
      </c>
      <c r="F73" s="12">
        <f>TabelaPrincipal[[#This Row],[CUSTO + PERCENTUAL DE ENTRADA]]</f>
        <v>24.85</v>
      </c>
      <c r="G73" s="13">
        <f>TabelaPrincipal[[#This Row],[VALOR TOTAL]]</f>
        <v>24850</v>
      </c>
      <c r="H73" s="11"/>
    </row>
    <row r="74" spans="1:8" x14ac:dyDescent="0.25">
      <c r="A74" s="9">
        <f>TabelaPrincipal[[#This Row],[ITEM]]</f>
        <v>77</v>
      </c>
      <c r="B74" s="10" t="str">
        <f>TabelaPrincipal[[#This Row],[DESCRIÇÃO]]</f>
        <v>FUROSEMIDA 40 MG COMPRIMIDO</v>
      </c>
      <c r="C74" s="11" t="str">
        <f>TabelaPrincipal[[#This Row],[UND]]</f>
        <v>CP</v>
      </c>
      <c r="D74" s="10">
        <f>TabelaPrincipal[[#This Row],[QTD]]</f>
        <v>20000</v>
      </c>
      <c r="E74" s="10" t="str">
        <f>TabelaPrincipal[[#This Row],[MARCA]]</f>
        <v>Geolab</v>
      </c>
      <c r="F74" s="12">
        <f>TabelaPrincipal[[#This Row],[CUSTO + PERCENTUAL DE ENTRADA]]</f>
        <v>0.17</v>
      </c>
      <c r="G74" s="13">
        <f>TabelaPrincipal[[#This Row],[VALOR TOTAL]]</f>
        <v>3400.0000000000005</v>
      </c>
      <c r="H74" s="11"/>
    </row>
    <row r="75" spans="1:8" x14ac:dyDescent="0.25">
      <c r="A75" s="9">
        <f>TabelaPrincipal[[#This Row],[ITEM]]</f>
        <v>78</v>
      </c>
      <c r="B75" s="10" t="str">
        <f>TabelaPrincipal[[#This Row],[DESCRIÇÃO]]</f>
        <v>GLIBENCLAMIDA 5 MG COMPRIMIDO</v>
      </c>
      <c r="C75" s="11" t="str">
        <f>TabelaPrincipal[[#This Row],[UND]]</f>
        <v>CP</v>
      </c>
      <c r="D75" s="10">
        <f>TabelaPrincipal[[#This Row],[QTD]]</f>
        <v>25000</v>
      </c>
      <c r="E75" s="10" t="str">
        <f>TabelaPrincipal[[#This Row],[MARCA]]</f>
        <v>Medquímica</v>
      </c>
      <c r="F75" s="12">
        <f>TabelaPrincipal[[#This Row],[CUSTO + PERCENTUAL DE ENTRADA]]</f>
        <v>0.21</v>
      </c>
      <c r="G75" s="13">
        <f>TabelaPrincipal[[#This Row],[VALOR TOTAL]]</f>
        <v>5250</v>
      </c>
      <c r="H75" s="11"/>
    </row>
    <row r="76" spans="1:8" x14ac:dyDescent="0.25">
      <c r="A76" s="9">
        <f>TabelaPrincipal[[#This Row],[ITEM]]</f>
        <v>79</v>
      </c>
      <c r="B76" s="10" t="str">
        <f>TabelaPrincipal[[#This Row],[DESCRIÇÃO]]</f>
        <v>GLICLAZIDA 30 MG</v>
      </c>
      <c r="C76" s="11" t="str">
        <f>TabelaPrincipal[[#This Row],[UND]]</f>
        <v>CP</v>
      </c>
      <c r="D76" s="10">
        <f>TabelaPrincipal[[#This Row],[QTD]]</f>
        <v>3000</v>
      </c>
      <c r="E76" s="10" t="str">
        <f>TabelaPrincipal[[#This Row],[MARCA]]</f>
        <v>Pharlab</v>
      </c>
      <c r="F76" s="12">
        <f>TabelaPrincipal[[#This Row],[CUSTO + PERCENTUAL DE ENTRADA]]</f>
        <v>0.55000000000000004</v>
      </c>
      <c r="G76" s="13">
        <f>TabelaPrincipal[[#This Row],[VALOR TOTAL]]</f>
        <v>1650.0000000000002</v>
      </c>
      <c r="H76" s="11"/>
    </row>
    <row r="77" spans="1:8" x14ac:dyDescent="0.25">
      <c r="A77" s="9">
        <f>TabelaPrincipal[[#This Row],[ITEM]]</f>
        <v>80</v>
      </c>
      <c r="B77" s="10" t="str">
        <f>TabelaPrincipal[[#This Row],[DESCRIÇÃO]]</f>
        <v>GLICLAZIDA 60MG COMPRIMIDO DE LIBERACAO PROLONGADA</v>
      </c>
      <c r="C77" s="11" t="str">
        <f>TabelaPrincipal[[#This Row],[UND]]</f>
        <v>CP</v>
      </c>
      <c r="D77" s="10">
        <f>TabelaPrincipal[[#This Row],[QTD]]</f>
        <v>40000</v>
      </c>
      <c r="E77" s="10" t="str">
        <f>TabelaPrincipal[[#This Row],[MARCA]]</f>
        <v>Pharlab</v>
      </c>
      <c r="F77" s="12">
        <f>TabelaPrincipal[[#This Row],[CUSTO + PERCENTUAL DE ENTRADA]]</f>
        <v>1.25</v>
      </c>
      <c r="G77" s="13">
        <f>TabelaPrincipal[[#This Row],[VALOR TOTAL]]</f>
        <v>50000</v>
      </c>
      <c r="H77" s="11"/>
    </row>
    <row r="78" spans="1:8" x14ac:dyDescent="0.25">
      <c r="A78" s="9">
        <f>TabelaPrincipal[[#This Row],[ITEM]]</f>
        <v>81</v>
      </c>
      <c r="B78" s="10" t="str">
        <f>TabelaPrincipal[[#This Row],[DESCRIÇÃO]]</f>
        <v>GLICOSIMETROS (MEDIDOR DE GLICOSE)</v>
      </c>
      <c r="C78" s="11" t="str">
        <f>TabelaPrincipal[[#This Row],[UND]]</f>
        <v>UN</v>
      </c>
      <c r="D78" s="10">
        <f>TabelaPrincipal[[#This Row],[QTD]]</f>
        <v>7</v>
      </c>
      <c r="E78" s="10" t="str">
        <f>TabelaPrincipal[[#This Row],[MARCA]]</f>
        <v>On Call Plus</v>
      </c>
      <c r="F78" s="12">
        <f>TabelaPrincipal[[#This Row],[CUSTO + PERCENTUAL DE ENTRADA]]</f>
        <v>52.44</v>
      </c>
      <c r="G78" s="13">
        <f>TabelaPrincipal[[#This Row],[VALOR TOTAL]]</f>
        <v>367.08</v>
      </c>
      <c r="H78" s="11"/>
    </row>
    <row r="79" spans="1:8" x14ac:dyDescent="0.25">
      <c r="A79" s="9">
        <f>TabelaPrincipal[[#This Row],[ITEM]]</f>
        <v>83</v>
      </c>
      <c r="B79" s="10" t="str">
        <f>TabelaPrincipal[[#This Row],[DESCRIÇÃO]]</f>
        <v>HALOPERIDOL 1MG</v>
      </c>
      <c r="C79" s="11" t="str">
        <f>TabelaPrincipal[[#This Row],[UND]]</f>
        <v>CP</v>
      </c>
      <c r="D79" s="10">
        <f>TabelaPrincipal[[#This Row],[QTD]]</f>
        <v>2000</v>
      </c>
      <c r="E79" s="10" t="str">
        <f>TabelaPrincipal[[#This Row],[MARCA]]</f>
        <v>Cellera</v>
      </c>
      <c r="F79" s="12">
        <f>TabelaPrincipal[[#This Row],[CUSTO + PERCENTUAL DE ENTRADA]]</f>
        <v>0.5</v>
      </c>
      <c r="G79" s="13">
        <f>TabelaPrincipal[[#This Row],[VALOR TOTAL]]</f>
        <v>1000</v>
      </c>
      <c r="H79" s="11"/>
    </row>
    <row r="80" spans="1:8" x14ac:dyDescent="0.25">
      <c r="A80" s="9">
        <f>TabelaPrincipal[[#This Row],[ITEM]]</f>
        <v>85</v>
      </c>
      <c r="B80" s="10" t="str">
        <f>TabelaPrincipal[[#This Row],[DESCRIÇÃO]]</f>
        <v>HALOPERIDOL 5 MG COMPRIMIDO</v>
      </c>
      <c r="C80" s="11" t="str">
        <f>TabelaPrincipal[[#This Row],[UND]]</f>
        <v>CP</v>
      </c>
      <c r="D80" s="10">
        <f>TabelaPrincipal[[#This Row],[QTD]]</f>
        <v>10000</v>
      </c>
      <c r="E80" s="10" t="str">
        <f>TabelaPrincipal[[#This Row],[MARCA]]</f>
        <v>Cellera</v>
      </c>
      <c r="F80" s="12">
        <f>TabelaPrincipal[[#This Row],[CUSTO + PERCENTUAL DE ENTRADA]]</f>
        <v>0.97</v>
      </c>
      <c r="G80" s="13">
        <f>TabelaPrincipal[[#This Row],[VALOR TOTAL]]</f>
        <v>9700</v>
      </c>
      <c r="H80" s="11"/>
    </row>
    <row r="81" spans="1:8" x14ac:dyDescent="0.25">
      <c r="A81" s="9">
        <f>TabelaPrincipal[[#This Row],[ITEM]]</f>
        <v>86</v>
      </c>
      <c r="B81" s="10" t="str">
        <f>TabelaPrincipal[[#This Row],[DESCRIÇÃO]]</f>
        <v>HIDROCLOROTIAZIDA 25 MG COMPRIMIDO</v>
      </c>
      <c r="C81" s="11" t="str">
        <f>TabelaPrincipal[[#This Row],[UND]]</f>
        <v>CP</v>
      </c>
      <c r="D81" s="10">
        <f>TabelaPrincipal[[#This Row],[QTD]]</f>
        <v>125000</v>
      </c>
      <c r="E81" s="10" t="str">
        <f>TabelaPrincipal[[#This Row],[MARCA]]</f>
        <v>Medquímica</v>
      </c>
      <c r="F81" s="12">
        <f>TabelaPrincipal[[#This Row],[CUSTO + PERCENTUAL DE ENTRADA]]</f>
        <v>0.06</v>
      </c>
      <c r="G81" s="13">
        <f>TabelaPrincipal[[#This Row],[VALOR TOTAL]]</f>
        <v>7500</v>
      </c>
      <c r="H81" s="11"/>
    </row>
    <row r="82" spans="1:8" x14ac:dyDescent="0.25">
      <c r="A82" s="9">
        <f>TabelaPrincipal[[#This Row],[ITEM]]</f>
        <v>87</v>
      </c>
      <c r="B82" s="10" t="str">
        <f>TabelaPrincipal[[#This Row],[DESCRIÇÃO]]</f>
        <v>HIDROCORTISONA ACETATO 10MG/G CREME DERMATOLOGICO</v>
      </c>
      <c r="C82" s="11" t="str">
        <f>TabelaPrincipal[[#This Row],[UND]]</f>
        <v>BN</v>
      </c>
      <c r="D82" s="10">
        <f>TabelaPrincipal[[#This Row],[QTD]]</f>
        <v>100</v>
      </c>
      <c r="E82" s="10" t="str">
        <f>TabelaPrincipal[[#This Row],[MARCA]]</f>
        <v>Teuto</v>
      </c>
      <c r="F82" s="12">
        <f>TabelaPrincipal[[#This Row],[CUSTO + PERCENTUAL DE ENTRADA]]</f>
        <v>19.09</v>
      </c>
      <c r="G82" s="13">
        <f>TabelaPrincipal[[#This Row],[VALOR TOTAL]]</f>
        <v>1909</v>
      </c>
      <c r="H82" s="11"/>
    </row>
    <row r="83" spans="1:8" x14ac:dyDescent="0.25">
      <c r="A83" s="9">
        <f>TabelaPrincipal[[#This Row],[ITEM]]</f>
        <v>88</v>
      </c>
      <c r="B83" s="10" t="str">
        <f>TabelaPrincipal[[#This Row],[DESCRIÇÃO]]</f>
        <v>IBUPROFENO 50MG/ML</v>
      </c>
      <c r="C83" s="11" t="str">
        <f>TabelaPrincipal[[#This Row],[UND]]</f>
        <v>UN</v>
      </c>
      <c r="D83" s="10">
        <f>TabelaPrincipal[[#This Row],[QTD]]</f>
        <v>400</v>
      </c>
      <c r="E83" s="10" t="str">
        <f>TabelaPrincipal[[#This Row],[MARCA]]</f>
        <v>Geolab</v>
      </c>
      <c r="F83" s="12">
        <f>TabelaPrincipal[[#This Row],[CUSTO + PERCENTUAL DE ENTRADA]]</f>
        <v>11.32</v>
      </c>
      <c r="G83" s="13">
        <f>TabelaPrincipal[[#This Row],[VALOR TOTAL]]</f>
        <v>4528</v>
      </c>
      <c r="H83" s="11"/>
    </row>
    <row r="84" spans="1:8" x14ac:dyDescent="0.25">
      <c r="A84" s="9">
        <f>TabelaPrincipal[[#This Row],[ITEM]]</f>
        <v>89</v>
      </c>
      <c r="B84" s="10" t="str">
        <f>TabelaPrincipal[[#This Row],[DESCRIÇÃO]]</f>
        <v>IBUPROFENO 600 MG COMPRIMIDO</v>
      </c>
      <c r="C84" s="11" t="str">
        <f>TabelaPrincipal[[#This Row],[UND]]</f>
        <v>CP</v>
      </c>
      <c r="D84" s="10">
        <f>TabelaPrincipal[[#This Row],[QTD]]</f>
        <v>70000</v>
      </c>
      <c r="E84" s="10" t="str">
        <f>TabelaPrincipal[[#This Row],[MARCA]]</f>
        <v>Vitamedic</v>
      </c>
      <c r="F84" s="12">
        <f>TabelaPrincipal[[#This Row],[CUSTO + PERCENTUAL DE ENTRADA]]</f>
        <v>0.36</v>
      </c>
      <c r="G84" s="13">
        <f>TabelaPrincipal[[#This Row],[VALOR TOTAL]]</f>
        <v>25200</v>
      </c>
      <c r="H84" s="11"/>
    </row>
    <row r="85" spans="1:8" x14ac:dyDescent="0.25">
      <c r="A85" s="9">
        <f>TabelaPrincipal[[#This Row],[ITEM]]</f>
        <v>90</v>
      </c>
      <c r="B85" s="10" t="str">
        <f>TabelaPrincipal[[#This Row],[DESCRIÇÃO]]</f>
        <v>ISOSSORBIDA MONONITRATO 20 MG COMPRIMIDO</v>
      </c>
      <c r="C85" s="11" t="str">
        <f>TabelaPrincipal[[#This Row],[UND]]</f>
        <v>CP</v>
      </c>
      <c r="D85" s="10">
        <f>TabelaPrincipal[[#This Row],[QTD]]</f>
        <v>13000</v>
      </c>
      <c r="E85" s="10" t="str">
        <f>TabelaPrincipal[[#This Row],[MARCA]]</f>
        <v>Biolab</v>
      </c>
      <c r="F85" s="12">
        <f>TabelaPrincipal[[#This Row],[CUSTO + PERCENTUAL DE ENTRADA]]</f>
        <v>0.36</v>
      </c>
      <c r="G85" s="13">
        <f>TabelaPrincipal[[#This Row],[VALOR TOTAL]]</f>
        <v>4680</v>
      </c>
      <c r="H85" s="11"/>
    </row>
    <row r="86" spans="1:8" x14ac:dyDescent="0.25">
      <c r="A86" s="9">
        <f>TabelaPrincipal[[#This Row],[ITEM]]</f>
        <v>91</v>
      </c>
      <c r="B86" s="10" t="str">
        <f>TabelaPrincipal[[#This Row],[DESCRIÇÃO]]</f>
        <v>ISOSSORBIDA MONONITRATO 40 MG</v>
      </c>
      <c r="C86" s="11" t="str">
        <f>TabelaPrincipal[[#This Row],[UND]]</f>
        <v>CP</v>
      </c>
      <c r="D86" s="10">
        <f>TabelaPrincipal[[#This Row],[QTD]]</f>
        <v>8000</v>
      </c>
      <c r="E86" s="10" t="str">
        <f>TabelaPrincipal[[#This Row],[MARCA]]</f>
        <v>Aché</v>
      </c>
      <c r="F86" s="12">
        <f>TabelaPrincipal[[#This Row],[CUSTO + PERCENTUAL DE ENTRADA]]</f>
        <v>0.88</v>
      </c>
      <c r="G86" s="13">
        <f>TabelaPrincipal[[#This Row],[VALOR TOTAL]]</f>
        <v>7040</v>
      </c>
      <c r="H86" s="11"/>
    </row>
    <row r="87" spans="1:8" x14ac:dyDescent="0.25">
      <c r="A87" s="9">
        <f>TabelaPrincipal[[#This Row],[ITEM]]</f>
        <v>92</v>
      </c>
      <c r="B87" s="10" t="str">
        <f>TabelaPrincipal[[#This Row],[DESCRIÇÃO]]</f>
        <v>ITRACONAZOL 100MG</v>
      </c>
      <c r="C87" s="11" t="str">
        <f>TabelaPrincipal[[#This Row],[UND]]</f>
        <v>CA</v>
      </c>
      <c r="D87" s="10">
        <f>TabelaPrincipal[[#This Row],[QTD]]</f>
        <v>600</v>
      </c>
      <c r="E87" s="10" t="str">
        <f>TabelaPrincipal[[#This Row],[MARCA]]</f>
        <v>Legrand</v>
      </c>
      <c r="F87" s="12">
        <f>TabelaPrincipal[[#This Row],[CUSTO + PERCENTUAL DE ENTRADA]]</f>
        <v>2.3199999999999998</v>
      </c>
      <c r="G87" s="13">
        <f>TabelaPrincipal[[#This Row],[VALOR TOTAL]]</f>
        <v>1392</v>
      </c>
      <c r="H87" s="11"/>
    </row>
    <row r="88" spans="1:8" x14ac:dyDescent="0.25">
      <c r="A88" s="9">
        <f>TabelaPrincipal[[#This Row],[ITEM]]</f>
        <v>93</v>
      </c>
      <c r="B88" s="10" t="str">
        <f>TabelaPrincipal[[#This Row],[DESCRIÇÃO]]</f>
        <v>IVERMECTINA 6MG</v>
      </c>
      <c r="C88" s="11" t="str">
        <f>TabelaPrincipal[[#This Row],[UND]]</f>
        <v>CP</v>
      </c>
      <c r="D88" s="10">
        <f>TabelaPrincipal[[#This Row],[QTD]]</f>
        <v>600</v>
      </c>
      <c r="E88" s="10" t="str">
        <f>TabelaPrincipal[[#This Row],[MARCA]]</f>
        <v>Germed</v>
      </c>
      <c r="F88" s="12">
        <f>TabelaPrincipal[[#This Row],[CUSTO + PERCENTUAL DE ENTRADA]]</f>
        <v>2.65</v>
      </c>
      <c r="G88" s="13">
        <f>TabelaPrincipal[[#This Row],[VALOR TOTAL]]</f>
        <v>1590</v>
      </c>
      <c r="H88" s="11"/>
    </row>
    <row r="89" spans="1:8" x14ac:dyDescent="0.25">
      <c r="A89" s="9">
        <f>TabelaPrincipal[[#This Row],[ITEM]]</f>
        <v>96</v>
      </c>
      <c r="B89" s="10" t="str">
        <f>TabelaPrincipal[[#This Row],[DESCRIÇÃO]]</f>
        <v>LEVOTIROXINA SODICA 100 MCG</v>
      </c>
      <c r="C89" s="11" t="str">
        <f>TabelaPrincipal[[#This Row],[UND]]</f>
        <v>CP</v>
      </c>
      <c r="D89" s="10">
        <f>TabelaPrincipal[[#This Row],[QTD]]</f>
        <v>10000</v>
      </c>
      <c r="E89" s="10" t="str">
        <f>TabelaPrincipal[[#This Row],[MARCA]]</f>
        <v>Merck</v>
      </c>
      <c r="F89" s="12">
        <f>TabelaPrincipal[[#This Row],[CUSTO + PERCENTUAL DE ENTRADA]]</f>
        <v>0.32</v>
      </c>
      <c r="G89" s="13">
        <f>TabelaPrincipal[[#This Row],[VALOR TOTAL]]</f>
        <v>3200</v>
      </c>
      <c r="H89" s="11"/>
    </row>
    <row r="90" spans="1:8" x14ac:dyDescent="0.25">
      <c r="A90" s="9">
        <f>TabelaPrincipal[[#This Row],[ITEM]]</f>
        <v>97</v>
      </c>
      <c r="B90" s="10" t="str">
        <f>TabelaPrincipal[[#This Row],[DESCRIÇÃO]]</f>
        <v>LEVOTIROXINA SODICA 25 MCG COMPRIMIDO</v>
      </c>
      <c r="C90" s="11" t="str">
        <f>TabelaPrincipal[[#This Row],[UND]]</f>
        <v>CP</v>
      </c>
      <c r="D90" s="10">
        <f>TabelaPrincipal[[#This Row],[QTD]]</f>
        <v>70000</v>
      </c>
      <c r="E90" s="10" t="str">
        <f>TabelaPrincipal[[#This Row],[MARCA]]</f>
        <v>Merck</v>
      </c>
      <c r="F90" s="12">
        <f>TabelaPrincipal[[#This Row],[CUSTO + PERCENTUAL DE ENTRADA]]</f>
        <v>0.35</v>
      </c>
      <c r="G90" s="13">
        <f>TabelaPrincipal[[#This Row],[VALOR TOTAL]]</f>
        <v>24500</v>
      </c>
      <c r="H90" s="11"/>
    </row>
    <row r="91" spans="1:8" x14ac:dyDescent="0.25">
      <c r="A91" s="9">
        <f>TabelaPrincipal[[#This Row],[ITEM]]</f>
        <v>98</v>
      </c>
      <c r="B91" s="10" t="str">
        <f>TabelaPrincipal[[#This Row],[DESCRIÇÃO]]</f>
        <v>LEVOTIROXINA SODICA 50 MCG COMPRIMIDO</v>
      </c>
      <c r="C91" s="11" t="str">
        <f>TabelaPrincipal[[#This Row],[UND]]</f>
        <v>CP</v>
      </c>
      <c r="D91" s="10">
        <f>TabelaPrincipal[[#This Row],[QTD]]</f>
        <v>70000</v>
      </c>
      <c r="E91" s="10" t="str">
        <f>TabelaPrincipal[[#This Row],[MARCA]]</f>
        <v>Merck</v>
      </c>
      <c r="F91" s="12">
        <f>TabelaPrincipal[[#This Row],[CUSTO + PERCENTUAL DE ENTRADA]]</f>
        <v>0.45</v>
      </c>
      <c r="G91" s="13">
        <f>TabelaPrincipal[[#This Row],[VALOR TOTAL]]</f>
        <v>31500</v>
      </c>
      <c r="H91" s="11"/>
    </row>
    <row r="92" spans="1:8" x14ac:dyDescent="0.25">
      <c r="A92" s="9">
        <f>TabelaPrincipal[[#This Row],[ITEM]]</f>
        <v>99</v>
      </c>
      <c r="B92" s="10" t="str">
        <f>TabelaPrincipal[[#This Row],[DESCRIÇÃO]]</f>
        <v>LORATADINA 1 MG/ML XAROPE</v>
      </c>
      <c r="C92" s="11" t="str">
        <f>TabelaPrincipal[[#This Row],[UND]]</f>
        <v>UN</v>
      </c>
      <c r="D92" s="10">
        <f>TabelaPrincipal[[#This Row],[QTD]]</f>
        <v>900</v>
      </c>
      <c r="E92" s="10" t="str">
        <f>TabelaPrincipal[[#This Row],[MARCA]]</f>
        <v>Airela</v>
      </c>
      <c r="F92" s="12">
        <f>TabelaPrincipal[[#This Row],[CUSTO + PERCENTUAL DE ENTRADA]]</f>
        <v>9.52</v>
      </c>
      <c r="G92" s="13">
        <f>TabelaPrincipal[[#This Row],[VALOR TOTAL]]</f>
        <v>8568</v>
      </c>
      <c r="H92" s="11"/>
    </row>
    <row r="93" spans="1:8" x14ac:dyDescent="0.25">
      <c r="A93" s="9">
        <f>TabelaPrincipal[[#This Row],[ITEM]]</f>
        <v>100</v>
      </c>
      <c r="B93" s="10" t="str">
        <f>TabelaPrincipal[[#This Row],[DESCRIÇÃO]]</f>
        <v>LORATADINA 10MG</v>
      </c>
      <c r="C93" s="11" t="str">
        <f>TabelaPrincipal[[#This Row],[UND]]</f>
        <v>CP</v>
      </c>
      <c r="D93" s="10">
        <f>TabelaPrincipal[[#This Row],[QTD]]</f>
        <v>10000</v>
      </c>
      <c r="E93" s="10" t="str">
        <f>TabelaPrincipal[[#This Row],[MARCA]]</f>
        <v>Geolab</v>
      </c>
      <c r="F93" s="12">
        <f>TabelaPrincipal[[#This Row],[CUSTO + PERCENTUAL DE ENTRADA]]</f>
        <v>0.27</v>
      </c>
      <c r="G93" s="13">
        <f>TabelaPrincipal[[#This Row],[VALOR TOTAL]]</f>
        <v>2700</v>
      </c>
      <c r="H93" s="11"/>
    </row>
    <row r="94" spans="1:8" x14ac:dyDescent="0.25">
      <c r="A94" s="9">
        <f>TabelaPrincipal[[#This Row],[ITEM]]</f>
        <v>101</v>
      </c>
      <c r="B94" s="10" t="str">
        <f>TabelaPrincipal[[#This Row],[DESCRIÇÃO]]</f>
        <v>LOSARTANA POTASSICA 50MG</v>
      </c>
      <c r="C94" s="11" t="str">
        <f>TabelaPrincipal[[#This Row],[UND]]</f>
        <v>CP</v>
      </c>
      <c r="D94" s="10">
        <f>TabelaPrincipal[[#This Row],[QTD]]</f>
        <v>280000</v>
      </c>
      <c r="E94" s="10" t="str">
        <f>TabelaPrincipal[[#This Row],[MARCA]]</f>
        <v>Pharlab</v>
      </c>
      <c r="F94" s="12">
        <f>TabelaPrincipal[[#This Row],[CUSTO + PERCENTUAL DE ENTRADA]]</f>
        <v>0.11</v>
      </c>
      <c r="G94" s="13">
        <f>TabelaPrincipal[[#This Row],[VALOR TOTAL]]</f>
        <v>30800</v>
      </c>
      <c r="H94" s="11"/>
    </row>
    <row r="95" spans="1:8" x14ac:dyDescent="0.25">
      <c r="A95" s="9">
        <f>TabelaPrincipal[[#This Row],[ITEM]]</f>
        <v>102</v>
      </c>
      <c r="B95" s="10" t="str">
        <f>TabelaPrincipal[[#This Row],[DESCRIÇÃO]]</f>
        <v>MALEATO DE TIMOLOL 5MG/ML 0,5%</v>
      </c>
      <c r="C95" s="11" t="str">
        <f>TabelaPrincipal[[#This Row],[UND]]</f>
        <v>FR</v>
      </c>
      <c r="D95" s="10">
        <f>TabelaPrincipal[[#This Row],[QTD]]</f>
        <v>100</v>
      </c>
      <c r="E95" s="10" t="str">
        <f>TabelaPrincipal[[#This Row],[MARCA]]</f>
        <v>Germed</v>
      </c>
      <c r="F95" s="12">
        <f>TabelaPrincipal[[#This Row],[CUSTO + PERCENTUAL DE ENTRADA]]</f>
        <v>6.44</v>
      </c>
      <c r="G95" s="13">
        <f>TabelaPrincipal[[#This Row],[VALOR TOTAL]]</f>
        <v>644</v>
      </c>
      <c r="H95" s="11"/>
    </row>
    <row r="96" spans="1:8" x14ac:dyDescent="0.25">
      <c r="A96" s="9">
        <f>TabelaPrincipal[[#This Row],[ITEM]]</f>
        <v>103</v>
      </c>
      <c r="B96" s="10" t="str">
        <f>TabelaPrincipal[[#This Row],[DESCRIÇÃO]]</f>
        <v>METFORMINA CLORIDRATO  850 MG COMPRIMIDO</v>
      </c>
      <c r="C96" s="11" t="str">
        <f>TabelaPrincipal[[#This Row],[UND]]</f>
        <v>CP</v>
      </c>
      <c r="D96" s="10">
        <f>TabelaPrincipal[[#This Row],[QTD]]</f>
        <v>100000</v>
      </c>
      <c r="E96" s="10" t="str">
        <f>TabelaPrincipal[[#This Row],[MARCA]]</f>
        <v>Geolab</v>
      </c>
      <c r="F96" s="12">
        <f>TabelaPrincipal[[#This Row],[CUSTO + PERCENTUAL DE ENTRADA]]</f>
        <v>0.34</v>
      </c>
      <c r="G96" s="13">
        <f>TabelaPrincipal[[#This Row],[VALOR TOTAL]]</f>
        <v>34000</v>
      </c>
      <c r="H96" s="11"/>
    </row>
    <row r="97" spans="1:8" x14ac:dyDescent="0.25">
      <c r="A97" s="9">
        <f>TabelaPrincipal[[#This Row],[ITEM]]</f>
        <v>104</v>
      </c>
      <c r="B97" s="10" t="str">
        <f>TabelaPrincipal[[#This Row],[DESCRIÇÃO]]</f>
        <v>METFORMINA CLORIDRATO 500 MG COMPRIMIDO</v>
      </c>
      <c r="C97" s="11" t="str">
        <f>TabelaPrincipal[[#This Row],[UND]]</f>
        <v>CP</v>
      </c>
      <c r="D97" s="10">
        <f>TabelaPrincipal[[#This Row],[QTD]]</f>
        <v>70000</v>
      </c>
      <c r="E97" s="10" t="str">
        <f>TabelaPrincipal[[#This Row],[MARCA]]</f>
        <v>Vitamedic</v>
      </c>
      <c r="F97" s="12">
        <f>TabelaPrincipal[[#This Row],[CUSTO + PERCENTUAL DE ENTRADA]]</f>
        <v>0.28999999999999998</v>
      </c>
      <c r="G97" s="13">
        <f>TabelaPrincipal[[#This Row],[VALOR TOTAL]]</f>
        <v>20300</v>
      </c>
      <c r="H97" s="11"/>
    </row>
    <row r="98" spans="1:8" x14ac:dyDescent="0.25">
      <c r="A98" s="9">
        <f>TabelaPrincipal[[#This Row],[ITEM]]</f>
        <v>105</v>
      </c>
      <c r="B98" s="10" t="str">
        <f>TabelaPrincipal[[#This Row],[DESCRIÇÃO]]</f>
        <v>METILDOPA 250 MG COMPRIMIDO</v>
      </c>
      <c r="C98" s="11" t="str">
        <f>TabelaPrincipal[[#This Row],[UND]]</f>
        <v>UN</v>
      </c>
      <c r="D98" s="10">
        <f>TabelaPrincipal[[#This Row],[QTD]]</f>
        <v>35000</v>
      </c>
      <c r="E98" s="10" t="str">
        <f>TabelaPrincipal[[#This Row],[MARCA]]</f>
        <v>EMS</v>
      </c>
      <c r="F98" s="12">
        <f>TabelaPrincipal[[#This Row],[CUSTO + PERCENTUAL DE ENTRADA]]</f>
        <v>1.19</v>
      </c>
      <c r="G98" s="13">
        <f>TabelaPrincipal[[#This Row],[VALOR TOTAL]]</f>
        <v>41650</v>
      </c>
      <c r="H98" s="11"/>
    </row>
    <row r="99" spans="1:8" x14ac:dyDescent="0.25">
      <c r="A99" s="9">
        <f>TabelaPrincipal[[#This Row],[ITEM]]</f>
        <v>106</v>
      </c>
      <c r="B99" s="10" t="str">
        <f>TabelaPrincipal[[#This Row],[DESCRIÇÃO]]</f>
        <v>METOCLOPRAMIDA CLORIDRATO 10 MG COMPRIMIDO</v>
      </c>
      <c r="C99" s="11" t="str">
        <f>TabelaPrincipal[[#This Row],[UND]]</f>
        <v>CP</v>
      </c>
      <c r="D99" s="10">
        <f>TabelaPrincipal[[#This Row],[QTD]]</f>
        <v>3000</v>
      </c>
      <c r="E99" s="10" t="str">
        <f>TabelaPrincipal[[#This Row],[MARCA]]</f>
        <v>Belfar</v>
      </c>
      <c r="F99" s="12">
        <f>TabelaPrincipal[[#This Row],[CUSTO + PERCENTUAL DE ENTRADA]]</f>
        <v>0.39</v>
      </c>
      <c r="G99" s="13">
        <f>TabelaPrincipal[[#This Row],[VALOR TOTAL]]</f>
        <v>1170</v>
      </c>
      <c r="H99" s="11"/>
    </row>
    <row r="100" spans="1:8" x14ac:dyDescent="0.25">
      <c r="A100" s="9">
        <f>TabelaPrincipal[[#This Row],[ITEM]]</f>
        <v>107</v>
      </c>
      <c r="B100" s="10" t="str">
        <f>TabelaPrincipal[[#This Row],[DESCRIÇÃO]]</f>
        <v>METOCLOPRAMIDA CLORIDRATO 4 MG/ML SOLUCAO ORAL</v>
      </c>
      <c r="C100" s="11" t="str">
        <f>TabelaPrincipal[[#This Row],[UND]]</f>
        <v>UN</v>
      </c>
      <c r="D100" s="10">
        <f>TabelaPrincipal[[#This Row],[QTD]]</f>
        <v>60</v>
      </c>
      <c r="E100" s="10" t="str">
        <f>TabelaPrincipal[[#This Row],[MARCA]]</f>
        <v>Medquímica</v>
      </c>
      <c r="F100" s="12">
        <f>TabelaPrincipal[[#This Row],[CUSTO + PERCENTUAL DE ENTRADA]]</f>
        <v>4.53</v>
      </c>
      <c r="G100" s="13">
        <f>TabelaPrincipal[[#This Row],[VALOR TOTAL]]</f>
        <v>271.8</v>
      </c>
      <c r="H100" s="11"/>
    </row>
    <row r="101" spans="1:8" x14ac:dyDescent="0.25">
      <c r="A101" s="9">
        <f>TabelaPrincipal[[#This Row],[ITEM]]</f>
        <v>108</v>
      </c>
      <c r="B101" s="10" t="str">
        <f>TabelaPrincipal[[#This Row],[DESCRIÇÃO]]</f>
        <v>METOPROLOL SUCCINATO 100 MCG COMPRIMIDO REVESTIDO DE LIBERACAO CONTROLADA</v>
      </c>
      <c r="C101" s="11" t="str">
        <f>TabelaPrincipal[[#This Row],[UND]]</f>
        <v>CP</v>
      </c>
      <c r="D101" s="10">
        <f>TabelaPrincipal[[#This Row],[QTD]]</f>
        <v>10000</v>
      </c>
      <c r="E101" s="10" t="str">
        <f>TabelaPrincipal[[#This Row],[MARCA]]</f>
        <v>Biolab</v>
      </c>
      <c r="F101" s="12">
        <f>TabelaPrincipal[[#This Row],[CUSTO + PERCENTUAL DE ENTRADA]]</f>
        <v>3.48</v>
      </c>
      <c r="G101" s="13">
        <f>TabelaPrincipal[[#This Row],[VALOR TOTAL]]</f>
        <v>34800</v>
      </c>
      <c r="H101" s="11"/>
    </row>
    <row r="102" spans="1:8" x14ac:dyDescent="0.25">
      <c r="A102" s="9">
        <f>TabelaPrincipal[[#This Row],[ITEM]]</f>
        <v>110</v>
      </c>
      <c r="B102" s="10" t="str">
        <f>TabelaPrincipal[[#This Row],[DESCRIÇÃO]]</f>
        <v>METOPROLOL SUCCINATO 50 MG COMPRIMIDO REVESTIDO DE LIBERACAO CONTROLADA</v>
      </c>
      <c r="C102" s="11" t="str">
        <f>TabelaPrincipal[[#This Row],[UND]]</f>
        <v>CP</v>
      </c>
      <c r="D102" s="10">
        <f>TabelaPrincipal[[#This Row],[QTD]]</f>
        <v>40000</v>
      </c>
      <c r="E102" s="10" t="str">
        <f>TabelaPrincipal[[#This Row],[MARCA]]</f>
        <v>Biolab</v>
      </c>
      <c r="F102" s="12">
        <f>TabelaPrincipal[[#This Row],[CUSTO + PERCENTUAL DE ENTRADA]]</f>
        <v>2.04</v>
      </c>
      <c r="G102" s="13">
        <f>TabelaPrincipal[[#This Row],[VALOR TOTAL]]</f>
        <v>81600</v>
      </c>
      <c r="H102" s="11"/>
    </row>
    <row r="103" spans="1:8" x14ac:dyDescent="0.25">
      <c r="A103" s="9">
        <f>TabelaPrincipal[[#This Row],[ITEM]]</f>
        <v>111</v>
      </c>
      <c r="B103" s="10" t="str">
        <f>TabelaPrincipal[[#This Row],[DESCRIÇÃO]]</f>
        <v>METRONIDAZOL 250 MG COMPRIMIDO</v>
      </c>
      <c r="C103" s="11" t="str">
        <f>TabelaPrincipal[[#This Row],[UND]]</f>
        <v>CP</v>
      </c>
      <c r="D103" s="10">
        <f>TabelaPrincipal[[#This Row],[QTD]]</f>
        <v>10000</v>
      </c>
      <c r="E103" s="10" t="str">
        <f>TabelaPrincipal[[#This Row],[MARCA]]</f>
        <v>Brainfarma</v>
      </c>
      <c r="F103" s="12">
        <f>TabelaPrincipal[[#This Row],[CUSTO + PERCENTUAL DE ENTRADA]]</f>
        <v>0.38</v>
      </c>
      <c r="G103" s="13">
        <f>TabelaPrincipal[[#This Row],[VALOR TOTAL]]</f>
        <v>3800</v>
      </c>
      <c r="H103" s="11"/>
    </row>
    <row r="104" spans="1:8" x14ac:dyDescent="0.25">
      <c r="A104" s="9">
        <f>TabelaPrincipal[[#This Row],[ITEM]]</f>
        <v>112</v>
      </c>
      <c r="B104" s="10" t="str">
        <f>TabelaPrincipal[[#This Row],[DESCRIÇÃO]]</f>
        <v>METRONIDAZOL 400 MG</v>
      </c>
      <c r="C104" s="11" t="str">
        <f>TabelaPrincipal[[#This Row],[UND]]</f>
        <v>CP</v>
      </c>
      <c r="D104" s="10">
        <f>TabelaPrincipal[[#This Row],[QTD]]</f>
        <v>600</v>
      </c>
      <c r="E104" s="10" t="str">
        <f>TabelaPrincipal[[#This Row],[MARCA]]</f>
        <v>Multilab</v>
      </c>
      <c r="F104" s="12">
        <f>TabelaPrincipal[[#This Row],[CUSTO + PERCENTUAL DE ENTRADA]]</f>
        <v>0.78</v>
      </c>
      <c r="G104" s="13">
        <f>TabelaPrincipal[[#This Row],[VALOR TOTAL]]</f>
        <v>468</v>
      </c>
      <c r="H104" s="11"/>
    </row>
    <row r="105" spans="1:8" x14ac:dyDescent="0.25">
      <c r="A105" s="9">
        <f>TabelaPrincipal[[#This Row],[ITEM]]</f>
        <v>113</v>
      </c>
      <c r="B105" s="10" t="str">
        <f>TabelaPrincipal[[#This Row],[DESCRIÇÃO]]</f>
        <v>MICONAZOL NITRATO 20 MG/G CREME VAGINAL</v>
      </c>
      <c r="C105" s="11" t="str">
        <f>TabelaPrincipal[[#This Row],[UND]]</f>
        <v>UN</v>
      </c>
      <c r="D105" s="10">
        <f>TabelaPrincipal[[#This Row],[QTD]]</f>
        <v>500</v>
      </c>
      <c r="E105" s="10" t="str">
        <f>TabelaPrincipal[[#This Row],[MARCA]]</f>
        <v>Belfar</v>
      </c>
      <c r="F105" s="12">
        <f>TabelaPrincipal[[#This Row],[CUSTO + PERCENTUAL DE ENTRADA]]</f>
        <v>20.72</v>
      </c>
      <c r="G105" s="13">
        <f>TabelaPrincipal[[#This Row],[VALOR TOTAL]]</f>
        <v>10360</v>
      </c>
      <c r="H105" s="11"/>
    </row>
    <row r="106" spans="1:8" x14ac:dyDescent="0.25">
      <c r="A106" s="9">
        <f>TabelaPrincipal[[#This Row],[ITEM]]</f>
        <v>114</v>
      </c>
      <c r="B106" s="10" t="str">
        <f>TabelaPrincipal[[#This Row],[DESCRIÇÃO]]</f>
        <v>NITRATO DE MICONAZOL 20 MG CREME DERMATOLOGICO - EMBALAGEM 28 GRAMAS</v>
      </c>
      <c r="C106" s="11" t="str">
        <f>TabelaPrincipal[[#This Row],[UND]]</f>
        <v>BN</v>
      </c>
      <c r="D106" s="10">
        <f>TabelaPrincipal[[#This Row],[QTD]]</f>
        <v>300</v>
      </c>
      <c r="E106" s="10" t="str">
        <f>TabelaPrincipal[[#This Row],[MARCA]]</f>
        <v>Nativita</v>
      </c>
      <c r="F106" s="12">
        <f>TabelaPrincipal[[#This Row],[CUSTO + PERCENTUAL DE ENTRADA]]</f>
        <v>8.1199999999999992</v>
      </c>
      <c r="G106" s="13">
        <f>TabelaPrincipal[[#This Row],[VALOR TOTAL]]</f>
        <v>2435.9999999999995</v>
      </c>
      <c r="H106" s="11"/>
    </row>
    <row r="107" spans="1:8" x14ac:dyDescent="0.25">
      <c r="A107" s="9">
        <f>TabelaPrincipal[[#This Row],[ITEM]]</f>
        <v>115</v>
      </c>
      <c r="B107" s="10" t="str">
        <f>TabelaPrincipal[[#This Row],[DESCRIÇÃO]]</f>
        <v>NITROFURANTOINA 100 MG CAPSULA</v>
      </c>
      <c r="C107" s="11" t="str">
        <f>TabelaPrincipal[[#This Row],[UND]]</f>
        <v>UN</v>
      </c>
      <c r="D107" s="10">
        <f>TabelaPrincipal[[#This Row],[QTD]]</f>
        <v>1000</v>
      </c>
      <c r="E107" s="10" t="str">
        <f>TabelaPrincipal[[#This Row],[MARCA]]</f>
        <v>Teuto</v>
      </c>
      <c r="F107" s="12">
        <f>TabelaPrincipal[[#This Row],[CUSTO + PERCENTUAL DE ENTRADA]]</f>
        <v>0.59</v>
      </c>
      <c r="G107" s="13">
        <f>TabelaPrincipal[[#This Row],[VALOR TOTAL]]</f>
        <v>590</v>
      </c>
      <c r="H107" s="11"/>
    </row>
    <row r="108" spans="1:8" ht="25.5" x14ac:dyDescent="0.25">
      <c r="A108" s="9">
        <f>TabelaPrincipal[[#This Row],[ITEM]]</f>
        <v>116</v>
      </c>
      <c r="B108" s="10" t="str">
        <f>TabelaPrincipal[[#This Row],[DESCRIÇÃO]]</f>
        <v>ENANTATO DE NORETISTERONA + VALERATO DE ESTRADIOL 50 + 5 MG/ML SOLUÇÃO INJETÁVEL C/ 1 AMPOLA 1 ML</v>
      </c>
      <c r="C108" s="11" t="str">
        <f>TabelaPrincipal[[#This Row],[UND]]</f>
        <v>AM</v>
      </c>
      <c r="D108" s="10">
        <f>TabelaPrincipal[[#This Row],[QTD]]</f>
        <v>600</v>
      </c>
      <c r="E108" s="10" t="str">
        <f>TabelaPrincipal[[#This Row],[MARCA]]</f>
        <v>Cifarma</v>
      </c>
      <c r="F108" s="12">
        <f>TabelaPrincipal[[#This Row],[CUSTO + PERCENTUAL DE ENTRADA]]</f>
        <v>45.08</v>
      </c>
      <c r="G108" s="13">
        <f>TabelaPrincipal[[#This Row],[VALOR TOTAL]]</f>
        <v>27048</v>
      </c>
      <c r="H108" s="11"/>
    </row>
    <row r="109" spans="1:8" x14ac:dyDescent="0.25">
      <c r="A109" s="9">
        <f>TabelaPrincipal[[#This Row],[ITEM]]</f>
        <v>117</v>
      </c>
      <c r="B109" s="10" t="str">
        <f>TabelaPrincipal[[#This Row],[DESCRIÇÃO]]</f>
        <v>NORTRIPTILINA CLORIDRATO 25 MG</v>
      </c>
      <c r="C109" s="11" t="str">
        <f>TabelaPrincipal[[#This Row],[UND]]</f>
        <v>CA</v>
      </c>
      <c r="D109" s="10">
        <f>TabelaPrincipal[[#This Row],[QTD]]</f>
        <v>3000</v>
      </c>
      <c r="E109" s="10" t="str">
        <f>TabelaPrincipal[[#This Row],[MARCA]]</f>
        <v>Ranbaxy</v>
      </c>
      <c r="F109" s="12">
        <f>TabelaPrincipal[[#This Row],[CUSTO + PERCENTUAL DE ENTRADA]]</f>
        <v>0.69</v>
      </c>
      <c r="G109" s="13">
        <f>TabelaPrincipal[[#This Row],[VALOR TOTAL]]</f>
        <v>2070</v>
      </c>
      <c r="H109" s="11"/>
    </row>
    <row r="110" spans="1:8" x14ac:dyDescent="0.25">
      <c r="A110" s="9">
        <f>TabelaPrincipal[[#This Row],[ITEM]]</f>
        <v>118</v>
      </c>
      <c r="B110" s="10" t="str">
        <f>TabelaPrincipal[[#This Row],[DESCRIÇÃO]]</f>
        <v>NORTRIPTILINA CLORIDRATO 50 MG CAPSULA</v>
      </c>
      <c r="C110" s="11" t="str">
        <f>TabelaPrincipal[[#This Row],[UND]]</f>
        <v>CA</v>
      </c>
      <c r="D110" s="10">
        <f>TabelaPrincipal[[#This Row],[QTD]]</f>
        <v>10000</v>
      </c>
      <c r="E110" s="10" t="str">
        <f>TabelaPrincipal[[#This Row],[MARCA]]</f>
        <v>Ranbaxy</v>
      </c>
      <c r="F110" s="12">
        <f>TabelaPrincipal[[#This Row],[CUSTO + PERCENTUAL DE ENTRADA]]</f>
        <v>1.95</v>
      </c>
      <c r="G110" s="13">
        <f>TabelaPrincipal[[#This Row],[VALOR TOTAL]]</f>
        <v>19500</v>
      </c>
      <c r="H110" s="11"/>
    </row>
    <row r="111" spans="1:8" x14ac:dyDescent="0.25">
      <c r="A111" s="9">
        <f>TabelaPrincipal[[#This Row],[ITEM]]</f>
        <v>119</v>
      </c>
      <c r="B111" s="10" t="str">
        <f>TabelaPrincipal[[#This Row],[DESCRIÇÃO]]</f>
        <v>OMEPRAZOL 20MG</v>
      </c>
      <c r="C111" s="11" t="str">
        <f>TabelaPrincipal[[#This Row],[UND]]</f>
        <v>CP</v>
      </c>
      <c r="D111" s="10">
        <f>TabelaPrincipal[[#This Row],[QTD]]</f>
        <v>90000</v>
      </c>
      <c r="E111" s="10" t="str">
        <f>TabelaPrincipal[[#This Row],[MARCA]]</f>
        <v>Geolab</v>
      </c>
      <c r="F111" s="12">
        <f>TabelaPrincipal[[#This Row],[CUSTO + PERCENTUAL DE ENTRADA]]</f>
        <v>0.15</v>
      </c>
      <c r="G111" s="13">
        <f>TabelaPrincipal[[#This Row],[VALOR TOTAL]]</f>
        <v>13500</v>
      </c>
      <c r="H111" s="11"/>
    </row>
    <row r="112" spans="1:8" x14ac:dyDescent="0.25">
      <c r="A112" s="9">
        <f>TabelaPrincipal[[#This Row],[ITEM]]</f>
        <v>120</v>
      </c>
      <c r="B112" s="10" t="str">
        <f>TabelaPrincipal[[#This Row],[DESCRIÇÃO]]</f>
        <v>PARACETAMOL 200 MG/ML SOLUCAO ORAL</v>
      </c>
      <c r="C112" s="11" t="str">
        <f>TabelaPrincipal[[#This Row],[UND]]</f>
        <v>FR</v>
      </c>
      <c r="D112" s="10">
        <f>TabelaPrincipal[[#This Row],[QTD]]</f>
        <v>200</v>
      </c>
      <c r="E112" s="10" t="str">
        <f>TabelaPrincipal[[#This Row],[MARCA]]</f>
        <v>Geolab</v>
      </c>
      <c r="F112" s="12">
        <f>TabelaPrincipal[[#This Row],[CUSTO + PERCENTUAL DE ENTRADA]]</f>
        <v>3.78</v>
      </c>
      <c r="G112" s="13">
        <f>TabelaPrincipal[[#This Row],[VALOR TOTAL]]</f>
        <v>756</v>
      </c>
      <c r="H112" s="11"/>
    </row>
    <row r="113" spans="1:8" x14ac:dyDescent="0.25">
      <c r="A113" s="9">
        <f>TabelaPrincipal[[#This Row],[ITEM]]</f>
        <v>121</v>
      </c>
      <c r="B113" s="10" t="str">
        <f>TabelaPrincipal[[#This Row],[DESCRIÇÃO]]</f>
        <v>PARACETAMOL 500 MG COMPRIMIDO</v>
      </c>
      <c r="C113" s="11" t="str">
        <f>TabelaPrincipal[[#This Row],[UND]]</f>
        <v>CP</v>
      </c>
      <c r="D113" s="10">
        <f>TabelaPrincipal[[#This Row],[QTD]]</f>
        <v>20000</v>
      </c>
      <c r="E113" s="10" t="str">
        <f>TabelaPrincipal[[#This Row],[MARCA]]</f>
        <v>Belfar</v>
      </c>
      <c r="F113" s="12">
        <f>TabelaPrincipal[[#This Row],[CUSTO + PERCENTUAL DE ENTRADA]]</f>
        <v>0.28000000000000003</v>
      </c>
      <c r="G113" s="13">
        <f>TabelaPrincipal[[#This Row],[VALOR TOTAL]]</f>
        <v>5600.0000000000009</v>
      </c>
      <c r="H113" s="11"/>
    </row>
    <row r="114" spans="1:8" x14ac:dyDescent="0.25">
      <c r="A114" s="9">
        <f>TabelaPrincipal[[#This Row],[ITEM]]</f>
        <v>122</v>
      </c>
      <c r="B114" s="10" t="str">
        <f>TabelaPrincipal[[#This Row],[DESCRIÇÃO]]</f>
        <v>PREDNISONA 20 MG COMPRIMIDO</v>
      </c>
      <c r="C114" s="11" t="str">
        <f>TabelaPrincipal[[#This Row],[UND]]</f>
        <v>CP</v>
      </c>
      <c r="D114" s="10">
        <f>TabelaPrincipal[[#This Row],[QTD]]</f>
        <v>15000</v>
      </c>
      <c r="E114" s="10" t="str">
        <f>TabelaPrincipal[[#This Row],[MARCA]]</f>
        <v>Globo</v>
      </c>
      <c r="F114" s="12">
        <f>TabelaPrincipal[[#This Row],[CUSTO + PERCENTUAL DE ENTRADA]]</f>
        <v>0.49</v>
      </c>
      <c r="G114" s="13">
        <f>TabelaPrincipal[[#This Row],[VALOR TOTAL]]</f>
        <v>7350</v>
      </c>
      <c r="H114" s="11"/>
    </row>
    <row r="115" spans="1:8" x14ac:dyDescent="0.25">
      <c r="A115" s="9">
        <f>TabelaPrincipal[[#This Row],[ITEM]]</f>
        <v>123</v>
      </c>
      <c r="B115" s="10" t="str">
        <f>TabelaPrincipal[[#This Row],[DESCRIÇÃO]]</f>
        <v>PREDNISONA 5 MG COMPRIMIDO</v>
      </c>
      <c r="C115" s="11" t="str">
        <f>TabelaPrincipal[[#This Row],[UND]]</f>
        <v>CP</v>
      </c>
      <c r="D115" s="10">
        <f>TabelaPrincipal[[#This Row],[QTD]]</f>
        <v>15000</v>
      </c>
      <c r="E115" s="10" t="str">
        <f>TabelaPrincipal[[#This Row],[MARCA]]</f>
        <v>Nova Química</v>
      </c>
      <c r="F115" s="12">
        <f>TabelaPrincipal[[#This Row],[CUSTO + PERCENTUAL DE ENTRADA]]</f>
        <v>0.31</v>
      </c>
      <c r="G115" s="13">
        <f>TabelaPrincipal[[#This Row],[VALOR TOTAL]]</f>
        <v>4650</v>
      </c>
      <c r="H115" s="11"/>
    </row>
    <row r="116" spans="1:8" x14ac:dyDescent="0.25">
      <c r="A116" s="9">
        <f>TabelaPrincipal[[#This Row],[ITEM]]</f>
        <v>124</v>
      </c>
      <c r="B116" s="10" t="str">
        <f>TabelaPrincipal[[#This Row],[DESCRIÇÃO]]</f>
        <v>LEVODORA + CLORIDRATO DE BENZERAZIDA 100/25 MG BD</v>
      </c>
      <c r="C116" s="11" t="str">
        <f>TabelaPrincipal[[#This Row],[UND]]</f>
        <v>CP</v>
      </c>
      <c r="D116" s="10">
        <f>TabelaPrincipal[[#This Row],[QTD]]</f>
        <v>30000</v>
      </c>
      <c r="E116" s="10" t="str">
        <f>TabelaPrincipal[[#This Row],[MARCA]]</f>
        <v>Roche</v>
      </c>
      <c r="F116" s="12">
        <f>TabelaPrincipal[[#This Row],[CUSTO + PERCENTUAL DE ENTRADA]]</f>
        <v>2.5499999999999998</v>
      </c>
      <c r="G116" s="13">
        <f>TabelaPrincipal[[#This Row],[VALOR TOTAL]]</f>
        <v>76500</v>
      </c>
      <c r="H116" s="11"/>
    </row>
    <row r="117" spans="1:8" x14ac:dyDescent="0.25">
      <c r="A117" s="9">
        <f>TabelaPrincipal[[#This Row],[ITEM]]</f>
        <v>125</v>
      </c>
      <c r="B117" s="10" t="str">
        <f>TabelaPrincipal[[#This Row],[DESCRIÇÃO]]</f>
        <v>LEVODORA + CORIDRATO DE BENZERAZIDA 200MG/50 MG</v>
      </c>
      <c r="C117" s="11" t="str">
        <f>TabelaPrincipal[[#This Row],[UND]]</f>
        <v>CP</v>
      </c>
      <c r="D117" s="10">
        <f>TabelaPrincipal[[#This Row],[QTD]]</f>
        <v>18000</v>
      </c>
      <c r="E117" s="10" t="str">
        <f>TabelaPrincipal[[#This Row],[MARCA]]</f>
        <v>Roche</v>
      </c>
      <c r="F117" s="12">
        <f>TabelaPrincipal[[#This Row],[CUSTO + PERCENTUAL DE ENTRADA]]</f>
        <v>5.08</v>
      </c>
      <c r="G117" s="13">
        <f>TabelaPrincipal[[#This Row],[VALOR TOTAL]]</f>
        <v>91440</v>
      </c>
      <c r="H117" s="11"/>
    </row>
    <row r="118" spans="1:8" x14ac:dyDescent="0.25">
      <c r="A118" s="9">
        <f>TabelaPrincipal[[#This Row],[ITEM]]</f>
        <v>127</v>
      </c>
      <c r="B118" s="10" t="str">
        <f>TabelaPrincipal[[#This Row],[DESCRIÇÃO]]</f>
        <v>SINVASTATINA 10MG</v>
      </c>
      <c r="C118" s="11" t="str">
        <f>TabelaPrincipal[[#This Row],[UND]]</f>
        <v>CP</v>
      </c>
      <c r="D118" s="10">
        <f>TabelaPrincipal[[#This Row],[QTD]]</f>
        <v>15000</v>
      </c>
      <c r="E118" s="10" t="str">
        <f>TabelaPrincipal[[#This Row],[MARCA]]</f>
        <v>Pharlab</v>
      </c>
      <c r="F118" s="12">
        <f>TabelaPrincipal[[#This Row],[CUSTO + PERCENTUAL DE ENTRADA]]</f>
        <v>0.18</v>
      </c>
      <c r="G118" s="13">
        <f>TabelaPrincipal[[#This Row],[VALOR TOTAL]]</f>
        <v>2700</v>
      </c>
      <c r="H118" s="11"/>
    </row>
    <row r="119" spans="1:8" x14ac:dyDescent="0.25">
      <c r="A119" s="9">
        <f>TabelaPrincipal[[#This Row],[ITEM]]</f>
        <v>128</v>
      </c>
      <c r="B119" s="10" t="str">
        <f>TabelaPrincipal[[#This Row],[DESCRIÇÃO]]</f>
        <v>SINVASTATINA 20 MG</v>
      </c>
      <c r="C119" s="11" t="str">
        <f>TabelaPrincipal[[#This Row],[UND]]</f>
        <v>CP</v>
      </c>
      <c r="D119" s="10">
        <f>TabelaPrincipal[[#This Row],[QTD]]</f>
        <v>50000</v>
      </c>
      <c r="E119" s="10" t="str">
        <f>TabelaPrincipal[[#This Row],[MARCA]]</f>
        <v>Nova Química</v>
      </c>
      <c r="F119" s="12">
        <f>TabelaPrincipal[[#This Row],[CUSTO + PERCENTUAL DE ENTRADA]]</f>
        <v>0.2</v>
      </c>
      <c r="G119" s="13">
        <f>TabelaPrincipal[[#This Row],[VALOR TOTAL]]</f>
        <v>10000</v>
      </c>
      <c r="H119" s="11"/>
    </row>
    <row r="120" spans="1:8" x14ac:dyDescent="0.25">
      <c r="A120" s="9">
        <f>TabelaPrincipal[[#This Row],[ITEM]]</f>
        <v>129</v>
      </c>
      <c r="B120" s="10" t="str">
        <f>TabelaPrincipal[[#This Row],[DESCRIÇÃO]]</f>
        <v>SINVASTATINA 40 MG</v>
      </c>
      <c r="C120" s="11" t="str">
        <f>TabelaPrincipal[[#This Row],[UND]]</f>
        <v>CP</v>
      </c>
      <c r="D120" s="10">
        <f>TabelaPrincipal[[#This Row],[QTD]]</f>
        <v>70000</v>
      </c>
      <c r="E120" s="10" t="str">
        <f>TabelaPrincipal[[#This Row],[MARCA]]</f>
        <v>Novartis</v>
      </c>
      <c r="F120" s="12">
        <f>TabelaPrincipal[[#This Row],[CUSTO + PERCENTUAL DE ENTRADA]]</f>
        <v>0.28000000000000003</v>
      </c>
      <c r="G120" s="13">
        <f>TabelaPrincipal[[#This Row],[VALOR TOTAL]]</f>
        <v>19600.000000000004</v>
      </c>
      <c r="H120" s="11"/>
    </row>
    <row r="121" spans="1:8" x14ac:dyDescent="0.25">
      <c r="A121" s="9">
        <f>TabelaPrincipal[[#This Row],[ITEM]]</f>
        <v>130</v>
      </c>
      <c r="B121" s="10" t="str">
        <f>TabelaPrincipal[[#This Row],[DESCRIÇÃO]]</f>
        <v>SULFADIAZINA DE PRATA 10 MG/G CREME</v>
      </c>
      <c r="C121" s="11" t="str">
        <f>TabelaPrincipal[[#This Row],[UND]]</f>
        <v>UN</v>
      </c>
      <c r="D121" s="10">
        <f>TabelaPrincipal[[#This Row],[QTD]]</f>
        <v>400</v>
      </c>
      <c r="E121" s="10" t="str">
        <f>TabelaPrincipal[[#This Row],[MARCA]]</f>
        <v>Nativita</v>
      </c>
      <c r="F121" s="12">
        <f>TabelaPrincipal[[#This Row],[CUSTO + PERCENTUAL DE ENTRADA]]</f>
        <v>14.7</v>
      </c>
      <c r="G121" s="13">
        <f>TabelaPrincipal[[#This Row],[VALOR TOTAL]]</f>
        <v>5880</v>
      </c>
      <c r="H121" s="11"/>
    </row>
    <row r="122" spans="1:8" x14ac:dyDescent="0.25">
      <c r="A122" s="9">
        <f>TabelaPrincipal[[#This Row],[ITEM]]</f>
        <v>131</v>
      </c>
      <c r="B122" s="10" t="str">
        <f>TabelaPrincipal[[#This Row],[DESCRIÇÃO]]</f>
        <v>SULFAMETOXAZOL + TRIMETROPRIMA 40 + 8 MG/ML SUSPENSAO ORAL</v>
      </c>
      <c r="C122" s="11" t="str">
        <f>TabelaPrincipal[[#This Row],[UND]]</f>
        <v>UN</v>
      </c>
      <c r="D122" s="10">
        <f>TabelaPrincipal[[#This Row],[QTD]]</f>
        <v>150</v>
      </c>
      <c r="E122" s="10" t="str">
        <f>TabelaPrincipal[[#This Row],[MARCA]]</f>
        <v>EMS</v>
      </c>
      <c r="F122" s="12">
        <f>TabelaPrincipal[[#This Row],[CUSTO + PERCENTUAL DE ENTRADA]]</f>
        <v>37.42</v>
      </c>
      <c r="G122" s="13">
        <f>TabelaPrincipal[[#This Row],[VALOR TOTAL]]</f>
        <v>5613</v>
      </c>
      <c r="H122" s="11"/>
    </row>
    <row r="123" spans="1:8" x14ac:dyDescent="0.25">
      <c r="A123" s="9">
        <f>TabelaPrincipal[[#This Row],[ITEM]]</f>
        <v>132</v>
      </c>
      <c r="B123" s="10" t="str">
        <f>TabelaPrincipal[[#This Row],[DESCRIÇÃO]]</f>
        <v>SULFAMETOXAZOL + TRIMETROPRIMA 400 + 80 MG COMPRIMIDO</v>
      </c>
      <c r="C123" s="11" t="str">
        <f>TabelaPrincipal[[#This Row],[UND]]</f>
        <v>CP</v>
      </c>
      <c r="D123" s="10">
        <f>TabelaPrincipal[[#This Row],[QTD]]</f>
        <v>5000</v>
      </c>
      <c r="E123" s="10" t="str">
        <f>TabelaPrincipal[[#This Row],[MARCA]]</f>
        <v>Vitamedic</v>
      </c>
      <c r="F123" s="12">
        <f>TabelaPrincipal[[#This Row],[CUSTO + PERCENTUAL DE ENTRADA]]</f>
        <v>0.42</v>
      </c>
      <c r="G123" s="13">
        <f>TabelaPrincipal[[#This Row],[VALOR TOTAL]]</f>
        <v>2100</v>
      </c>
      <c r="H123" s="11"/>
    </row>
    <row r="124" spans="1:8" x14ac:dyDescent="0.25">
      <c r="A124" s="9">
        <f>TabelaPrincipal[[#This Row],[ITEM]]</f>
        <v>134</v>
      </c>
      <c r="B124" s="10" t="str">
        <f>TabelaPrincipal[[#This Row],[DESCRIÇÃO]]</f>
        <v>SULFATO DE SALBUTAMOL 100MCG AEROSOL ORAL</v>
      </c>
      <c r="C124" s="11" t="str">
        <f>TabelaPrincipal[[#This Row],[UND]]</f>
        <v>UN</v>
      </c>
      <c r="D124" s="10">
        <f>TabelaPrincipal[[#This Row],[QTD]]</f>
        <v>700</v>
      </c>
      <c r="E124" s="10" t="str">
        <f>TabelaPrincipal[[#This Row],[MARCA]]</f>
        <v>Pharmascience</v>
      </c>
      <c r="F124" s="12">
        <f>TabelaPrincipal[[#This Row],[CUSTO + PERCENTUAL DE ENTRADA]]</f>
        <v>27.58</v>
      </c>
      <c r="G124" s="13">
        <f>TabelaPrincipal[[#This Row],[VALOR TOTAL]]</f>
        <v>19306</v>
      </c>
      <c r="H124" s="11"/>
    </row>
    <row r="125" spans="1:8" x14ac:dyDescent="0.25">
      <c r="A125" s="9">
        <f>TabelaPrincipal[[#This Row],[ITEM]]</f>
        <v>135</v>
      </c>
      <c r="B125" s="10" t="str">
        <f>TabelaPrincipal[[#This Row],[DESCRIÇÃO]]</f>
        <v>SULFATO FERROSO 125 MG/ML GOTAS</v>
      </c>
      <c r="C125" s="11" t="str">
        <f>TabelaPrincipal[[#This Row],[UND]]</f>
        <v>FR</v>
      </c>
      <c r="D125" s="10">
        <f>TabelaPrincipal[[#This Row],[QTD]]</f>
        <v>250</v>
      </c>
      <c r="E125" s="10" t="str">
        <f>TabelaPrincipal[[#This Row],[MARCA]]</f>
        <v>Arte Nativa</v>
      </c>
      <c r="F125" s="12">
        <f>TabelaPrincipal[[#This Row],[CUSTO + PERCENTUAL DE ENTRADA]]</f>
        <v>5.6</v>
      </c>
      <c r="G125" s="13">
        <f>TabelaPrincipal[[#This Row],[VALOR TOTAL]]</f>
        <v>1400</v>
      </c>
      <c r="H125" s="11"/>
    </row>
    <row r="126" spans="1:8" x14ac:dyDescent="0.25">
      <c r="A126" s="9">
        <f>TabelaPrincipal[[#This Row],[ITEM]]</f>
        <v>137</v>
      </c>
      <c r="B126" s="10" t="str">
        <f>TabelaPrincipal[[#This Row],[DESCRIÇÃO]]</f>
        <v xml:space="preserve">FITA PARA TESTES DE GLICEMIA COMPATIVEL PARA O APARELHO ACCU-CHEK ACTIVE </v>
      </c>
      <c r="C126" s="11" t="str">
        <f>TabelaPrincipal[[#This Row],[UND]]</f>
        <v>UN</v>
      </c>
      <c r="D126" s="10">
        <f>TabelaPrincipal[[#This Row],[QTD]]</f>
        <v>100000</v>
      </c>
      <c r="E126" s="10" t="str">
        <f>TabelaPrincipal[[#This Row],[MARCA]]</f>
        <v>On Call Plus</v>
      </c>
      <c r="F126" s="12">
        <f>TabelaPrincipal[[#This Row],[CUSTO + PERCENTUAL DE ENTRADA]]</f>
        <v>1.05</v>
      </c>
      <c r="G126" s="13">
        <f>TabelaPrincipal[[#This Row],[VALOR TOTAL]]</f>
        <v>105000</v>
      </c>
      <c r="H126" s="11"/>
    </row>
    <row r="127" spans="1:8" x14ac:dyDescent="0.25">
      <c r="A127" s="9">
        <f>TabelaPrincipal[[#This Row],[ITEM]]</f>
        <v>138</v>
      </c>
      <c r="B127" s="10" t="str">
        <f>TabelaPrincipal[[#This Row],[DESCRIÇÃO]]</f>
        <v>VARFARINA SODICA 5 MG COMPRIMIDO</v>
      </c>
      <c r="C127" s="11" t="str">
        <f>TabelaPrincipal[[#This Row],[UND]]</f>
        <v>CP</v>
      </c>
      <c r="D127" s="10">
        <f>TabelaPrincipal[[#This Row],[QTD]]</f>
        <v>12000</v>
      </c>
      <c r="E127" s="10" t="str">
        <f>TabelaPrincipal[[#This Row],[MARCA]]</f>
        <v>União Química</v>
      </c>
      <c r="F127" s="12">
        <f>TabelaPrincipal[[#This Row],[CUSTO + PERCENTUAL DE ENTRADA]]</f>
        <v>0.22</v>
      </c>
      <c r="G127" s="13">
        <f>TabelaPrincipal[[#This Row],[VALOR TOTAL]]</f>
        <v>2640</v>
      </c>
      <c r="H127" s="7"/>
    </row>
    <row r="128" spans="1:8" x14ac:dyDescent="0.25">
      <c r="A128" s="15" t="s">
        <v>7</v>
      </c>
      <c r="B128" s="14"/>
      <c r="C128" s="14"/>
      <c r="D128" s="14"/>
      <c r="E128" s="14"/>
      <c r="F128" s="14"/>
      <c r="G128" s="16">
        <f>SUBTOTAL(109,TabelaProposta[VALOR TOTAL])</f>
        <v>1627310.48</v>
      </c>
      <c r="H128" s="14" t="str">
        <f>Extenso_Valor(TabelaProposta[[#Totals],[VALOR TOTAL]])</f>
        <v>um milhão, seiscentos e vinte e sete mil, trezentos e dez reais e quarenta e oito centavos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D6A50-18C4-4115-83D3-123330ED7879}">
  <dimension ref="A1:C139"/>
  <sheetViews>
    <sheetView workbookViewId="0">
      <selection sqref="A1:C139"/>
    </sheetView>
  </sheetViews>
  <sheetFormatPr defaultRowHeight="15" x14ac:dyDescent="0.25"/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>
        <v>1</v>
      </c>
      <c r="B2" t="s">
        <v>20</v>
      </c>
      <c r="C2">
        <v>700</v>
      </c>
    </row>
    <row r="3" spans="1:3" x14ac:dyDescent="0.25">
      <c r="A3">
        <v>2</v>
      </c>
      <c r="B3" t="s">
        <v>21</v>
      </c>
      <c r="C3">
        <v>100</v>
      </c>
    </row>
    <row r="4" spans="1:3" x14ac:dyDescent="0.25">
      <c r="A4">
        <v>3</v>
      </c>
      <c r="B4" t="s">
        <v>22</v>
      </c>
      <c r="C4">
        <v>62000</v>
      </c>
    </row>
    <row r="5" spans="1:3" x14ac:dyDescent="0.25">
      <c r="A5">
        <v>4</v>
      </c>
      <c r="B5" t="s">
        <v>23</v>
      </c>
      <c r="C5">
        <v>10000</v>
      </c>
    </row>
    <row r="6" spans="1:3" x14ac:dyDescent="0.25">
      <c r="A6">
        <v>5</v>
      </c>
      <c r="B6" t="s">
        <v>24</v>
      </c>
      <c r="C6">
        <v>30000</v>
      </c>
    </row>
    <row r="7" spans="1:3" x14ac:dyDescent="0.25">
      <c r="A7">
        <v>6</v>
      </c>
      <c r="B7" t="s">
        <v>25</v>
      </c>
      <c r="C7">
        <v>2800</v>
      </c>
    </row>
    <row r="8" spans="1:3" x14ac:dyDescent="0.25">
      <c r="A8">
        <v>7</v>
      </c>
      <c r="B8" t="s">
        <v>26</v>
      </c>
      <c r="C8">
        <v>250</v>
      </c>
    </row>
    <row r="9" spans="1:3" x14ac:dyDescent="0.25">
      <c r="A9">
        <v>8</v>
      </c>
      <c r="B9" t="s">
        <v>27</v>
      </c>
      <c r="C9">
        <v>500</v>
      </c>
    </row>
    <row r="10" spans="1:3" x14ac:dyDescent="0.25">
      <c r="A10">
        <v>9</v>
      </c>
      <c r="B10" t="s">
        <v>28</v>
      </c>
      <c r="C10">
        <v>5000</v>
      </c>
    </row>
    <row r="11" spans="1:3" x14ac:dyDescent="0.25">
      <c r="A11">
        <v>10</v>
      </c>
      <c r="B11" t="s">
        <v>29</v>
      </c>
      <c r="C11">
        <v>18000</v>
      </c>
    </row>
    <row r="12" spans="1:3" x14ac:dyDescent="0.25">
      <c r="A12">
        <v>11</v>
      </c>
      <c r="B12" t="s">
        <v>30</v>
      </c>
      <c r="C12">
        <v>18000</v>
      </c>
    </row>
    <row r="13" spans="1:3" x14ac:dyDescent="0.25">
      <c r="A13">
        <v>12</v>
      </c>
      <c r="B13" t="s">
        <v>31</v>
      </c>
      <c r="C13">
        <v>500</v>
      </c>
    </row>
    <row r="14" spans="1:3" x14ac:dyDescent="0.25">
      <c r="A14">
        <v>13</v>
      </c>
      <c r="B14" t="s">
        <v>32</v>
      </c>
      <c r="C14">
        <v>150</v>
      </c>
    </row>
    <row r="15" spans="1:3" x14ac:dyDescent="0.25">
      <c r="A15">
        <v>14</v>
      </c>
      <c r="B15" t="s">
        <v>33</v>
      </c>
      <c r="C15">
        <v>15000</v>
      </c>
    </row>
    <row r="16" spans="1:3" x14ac:dyDescent="0.25">
      <c r="A16">
        <v>15</v>
      </c>
      <c r="B16" t="s">
        <v>34</v>
      </c>
      <c r="C16">
        <v>20000</v>
      </c>
    </row>
    <row r="17" spans="1:3" x14ac:dyDescent="0.25">
      <c r="A17">
        <v>16</v>
      </c>
      <c r="B17" t="s">
        <v>35</v>
      </c>
      <c r="C17">
        <v>22000</v>
      </c>
    </row>
    <row r="18" spans="1:3" x14ac:dyDescent="0.25">
      <c r="A18">
        <v>17</v>
      </c>
      <c r="B18" t="s">
        <v>36</v>
      </c>
      <c r="C18">
        <v>50000</v>
      </c>
    </row>
    <row r="19" spans="1:3" x14ac:dyDescent="0.25">
      <c r="A19">
        <v>18</v>
      </c>
      <c r="B19" t="s">
        <v>37</v>
      </c>
      <c r="C19">
        <v>300</v>
      </c>
    </row>
    <row r="20" spans="1:3" x14ac:dyDescent="0.25">
      <c r="A20">
        <v>19</v>
      </c>
      <c r="B20" t="s">
        <v>38</v>
      </c>
      <c r="C20">
        <v>8000</v>
      </c>
    </row>
    <row r="21" spans="1:3" x14ac:dyDescent="0.25">
      <c r="A21">
        <v>20</v>
      </c>
      <c r="B21" t="s">
        <v>39</v>
      </c>
      <c r="C21">
        <v>100</v>
      </c>
    </row>
    <row r="22" spans="1:3" x14ac:dyDescent="0.25">
      <c r="A22">
        <v>21</v>
      </c>
      <c r="B22" t="s">
        <v>40</v>
      </c>
      <c r="C22">
        <v>100000</v>
      </c>
    </row>
    <row r="23" spans="1:3" x14ac:dyDescent="0.25">
      <c r="A23">
        <v>22</v>
      </c>
      <c r="B23" t="s">
        <v>41</v>
      </c>
      <c r="C23">
        <v>20000</v>
      </c>
    </row>
    <row r="24" spans="1:3" x14ac:dyDescent="0.25">
      <c r="A24">
        <v>23</v>
      </c>
      <c r="B24" t="s">
        <v>42</v>
      </c>
      <c r="C24">
        <v>180</v>
      </c>
    </row>
    <row r="25" spans="1:3" x14ac:dyDescent="0.25">
      <c r="A25">
        <v>24</v>
      </c>
      <c r="B25" t="s">
        <v>43</v>
      </c>
      <c r="C25">
        <v>62000</v>
      </c>
    </row>
    <row r="26" spans="1:3" x14ac:dyDescent="0.25">
      <c r="A26">
        <v>25</v>
      </c>
      <c r="B26" t="s">
        <v>44</v>
      </c>
      <c r="C26">
        <v>1500</v>
      </c>
    </row>
    <row r="27" spans="1:3" x14ac:dyDescent="0.25">
      <c r="A27">
        <v>26</v>
      </c>
      <c r="B27" t="s">
        <v>45</v>
      </c>
      <c r="C27">
        <v>50000</v>
      </c>
    </row>
    <row r="28" spans="1:3" x14ac:dyDescent="0.25">
      <c r="A28">
        <v>27</v>
      </c>
      <c r="B28" t="s">
        <v>46</v>
      </c>
      <c r="C28">
        <v>25000</v>
      </c>
    </row>
    <row r="29" spans="1:3" x14ac:dyDescent="0.25">
      <c r="A29">
        <v>28</v>
      </c>
      <c r="B29" t="s">
        <v>47</v>
      </c>
      <c r="C29">
        <v>42000</v>
      </c>
    </row>
    <row r="30" spans="1:3" x14ac:dyDescent="0.25">
      <c r="A30">
        <v>29</v>
      </c>
      <c r="B30" t="s">
        <v>48</v>
      </c>
      <c r="C30">
        <v>20000</v>
      </c>
    </row>
    <row r="31" spans="1:3" x14ac:dyDescent="0.25">
      <c r="A31">
        <v>30</v>
      </c>
      <c r="B31" t="s">
        <v>49</v>
      </c>
      <c r="C31">
        <v>44000</v>
      </c>
    </row>
    <row r="32" spans="1:3" x14ac:dyDescent="0.25">
      <c r="A32">
        <v>31</v>
      </c>
      <c r="B32" t="s">
        <v>50</v>
      </c>
      <c r="C32">
        <v>20000</v>
      </c>
    </row>
    <row r="33" spans="1:3" x14ac:dyDescent="0.25">
      <c r="A33">
        <v>32</v>
      </c>
      <c r="B33" t="s">
        <v>51</v>
      </c>
      <c r="C33">
        <v>18000</v>
      </c>
    </row>
    <row r="34" spans="1:3" x14ac:dyDescent="0.25">
      <c r="A34">
        <v>33</v>
      </c>
      <c r="B34" t="s">
        <v>52</v>
      </c>
      <c r="C34">
        <v>100</v>
      </c>
    </row>
    <row r="35" spans="1:3" x14ac:dyDescent="0.25">
      <c r="A35">
        <v>34</v>
      </c>
      <c r="B35" t="s">
        <v>53</v>
      </c>
      <c r="C35">
        <v>50</v>
      </c>
    </row>
    <row r="36" spans="1:3" x14ac:dyDescent="0.25">
      <c r="A36">
        <v>35</v>
      </c>
      <c r="B36" t="s">
        <v>54</v>
      </c>
      <c r="C36">
        <v>16000</v>
      </c>
    </row>
    <row r="37" spans="1:3" x14ac:dyDescent="0.25">
      <c r="A37">
        <v>36</v>
      </c>
      <c r="B37" t="s">
        <v>55</v>
      </c>
      <c r="C37">
        <v>16000</v>
      </c>
    </row>
    <row r="38" spans="1:3" x14ac:dyDescent="0.25">
      <c r="A38">
        <v>37</v>
      </c>
      <c r="B38" t="s">
        <v>56</v>
      </c>
      <c r="C38">
        <v>800</v>
      </c>
    </row>
    <row r="39" spans="1:3" x14ac:dyDescent="0.25">
      <c r="A39">
        <v>38</v>
      </c>
      <c r="B39" t="s">
        <v>57</v>
      </c>
      <c r="C39">
        <v>150</v>
      </c>
    </row>
    <row r="40" spans="1:3" x14ac:dyDescent="0.25">
      <c r="A40">
        <v>39</v>
      </c>
      <c r="B40" t="s">
        <v>58</v>
      </c>
      <c r="C40">
        <v>100</v>
      </c>
    </row>
    <row r="41" spans="1:3" x14ac:dyDescent="0.25">
      <c r="A41">
        <v>40</v>
      </c>
      <c r="B41" t="s">
        <v>59</v>
      </c>
      <c r="C41">
        <v>400</v>
      </c>
    </row>
    <row r="42" spans="1:3" x14ac:dyDescent="0.25">
      <c r="A42">
        <v>41</v>
      </c>
      <c r="B42" t="s">
        <v>60</v>
      </c>
      <c r="C42">
        <v>800</v>
      </c>
    </row>
    <row r="43" spans="1:3" x14ac:dyDescent="0.25">
      <c r="A43">
        <v>42</v>
      </c>
      <c r="B43" t="s">
        <v>61</v>
      </c>
      <c r="C43">
        <v>150</v>
      </c>
    </row>
    <row r="44" spans="1:3" x14ac:dyDescent="0.25">
      <c r="A44">
        <v>43</v>
      </c>
      <c r="B44" t="s">
        <v>62</v>
      </c>
      <c r="C44">
        <v>28000</v>
      </c>
    </row>
    <row r="45" spans="1:3" x14ac:dyDescent="0.25">
      <c r="A45">
        <v>44</v>
      </c>
      <c r="B45" t="s">
        <v>63</v>
      </c>
      <c r="C45">
        <v>3000</v>
      </c>
    </row>
    <row r="46" spans="1:3" x14ac:dyDescent="0.25">
      <c r="A46">
        <v>45</v>
      </c>
      <c r="B46" t="s">
        <v>64</v>
      </c>
      <c r="C46">
        <v>30000</v>
      </c>
    </row>
    <row r="47" spans="1:3" x14ac:dyDescent="0.25">
      <c r="A47">
        <v>46</v>
      </c>
      <c r="B47" t="s">
        <v>65</v>
      </c>
      <c r="C47">
        <v>8000</v>
      </c>
    </row>
    <row r="48" spans="1:3" x14ac:dyDescent="0.25">
      <c r="A48">
        <v>47</v>
      </c>
      <c r="B48" t="s">
        <v>66</v>
      </c>
      <c r="C48">
        <v>2600</v>
      </c>
    </row>
    <row r="49" spans="1:3" x14ac:dyDescent="0.25">
      <c r="A49">
        <v>48</v>
      </c>
      <c r="B49" t="s">
        <v>67</v>
      </c>
      <c r="C49">
        <v>2000</v>
      </c>
    </row>
    <row r="50" spans="1:3" x14ac:dyDescent="0.25">
      <c r="A50">
        <v>49</v>
      </c>
      <c r="B50" t="s">
        <v>68</v>
      </c>
      <c r="C50">
        <v>50</v>
      </c>
    </row>
    <row r="51" spans="1:3" x14ac:dyDescent="0.25">
      <c r="A51">
        <v>50</v>
      </c>
      <c r="B51" t="s">
        <v>69</v>
      </c>
      <c r="C51">
        <v>10000</v>
      </c>
    </row>
    <row r="52" spans="1:3" x14ac:dyDescent="0.25">
      <c r="A52">
        <v>51</v>
      </c>
      <c r="B52" t="s">
        <v>70</v>
      </c>
      <c r="C52">
        <v>1000</v>
      </c>
    </row>
    <row r="53" spans="1:3" x14ac:dyDescent="0.25">
      <c r="A53">
        <v>52</v>
      </c>
      <c r="B53" t="s">
        <v>71</v>
      </c>
      <c r="C53">
        <v>1334</v>
      </c>
    </row>
    <row r="54" spans="1:3" x14ac:dyDescent="0.25">
      <c r="A54">
        <v>53</v>
      </c>
      <c r="B54" t="s">
        <v>72</v>
      </c>
      <c r="C54">
        <v>1000</v>
      </c>
    </row>
    <row r="55" spans="1:3" x14ac:dyDescent="0.25">
      <c r="A55">
        <v>54</v>
      </c>
      <c r="B55" t="s">
        <v>73</v>
      </c>
      <c r="C55">
        <v>50</v>
      </c>
    </row>
    <row r="56" spans="1:3" x14ac:dyDescent="0.25">
      <c r="A56">
        <v>55</v>
      </c>
      <c r="B56" t="s">
        <v>74</v>
      </c>
      <c r="C56">
        <v>900</v>
      </c>
    </row>
    <row r="57" spans="1:3" x14ac:dyDescent="0.25">
      <c r="A57">
        <v>56</v>
      </c>
      <c r="B57" t="s">
        <v>75</v>
      </c>
      <c r="C57">
        <v>10000</v>
      </c>
    </row>
    <row r="58" spans="1:3" x14ac:dyDescent="0.25">
      <c r="A58">
        <v>57</v>
      </c>
      <c r="B58" t="s">
        <v>76</v>
      </c>
      <c r="C58">
        <v>35000</v>
      </c>
    </row>
    <row r="59" spans="1:3" x14ac:dyDescent="0.25">
      <c r="A59">
        <v>58</v>
      </c>
      <c r="B59" t="s">
        <v>77</v>
      </c>
      <c r="C59">
        <v>1000</v>
      </c>
    </row>
    <row r="60" spans="1:3" x14ac:dyDescent="0.25">
      <c r="A60">
        <v>59</v>
      </c>
      <c r="B60" t="s">
        <v>78</v>
      </c>
      <c r="C60">
        <v>6000</v>
      </c>
    </row>
    <row r="61" spans="1:3" x14ac:dyDescent="0.25">
      <c r="A61">
        <v>60</v>
      </c>
      <c r="B61" t="s">
        <v>79</v>
      </c>
      <c r="C61">
        <v>500</v>
      </c>
    </row>
    <row r="62" spans="1:3" x14ac:dyDescent="0.25">
      <c r="A62">
        <v>61</v>
      </c>
      <c r="B62" t="s">
        <v>80</v>
      </c>
      <c r="C62">
        <v>70000</v>
      </c>
    </row>
    <row r="63" spans="1:3" x14ac:dyDescent="0.25">
      <c r="A63">
        <v>62</v>
      </c>
      <c r="B63" t="s">
        <v>81</v>
      </c>
      <c r="C63">
        <v>600</v>
      </c>
    </row>
    <row r="64" spans="1:3" x14ac:dyDescent="0.25">
      <c r="A64">
        <v>63</v>
      </c>
      <c r="B64" t="s">
        <v>82</v>
      </c>
      <c r="C64">
        <v>12000</v>
      </c>
    </row>
    <row r="65" spans="1:3" x14ac:dyDescent="0.25">
      <c r="A65">
        <v>64</v>
      </c>
      <c r="B65" t="s">
        <v>83</v>
      </c>
      <c r="C65">
        <v>8000</v>
      </c>
    </row>
    <row r="66" spans="1:3" x14ac:dyDescent="0.25">
      <c r="A66">
        <v>65</v>
      </c>
      <c r="B66" t="s">
        <v>84</v>
      </c>
      <c r="C66">
        <v>45000</v>
      </c>
    </row>
    <row r="67" spans="1:3" x14ac:dyDescent="0.25">
      <c r="A67">
        <v>66</v>
      </c>
      <c r="B67" t="s">
        <v>85</v>
      </c>
      <c r="C67">
        <v>45000</v>
      </c>
    </row>
    <row r="68" spans="1:3" x14ac:dyDescent="0.25">
      <c r="A68">
        <v>67</v>
      </c>
      <c r="B68" t="s">
        <v>86</v>
      </c>
      <c r="C68">
        <v>4000</v>
      </c>
    </row>
    <row r="69" spans="1:3" x14ac:dyDescent="0.25">
      <c r="A69">
        <v>68</v>
      </c>
      <c r="B69" t="s">
        <v>87</v>
      </c>
      <c r="C69">
        <v>50000</v>
      </c>
    </row>
    <row r="70" spans="1:3" x14ac:dyDescent="0.25">
      <c r="A70">
        <v>69</v>
      </c>
      <c r="B70" t="s">
        <v>88</v>
      </c>
      <c r="C70">
        <v>50</v>
      </c>
    </row>
    <row r="71" spans="1:3" x14ac:dyDescent="0.25">
      <c r="A71">
        <v>70</v>
      </c>
      <c r="B71" t="s">
        <v>89</v>
      </c>
      <c r="C71">
        <v>20000</v>
      </c>
    </row>
    <row r="72" spans="1:3" x14ac:dyDescent="0.25">
      <c r="A72">
        <v>71</v>
      </c>
      <c r="B72" t="s">
        <v>90</v>
      </c>
      <c r="C72">
        <v>20000</v>
      </c>
    </row>
    <row r="73" spans="1:3" x14ac:dyDescent="0.25">
      <c r="A73">
        <v>72</v>
      </c>
      <c r="B73" t="s">
        <v>91</v>
      </c>
      <c r="C73">
        <v>60</v>
      </c>
    </row>
    <row r="74" spans="1:3" x14ac:dyDescent="0.25">
      <c r="A74">
        <v>73</v>
      </c>
      <c r="B74" t="s">
        <v>92</v>
      </c>
      <c r="C74">
        <v>4000</v>
      </c>
    </row>
    <row r="75" spans="1:3" x14ac:dyDescent="0.25">
      <c r="A75">
        <v>74</v>
      </c>
      <c r="B75" t="s">
        <v>93</v>
      </c>
      <c r="C75">
        <v>100000</v>
      </c>
    </row>
    <row r="76" spans="1:3" x14ac:dyDescent="0.25">
      <c r="A76">
        <v>75</v>
      </c>
      <c r="B76" t="s">
        <v>94</v>
      </c>
      <c r="C76">
        <v>1000</v>
      </c>
    </row>
    <row r="77" spans="1:3" x14ac:dyDescent="0.25">
      <c r="A77">
        <v>76</v>
      </c>
      <c r="B77" t="s">
        <v>95</v>
      </c>
      <c r="C77">
        <v>50</v>
      </c>
    </row>
    <row r="78" spans="1:3" x14ac:dyDescent="0.25">
      <c r="A78">
        <v>77</v>
      </c>
      <c r="B78" t="s">
        <v>96</v>
      </c>
      <c r="C78">
        <v>20000</v>
      </c>
    </row>
    <row r="79" spans="1:3" x14ac:dyDescent="0.25">
      <c r="A79">
        <v>78</v>
      </c>
      <c r="B79" t="s">
        <v>97</v>
      </c>
      <c r="C79">
        <v>25000</v>
      </c>
    </row>
    <row r="80" spans="1:3" x14ac:dyDescent="0.25">
      <c r="A80">
        <v>79</v>
      </c>
      <c r="B80" t="s">
        <v>98</v>
      </c>
      <c r="C80">
        <v>3000</v>
      </c>
    </row>
    <row r="81" spans="1:3" x14ac:dyDescent="0.25">
      <c r="A81">
        <v>80</v>
      </c>
      <c r="B81" t="s">
        <v>99</v>
      </c>
      <c r="C81">
        <v>40000</v>
      </c>
    </row>
    <row r="82" spans="1:3" x14ac:dyDescent="0.25">
      <c r="A82">
        <v>81</v>
      </c>
      <c r="B82" t="s">
        <v>100</v>
      </c>
      <c r="C82">
        <v>7</v>
      </c>
    </row>
    <row r="83" spans="1:3" x14ac:dyDescent="0.25">
      <c r="A83">
        <v>82</v>
      </c>
      <c r="B83" t="s">
        <v>101</v>
      </c>
      <c r="C83">
        <v>40</v>
      </c>
    </row>
    <row r="84" spans="1:3" x14ac:dyDescent="0.25">
      <c r="A84">
        <v>83</v>
      </c>
      <c r="B84" t="s">
        <v>102</v>
      </c>
      <c r="C84">
        <v>2000</v>
      </c>
    </row>
    <row r="85" spans="1:3" x14ac:dyDescent="0.25">
      <c r="A85">
        <v>84</v>
      </c>
      <c r="B85" t="s">
        <v>103</v>
      </c>
      <c r="C85">
        <v>150</v>
      </c>
    </row>
    <row r="86" spans="1:3" x14ac:dyDescent="0.25">
      <c r="A86">
        <v>85</v>
      </c>
      <c r="B86" t="s">
        <v>104</v>
      </c>
      <c r="C86">
        <v>10000</v>
      </c>
    </row>
    <row r="87" spans="1:3" x14ac:dyDescent="0.25">
      <c r="A87">
        <v>86</v>
      </c>
      <c r="B87" t="s">
        <v>105</v>
      </c>
      <c r="C87">
        <v>125000</v>
      </c>
    </row>
    <row r="88" spans="1:3" x14ac:dyDescent="0.25">
      <c r="A88">
        <v>87</v>
      </c>
      <c r="B88" t="s">
        <v>106</v>
      </c>
      <c r="C88">
        <v>100</v>
      </c>
    </row>
    <row r="89" spans="1:3" x14ac:dyDescent="0.25">
      <c r="A89">
        <v>88</v>
      </c>
      <c r="B89" t="s">
        <v>107</v>
      </c>
      <c r="C89">
        <v>400</v>
      </c>
    </row>
    <row r="90" spans="1:3" x14ac:dyDescent="0.25">
      <c r="A90">
        <v>89</v>
      </c>
      <c r="B90" t="s">
        <v>108</v>
      </c>
      <c r="C90">
        <v>70000</v>
      </c>
    </row>
    <row r="91" spans="1:3" x14ac:dyDescent="0.25">
      <c r="A91">
        <v>90</v>
      </c>
      <c r="B91" t="s">
        <v>109</v>
      </c>
      <c r="C91">
        <v>13000</v>
      </c>
    </row>
    <row r="92" spans="1:3" x14ac:dyDescent="0.25">
      <c r="A92">
        <v>91</v>
      </c>
      <c r="B92" t="s">
        <v>110</v>
      </c>
      <c r="C92">
        <v>8000</v>
      </c>
    </row>
    <row r="93" spans="1:3" x14ac:dyDescent="0.25">
      <c r="A93">
        <v>92</v>
      </c>
      <c r="B93" t="s">
        <v>111</v>
      </c>
      <c r="C93">
        <v>600</v>
      </c>
    </row>
    <row r="94" spans="1:3" x14ac:dyDescent="0.25">
      <c r="A94">
        <v>93</v>
      </c>
      <c r="B94" t="s">
        <v>112</v>
      </c>
      <c r="C94">
        <v>600</v>
      </c>
    </row>
    <row r="95" spans="1:3" x14ac:dyDescent="0.25">
      <c r="A95">
        <v>94</v>
      </c>
      <c r="B95" t="s">
        <v>113</v>
      </c>
      <c r="C95">
        <v>40000</v>
      </c>
    </row>
    <row r="96" spans="1:3" x14ac:dyDescent="0.25">
      <c r="A96">
        <v>95</v>
      </c>
      <c r="B96" t="s">
        <v>114</v>
      </c>
      <c r="C96">
        <v>200</v>
      </c>
    </row>
    <row r="97" spans="1:3" x14ac:dyDescent="0.25">
      <c r="A97">
        <v>96</v>
      </c>
      <c r="B97" t="s">
        <v>115</v>
      </c>
      <c r="C97">
        <v>10000</v>
      </c>
    </row>
    <row r="98" spans="1:3" x14ac:dyDescent="0.25">
      <c r="A98">
        <v>97</v>
      </c>
      <c r="B98" t="s">
        <v>116</v>
      </c>
      <c r="C98">
        <v>70000</v>
      </c>
    </row>
    <row r="99" spans="1:3" x14ac:dyDescent="0.25">
      <c r="A99">
        <v>98</v>
      </c>
      <c r="B99" t="s">
        <v>117</v>
      </c>
      <c r="C99">
        <v>70000</v>
      </c>
    </row>
    <row r="100" spans="1:3" x14ac:dyDescent="0.25">
      <c r="A100">
        <v>99</v>
      </c>
      <c r="B100" t="s">
        <v>118</v>
      </c>
      <c r="C100">
        <v>900</v>
      </c>
    </row>
    <row r="101" spans="1:3" x14ac:dyDescent="0.25">
      <c r="A101">
        <v>100</v>
      </c>
      <c r="B101" t="s">
        <v>119</v>
      </c>
      <c r="C101">
        <v>10000</v>
      </c>
    </row>
    <row r="102" spans="1:3" x14ac:dyDescent="0.25">
      <c r="A102">
        <v>101</v>
      </c>
      <c r="B102" t="s">
        <v>120</v>
      </c>
      <c r="C102">
        <v>280000</v>
      </c>
    </row>
    <row r="103" spans="1:3" x14ac:dyDescent="0.25">
      <c r="A103">
        <v>102</v>
      </c>
      <c r="B103" t="s">
        <v>121</v>
      </c>
      <c r="C103">
        <v>100</v>
      </c>
    </row>
    <row r="104" spans="1:3" x14ac:dyDescent="0.25">
      <c r="A104">
        <v>103</v>
      </c>
      <c r="B104" t="s">
        <v>122</v>
      </c>
      <c r="C104">
        <v>100000</v>
      </c>
    </row>
    <row r="105" spans="1:3" x14ac:dyDescent="0.25">
      <c r="A105">
        <v>104</v>
      </c>
      <c r="B105" t="s">
        <v>123</v>
      </c>
      <c r="C105">
        <v>70000</v>
      </c>
    </row>
    <row r="106" spans="1:3" x14ac:dyDescent="0.25">
      <c r="A106">
        <v>105</v>
      </c>
      <c r="B106" t="s">
        <v>124</v>
      </c>
      <c r="C106">
        <v>35000</v>
      </c>
    </row>
    <row r="107" spans="1:3" x14ac:dyDescent="0.25">
      <c r="A107">
        <v>106</v>
      </c>
      <c r="B107" t="s">
        <v>125</v>
      </c>
      <c r="C107">
        <v>3000</v>
      </c>
    </row>
    <row r="108" spans="1:3" x14ac:dyDescent="0.25">
      <c r="A108">
        <v>107</v>
      </c>
      <c r="B108" t="s">
        <v>126</v>
      </c>
      <c r="C108">
        <v>60</v>
      </c>
    </row>
    <row r="109" spans="1:3" x14ac:dyDescent="0.25">
      <c r="A109">
        <v>108</v>
      </c>
      <c r="B109" t="s">
        <v>127</v>
      </c>
      <c r="C109">
        <v>10000</v>
      </c>
    </row>
    <row r="110" spans="1:3" x14ac:dyDescent="0.25">
      <c r="A110">
        <v>109</v>
      </c>
      <c r="B110" t="s">
        <v>128</v>
      </c>
      <c r="C110">
        <v>25000</v>
      </c>
    </row>
    <row r="111" spans="1:3" x14ac:dyDescent="0.25">
      <c r="A111">
        <v>110</v>
      </c>
      <c r="B111" t="s">
        <v>129</v>
      </c>
      <c r="C111">
        <v>40000</v>
      </c>
    </row>
    <row r="112" spans="1:3" x14ac:dyDescent="0.25">
      <c r="A112">
        <v>111</v>
      </c>
      <c r="B112" t="s">
        <v>130</v>
      </c>
      <c r="C112">
        <v>10000</v>
      </c>
    </row>
    <row r="113" spans="1:3" x14ac:dyDescent="0.25">
      <c r="A113">
        <v>112</v>
      </c>
      <c r="B113" t="s">
        <v>131</v>
      </c>
      <c r="C113">
        <v>600</v>
      </c>
    </row>
    <row r="114" spans="1:3" x14ac:dyDescent="0.25">
      <c r="A114">
        <v>113</v>
      </c>
      <c r="B114" t="s">
        <v>132</v>
      </c>
      <c r="C114">
        <v>500</v>
      </c>
    </row>
    <row r="115" spans="1:3" x14ac:dyDescent="0.25">
      <c r="A115">
        <v>114</v>
      </c>
      <c r="B115" t="s">
        <v>133</v>
      </c>
      <c r="C115">
        <v>300</v>
      </c>
    </row>
    <row r="116" spans="1:3" x14ac:dyDescent="0.25">
      <c r="A116">
        <v>115</v>
      </c>
      <c r="B116" t="s">
        <v>134</v>
      </c>
      <c r="C116">
        <v>1000</v>
      </c>
    </row>
    <row r="117" spans="1:3" x14ac:dyDescent="0.25">
      <c r="A117">
        <v>116</v>
      </c>
      <c r="B117" t="s">
        <v>135</v>
      </c>
      <c r="C117">
        <v>600</v>
      </c>
    </row>
    <row r="118" spans="1:3" x14ac:dyDescent="0.25">
      <c r="A118">
        <v>117</v>
      </c>
      <c r="B118" t="s">
        <v>136</v>
      </c>
      <c r="C118">
        <v>3000</v>
      </c>
    </row>
    <row r="119" spans="1:3" x14ac:dyDescent="0.25">
      <c r="A119">
        <v>118</v>
      </c>
      <c r="B119" t="s">
        <v>137</v>
      </c>
      <c r="C119">
        <v>10000</v>
      </c>
    </row>
    <row r="120" spans="1:3" x14ac:dyDescent="0.25">
      <c r="A120">
        <v>119</v>
      </c>
      <c r="B120" t="s">
        <v>138</v>
      </c>
      <c r="C120">
        <v>90000</v>
      </c>
    </row>
    <row r="121" spans="1:3" x14ac:dyDescent="0.25">
      <c r="A121">
        <v>120</v>
      </c>
      <c r="B121" t="s">
        <v>139</v>
      </c>
      <c r="C121">
        <v>200</v>
      </c>
    </row>
    <row r="122" spans="1:3" x14ac:dyDescent="0.25">
      <c r="A122">
        <v>121</v>
      </c>
      <c r="B122" t="s">
        <v>140</v>
      </c>
      <c r="C122">
        <v>20000</v>
      </c>
    </row>
    <row r="123" spans="1:3" x14ac:dyDescent="0.25">
      <c r="A123">
        <v>122</v>
      </c>
      <c r="B123" t="s">
        <v>141</v>
      </c>
      <c r="C123">
        <v>15000</v>
      </c>
    </row>
    <row r="124" spans="1:3" x14ac:dyDescent="0.25">
      <c r="A124">
        <v>123</v>
      </c>
      <c r="B124" t="s">
        <v>142</v>
      </c>
      <c r="C124">
        <v>15000</v>
      </c>
    </row>
    <row r="125" spans="1:3" x14ac:dyDescent="0.25">
      <c r="A125">
        <v>124</v>
      </c>
      <c r="B125" t="s">
        <v>143</v>
      </c>
      <c r="C125">
        <v>30000</v>
      </c>
    </row>
    <row r="126" spans="1:3" x14ac:dyDescent="0.25">
      <c r="A126">
        <v>125</v>
      </c>
      <c r="B126" t="s">
        <v>144</v>
      </c>
      <c r="C126">
        <v>18000</v>
      </c>
    </row>
    <row r="127" spans="1:3" x14ac:dyDescent="0.25">
      <c r="A127">
        <v>126</v>
      </c>
      <c r="B127" t="s">
        <v>145</v>
      </c>
      <c r="C127">
        <v>800</v>
      </c>
    </row>
    <row r="128" spans="1:3" x14ac:dyDescent="0.25">
      <c r="A128">
        <v>127</v>
      </c>
      <c r="B128" t="s">
        <v>146</v>
      </c>
      <c r="C128">
        <v>15000</v>
      </c>
    </row>
    <row r="129" spans="1:3" x14ac:dyDescent="0.25">
      <c r="A129">
        <v>128</v>
      </c>
      <c r="B129" t="s">
        <v>147</v>
      </c>
      <c r="C129">
        <v>50000</v>
      </c>
    </row>
    <row r="130" spans="1:3" x14ac:dyDescent="0.25">
      <c r="A130">
        <v>129</v>
      </c>
      <c r="B130" t="s">
        <v>148</v>
      </c>
      <c r="C130">
        <v>70000</v>
      </c>
    </row>
    <row r="131" spans="1:3" x14ac:dyDescent="0.25">
      <c r="A131">
        <v>130</v>
      </c>
      <c r="B131" t="s">
        <v>149</v>
      </c>
      <c r="C131">
        <v>400</v>
      </c>
    </row>
    <row r="132" spans="1:3" x14ac:dyDescent="0.25">
      <c r="A132">
        <v>131</v>
      </c>
      <c r="B132" t="s">
        <v>150</v>
      </c>
      <c r="C132">
        <v>150</v>
      </c>
    </row>
    <row r="133" spans="1:3" x14ac:dyDescent="0.25">
      <c r="A133">
        <v>132</v>
      </c>
      <c r="B133" t="s">
        <v>151</v>
      </c>
      <c r="C133">
        <v>5000</v>
      </c>
    </row>
    <row r="134" spans="1:3" x14ac:dyDescent="0.25">
      <c r="A134">
        <v>133</v>
      </c>
      <c r="B134" t="s">
        <v>152</v>
      </c>
      <c r="C134">
        <v>50</v>
      </c>
    </row>
    <row r="135" spans="1:3" x14ac:dyDescent="0.25">
      <c r="A135">
        <v>134</v>
      </c>
      <c r="B135" t="s">
        <v>153</v>
      </c>
      <c r="C135">
        <v>700</v>
      </c>
    </row>
    <row r="136" spans="1:3" x14ac:dyDescent="0.25">
      <c r="A136">
        <v>135</v>
      </c>
      <c r="B136" t="s">
        <v>154</v>
      </c>
      <c r="C136">
        <v>250</v>
      </c>
    </row>
    <row r="137" spans="1:3" x14ac:dyDescent="0.25">
      <c r="A137">
        <v>136</v>
      </c>
      <c r="B137" t="s">
        <v>155</v>
      </c>
      <c r="C137">
        <v>40000</v>
      </c>
    </row>
    <row r="138" spans="1:3" x14ac:dyDescent="0.25">
      <c r="A138">
        <v>137</v>
      </c>
      <c r="B138" t="s">
        <v>156</v>
      </c>
      <c r="C138">
        <v>100000</v>
      </c>
    </row>
    <row r="139" spans="1:3" x14ac:dyDescent="0.25">
      <c r="A139">
        <v>138</v>
      </c>
      <c r="B139" t="s">
        <v>157</v>
      </c>
      <c r="C139">
        <v>12000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Principal</vt:lpstr>
      <vt:lpstr>DadosProposta</vt:lpstr>
      <vt:lpstr>DadosModelo</vt:lpstr>
      <vt:lpstr>TabelaModelo</vt:lpstr>
      <vt:lpstr>TabelaProcesso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2015-06-05T18:19:34Z</dcterms:created>
  <dcterms:modified xsi:type="dcterms:W3CDTF">2024-05-08T18:01:45Z</dcterms:modified>
</cp:coreProperties>
</file>