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LearningSeleniumAndPython\data_for_testing\"/>
    </mc:Choice>
  </mc:AlternateContent>
  <xr:revisionPtr revIDLastSave="0" documentId="13_ncr:1_{C0D829E7-7416-4597-ABEC-F5EE538ABFE9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Principal" sheetId="1" r:id="rId1"/>
    <sheet name="DadosProposta" sheetId="2" r:id="rId2"/>
    <sheet name="DadosModelo" sheetId="3" r:id="rId3"/>
  </sheets>
  <functionGroups builtInGroupCount="19"/>
  <definedNames>
    <definedName name="TabelaModelo">DadosModelo!$A$1:$C$11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G6" i="2" l="1"/>
  <c r="A3" i="2"/>
  <c r="B3" i="2"/>
  <c r="C3" i="2"/>
  <c r="D3" i="2"/>
  <c r="E3" i="2"/>
  <c r="F3" i="2"/>
  <c r="G3" i="2"/>
  <c r="A4" i="2"/>
  <c r="B4" i="2"/>
  <c r="C4" i="2"/>
  <c r="D4" i="2"/>
  <c r="E4" i="2"/>
  <c r="F4" i="2"/>
  <c r="G4" i="2"/>
  <c r="G5" i="1"/>
  <c r="K5" i="1" s="1"/>
  <c r="G4" i="1"/>
  <c r="K4" i="1" s="1"/>
  <c r="G3" i="1"/>
  <c r="K3" i="1" s="1"/>
  <c r="G2" i="1"/>
  <c r="H2" i="1" s="1"/>
  <c r="B2" i="1"/>
  <c r="B3" i="1"/>
  <c r="B4" i="1"/>
  <c r="B5" i="1"/>
  <c r="D2" i="1"/>
  <c r="D3" i="1"/>
  <c r="D4" i="1"/>
  <c r="D5" i="1"/>
  <c r="H4" i="1" l="1"/>
  <c r="I4" i="1" s="1"/>
  <c r="H3" i="1"/>
  <c r="I3" i="1" s="1"/>
  <c r="K2" i="1"/>
  <c r="I2" i="1"/>
  <c r="N2" i="1"/>
  <c r="N5" i="1"/>
  <c r="H5" i="1"/>
  <c r="I5" i="1" s="1"/>
  <c r="N3" i="1"/>
  <c r="N4" i="1"/>
  <c r="A2" i="2"/>
  <c r="B2" i="2"/>
  <c r="C2" i="2"/>
  <c r="D2" i="2"/>
  <c r="E2" i="2"/>
  <c r="E5" i="2"/>
  <c r="D5" i="2"/>
  <c r="C5" i="2"/>
  <c r="B5" i="2"/>
  <c r="A5" i="2"/>
  <c r="G5" i="2" l="1"/>
  <c r="G2" i="2"/>
  <c r="F5" i="2"/>
  <c r="F2" i="2"/>
  <c r="H6" i="2"/>
</calcChain>
</file>

<file path=xl/sharedStrings.xml><?xml version="1.0" encoding="utf-8"?>
<sst xmlns="http://schemas.openxmlformats.org/spreadsheetml/2006/main" count="44" uniqueCount="32">
  <si>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</si>
  <si>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</si>
  <si>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</si>
  <si>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</si>
  <si>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</si>
  <si>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</si>
  <si>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</si>
  <si>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</si>
  <si>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</si>
  <si>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</si>
  <si>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</si>
  <si>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</si>
  <si>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</si>
  <si>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</si>
  <si>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</si>
  <si>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</si>
  <si>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</si>
  <si>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</si>
  <si>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</si>
  <si>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</si>
  <si>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BICARBONATO DE SÓDIO 8,4% AMPOLA COM 10ML</t>
  </si>
  <si>
    <t>CLORETO DE POTÁSSIO 10% AMPOLA COM 10ML</t>
  </si>
  <si>
    <t>CLORETO DE POTÁSSIO 19,1% AMPOLA COM 10ML</t>
  </si>
  <si>
    <t>CLORETO DE SODIO 20% SOLUÇÃO INJETÁVEL ENDOVENOSA DE CLORETO DE SÓDIO 20% - AMP.TRANSP. DE 10ML</t>
  </si>
  <si>
    <t>GLUCONATO DE CÁLCIO 10% AMPOLA 10ML</t>
  </si>
  <si>
    <t>SORO GLICOFISIOLÓGICO, GLICOSE À 5% EM CLORETO DE SÓDIO À 0,9%; BOLSA SISTEMA FECHADO, FRASCO COM 1000ML</t>
  </si>
  <si>
    <t>SORO GLICOFISIOLÓGICO, GLICOSE À 5% EM CLORETO DE SÓDIO À 0,9%; BOLSA SISTEMA FECHADO, FRASCO COM 250ML</t>
  </si>
  <si>
    <t>SORO GLICOFISIOLÓGICO, GLICOSE À 5% EM CLORETO DE SÓDIO À 0,9%; BOLSA SISTEMA FECHADO, FRASCO COM 500ML</t>
  </si>
  <si>
    <t>SORO GLICOSADO 5%, BOLSA SISTEMA FECHADO, FRASCO COM 1000ML</t>
  </si>
  <si>
    <t>SULFATO DE MAGNÉSIO 10%, AMPOLA COM 10ML</t>
  </si>
  <si>
    <t>UN</t>
  </si>
  <si>
    <t>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</si>
</sst>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3" fillId="0" borderId="10" xfId="0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3" formatCode="0%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5" headerRowDxfId="44" dataDxfId="42" headerRowBorderDxfId="43" tableBorderDxfId="41" totalsRowBorderDxfId="40">
  <autoFilter ref="A1:N5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>
      <calculatedColumnFormula>VLOOKUP(TabelaPrincipal[[#This Row],[ITEM]],TabelaModelo,2,FALSE)</calculatedColumnFormula>
    </tableColumn>
    <tableColumn id="3" xr3:uid="{74DD09F8-5DE7-492D-ABF9-CC0D01F7D44D}" name="UND" dataDxfId="37"/>
    <tableColumn id="4" xr3:uid="{2D7CF20C-95AF-448A-964A-706613067BC5}" name="QTD" dataDxfId="36">
      <calculatedColumnFormula>VLOOKUP(TabelaPrincipal[[#This Row],[ITEM]],TabelaModelo,3,FALSE)</calculatedColumnFormula>
    </tableColumn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ENTRADA]]&gt;0,0.2,0)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/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6" totalsRowCount="1" headerRowDxfId="21" dataDxfId="19" totalsRowDxfId="17" headerRowBorderDxfId="20" tableBorderDxfId="18" totalsRowBorderDxfId="16">
  <autoFilter ref="A1:H5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TabelaPrincipal[[#This Row],[ITEM]]</calculatedColumnFormula>
    </tableColumn>
    <tableColumn id="2" xr3:uid="{F915D416-2888-4C08-B603-DD427B80EC39}" name="DESCRIÇÃO" dataDxfId="13" totalsRowDxfId="12">
      <calculatedColumnFormula>TabelaPrincipal[[#This Row],[DESCRIÇÃO]]</calculatedColumnFormula>
    </tableColumn>
    <tableColumn id="3" xr3:uid="{49DB4880-9F6A-4C83-B06A-2BE3AF89B478}" name="UND" dataDxfId="11" totalsRowDxfId="10">
      <calculatedColumnFormula>TabelaPrincipal[[#This Row],[UND]]</calculatedColumnFormula>
    </tableColumn>
    <tableColumn id="4" xr3:uid="{88402F2B-2E49-4C7B-B78B-F865BFB0E1DD}" name="QTD" dataDxfId="9" totalsRowDxfId="8">
      <calculatedColumnFormula>TabelaPrincipal[[#This Row],[QTD]]</calculatedColumnFormula>
    </tableColumn>
    <tableColumn id="5" xr3:uid="{3DB67E5A-8A24-45E8-8217-4846CFFF15A4}" name="MARCA" dataDxfId="7" totalsRowDxfId="6">
      <calculatedColumnFormula>TabelaPrincipal[[#This Row],[MARCA]]</calculatedColumnFormula>
    </tableColumn>
    <tableColumn id="6" xr3:uid="{B69EC1DE-FD02-4E24-9A4E-2413AAC85E68}" name="VALOR UNITÁRIO" dataDxfId="5" totalsRowDxfId="4">
      <calculatedColumnFormula>TabelaPrincipal[[#This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5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" customWidth="1"/>
    <col min="2" max="2" width="60.7109375" style="27" customWidth="1"/>
    <col min="3" max="3" width="10.85546875" bestFit="1" customWidth="1"/>
    <col min="4" max="4" width="11.28515625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18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30" x14ac:dyDescent="0.25">
      <c r="A2" s="29">
        <v>6</v>
      </c>
      <c r="B2" s="22" t="str">
        <f>VLOOKUP(TabelaPrincipal[[#This Row],[ITEM]],TabelaModelo,2,FALSE)</f>
        <v>SORO GLICOFISIOLÓGICO, GLICOSE À 5% EM CLORETO DE SÓDIO À 0,9%; BOLSA SISTEMA FECHADO, FRASCO COM 1000ML</v>
      </c>
      <c r="C2" s="23" t="s">
        <v>30</v>
      </c>
      <c r="D2" s="23">
        <f>VLOOKUP(TabelaPrincipal[[#This Row],[ITEM]],TabelaModelo,3,FALSE)</f>
        <v>5000</v>
      </c>
      <c r="E2" s="23" t="s">
        <v>31</v>
      </c>
      <c r="F2" s="24">
        <v>10.1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14.14</v>
      </c>
      <c r="I2" s="2">
        <f t="shared" ref="I2:I5" si="0">D2*H2</f>
        <v>70700</v>
      </c>
      <c r="J2" s="5">
        <f>IF(TabelaPrincipal[[#This Row],[PERCENTUAL DE ENTRADA]]&gt;0,0.2,0)</f>
        <v>0.2</v>
      </c>
      <c r="K2" s="1">
        <f>ROUND(F2+(F2*TabelaPrincipal[[#This Row],[PERCENTUAL MÍNIMO]]), 2)</f>
        <v>12.12</v>
      </c>
      <c r="L2" s="25">
        <v>14.14</v>
      </c>
      <c r="M2" s="26">
        <v>3</v>
      </c>
      <c r="N2" s="24">
        <f>TabelaPrincipal[[#This Row],[LANCE ATUAL]]*TabelaPrincipal[[#This Row],[QTD]]</f>
        <v>70700</v>
      </c>
    </row>
    <row r="3" spans="1:14" ht="30" x14ac:dyDescent="0.25">
      <c r="A3" s="21">
        <v>7</v>
      </c>
      <c r="B3" s="22" t="str">
        <f>VLOOKUP(TabelaPrincipal[[#This Row],[ITEM]],TabelaModelo,2,FALSE)</f>
        <v>SORO GLICOFISIOLÓGICO, GLICOSE À 5% EM CLORETO DE SÓDIO À 0,9%; BOLSA SISTEMA FECHADO, FRASCO COM 250ML</v>
      </c>
      <c r="C3" s="23" t="s">
        <v>30</v>
      </c>
      <c r="D3" s="23">
        <f>VLOOKUP(TabelaPrincipal[[#This Row],[ITEM]],TabelaModelo,3,FALSE)</f>
        <v>5000</v>
      </c>
      <c r="E3" s="23" t="s">
        <v>31</v>
      </c>
      <c r="F3" s="24">
        <v>5.25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7.35</v>
      </c>
      <c r="I3" s="2">
        <f t="shared" si="0"/>
        <v>36750</v>
      </c>
      <c r="J3" s="5">
        <f>IF(TabelaPrincipal[[#This Row],[PERCENTUAL DE ENTRADA]]&gt;0,0.2,0)</f>
        <v>0.2</v>
      </c>
      <c r="K3" s="1">
        <f>ROUND(F3+(F3*TabelaPrincipal[[#This Row],[PERCENTUAL MÍNIMO]]), 2)</f>
        <v>6.3</v>
      </c>
      <c r="L3" s="25">
        <v>6.81</v>
      </c>
      <c r="M3" s="26">
        <v>4</v>
      </c>
      <c r="N3" s="24">
        <f>TabelaPrincipal[[#This Row],[LANCE ATUAL]]*TabelaPrincipal[[#This Row],[QTD]]</f>
        <v>34050</v>
      </c>
    </row>
    <row r="4" spans="1:14" ht="30" x14ac:dyDescent="0.25">
      <c r="A4" s="21">
        <v>8</v>
      </c>
      <c r="B4" s="22" t="str">
        <f>VLOOKUP(TabelaPrincipal[[#This Row],[ITEM]],TabelaModelo,2,FALSE)</f>
        <v>SORO GLICOFISIOLÓGICO, GLICOSE À 5% EM CLORETO DE SÓDIO À 0,9%; BOLSA SISTEMA FECHADO, FRASCO COM 500ML</v>
      </c>
      <c r="C4" s="23" t="s">
        <v>30</v>
      </c>
      <c r="D4" s="23">
        <f>VLOOKUP(TabelaPrincipal[[#This Row],[ITEM]],TabelaModelo,3,FALSE)</f>
        <v>5000</v>
      </c>
      <c r="E4" s="23" t="s">
        <v>31</v>
      </c>
      <c r="F4" s="24">
        <v>7.7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10.78</v>
      </c>
      <c r="I4" s="2">
        <f t="shared" si="0"/>
        <v>53900</v>
      </c>
      <c r="J4" s="5">
        <f>IF(TabelaPrincipal[[#This Row],[PERCENTUAL DE ENTRADA]]&gt;0,0.2,0)</f>
        <v>0.2</v>
      </c>
      <c r="K4" s="1">
        <f>ROUND(F4+(F4*TabelaPrincipal[[#This Row],[PERCENTUAL MÍNIMO]]), 2)</f>
        <v>9.24</v>
      </c>
      <c r="L4" s="25">
        <v>9.24</v>
      </c>
      <c r="M4" s="26">
        <v>5</v>
      </c>
      <c r="N4" s="24">
        <f>TabelaPrincipal[[#This Row],[LANCE ATUAL]]*TabelaPrincipal[[#This Row],[QTD]]</f>
        <v>46200</v>
      </c>
    </row>
    <row r="5" spans="1:14" ht="30" x14ac:dyDescent="0.25">
      <c r="A5" s="21">
        <v>9</v>
      </c>
      <c r="B5" s="22" t="str">
        <f>VLOOKUP(TabelaPrincipal[[#This Row],[ITEM]],TabelaModelo,2,FALSE)</f>
        <v>SORO GLICOSADO 5%, BOLSA SISTEMA FECHADO, FRASCO COM 1000ML</v>
      </c>
      <c r="C5" s="23" t="s">
        <v>30</v>
      </c>
      <c r="D5" s="23">
        <f>VLOOKUP(TabelaPrincipal[[#This Row],[ITEM]],TabelaModelo,3,FALSE)</f>
        <v>5000</v>
      </c>
      <c r="E5" s="23" t="s">
        <v>31</v>
      </c>
      <c r="F5" s="24">
        <v>10.1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14.14</v>
      </c>
      <c r="I5" s="2">
        <f t="shared" si="0"/>
        <v>70700</v>
      </c>
      <c r="J5" s="5">
        <f>IF(TabelaPrincipal[[#This Row],[PERCENTUAL DE ENTRADA]]&gt;0,0.2,0)</f>
        <v>0.2</v>
      </c>
      <c r="K5" s="1">
        <f>ROUND(F5+(F5*TabelaPrincipal[[#This Row],[PERCENTUAL MÍNIMO]]), 2)</f>
        <v>12.12</v>
      </c>
      <c r="L5" s="25">
        <v>12.88</v>
      </c>
      <c r="M5" s="26">
        <v>2</v>
      </c>
      <c r="N5" s="24">
        <f>TabelaPrincipal[[#This Row],[LANCE ATUAL]]*TabelaPrincipal[[#This Row],[QTD]]</f>
        <v>64400.000000000007</v>
      </c>
    </row>
  </sheetData>
  <conditionalFormatting sqref="L2:L5">
    <cfRule type="expression" dxfId="48" priority="1">
      <formula>$L2&lt;$K2</formula>
    </cfRule>
  </conditionalFormatting>
  <conditionalFormatting sqref="A2:N5">
    <cfRule type="expression" dxfId="47" priority="2">
      <formula>$M2=1</formula>
    </cfRule>
  </conditionalFormatting>
  <conditionalFormatting sqref="L2:L5">
    <cfRule type="expression" dxfId="46" priority="5">
      <formula>$G2=0</formula>
    </cfRule>
  </conditionalFormatting>
  <conditionalFormatting sqref="G2:G5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6"/>
  <sheetViews>
    <sheetView workbookViewId="0">
      <selection activeCell="H6" sqref="H6"/>
    </sheetView>
  </sheetViews>
  <sheetFormatPr defaultRowHeight="15" x14ac:dyDescent="0.25"/>
  <cols>
    <col min="1" max="1" width="4.85546875" bestFit="1" customWidth="1"/>
    <col min="2" max="2" width="50.7109375" customWidth="1"/>
    <col min="3" max="3" width="4.5703125" bestFit="1" customWidth="1"/>
    <col min="4" max="4" width="5" bestFit="1" customWidth="1"/>
    <col min="5" max="5" width="6.85546875" bestFit="1" customWidth="1"/>
    <col min="6" max="6" width="9" bestFit="1" customWidth="1"/>
    <col min="7" max="7" width="13.5703125" bestFit="1" customWidth="1"/>
    <col min="8" max="8" width="36.85546875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ht="38.25" x14ac:dyDescent="0.25">
      <c r="A2" s="9">
        <f>TabelaPrincipal[[#This Row],[ITEM]]</f>
        <v>6</v>
      </c>
      <c r="B2" s="10" t="str">
        <f>TabelaPrincipal[[#This Row],[DESCRIÇÃO]]</f>
        <v>SORO GLICOFISIOLÓGICO, GLICOSE À 5% EM CLORETO DE SÓDIO À 0,9%; BOLSA SISTEMA FECHADO, FRASCO COM 1000ML</v>
      </c>
      <c r="C2" s="11" t="str">
        <f>TabelaPrincipal[[#This Row],[UND]]</f>
        <v>UN</v>
      </c>
      <c r="D2" s="10">
        <f>TabelaPrincipal[[#This Row],[QTD]]</f>
        <v>5000</v>
      </c>
      <c r="E2" s="10" t="str">
        <f>TabelaPrincipal[[#This Row],[MARCA]]</f>
        <v>JP</v>
      </c>
      <c r="F2" s="12">
        <f>TabelaPrincipal[[#This Row],[CUSTO + PERCENTUAL DE ENTRADA]]</f>
        <v>14.14</v>
      </c>
      <c r="G2" s="13">
        <f>TabelaPrincipal[[#This Row],[VALOR TOTAL]]</f>
        <v>70700</v>
      </c>
      <c r="H2" s="7"/>
    </row>
    <row r="3" spans="1:8" ht="25.5" x14ac:dyDescent="0.25">
      <c r="A3" s="9">
        <f>TabelaPrincipal[[#This Row],[ITEM]]</f>
        <v>7</v>
      </c>
      <c r="B3" s="10" t="str">
        <f>TabelaPrincipal[[#This Row],[DESCRIÇÃO]]</f>
        <v>SORO GLICOFISIOLÓGICO, GLICOSE À 5% EM CLORETO DE SÓDIO À 0,9%; BOLSA SISTEMA FECHADO, FRASCO COM 250ML</v>
      </c>
      <c r="C3" s="11" t="str">
        <f>TabelaPrincipal[[#This Row],[UND]]</f>
        <v>UN</v>
      </c>
      <c r="D3" s="10">
        <f>TabelaPrincipal[[#This Row],[QTD]]</f>
        <v>5000</v>
      </c>
      <c r="E3" s="10" t="str">
        <f>TabelaPrincipal[[#This Row],[MARCA]]</f>
        <v>JP</v>
      </c>
      <c r="F3" s="12">
        <f>TabelaPrincipal[[#This Row],[CUSTO + PERCENTUAL DE ENTRADA]]</f>
        <v>7.35</v>
      </c>
      <c r="G3" s="13">
        <f>TabelaPrincipal[[#This Row],[VALOR TOTAL]]</f>
        <v>36750</v>
      </c>
      <c r="H3" s="28"/>
    </row>
    <row r="4" spans="1:8" ht="25.5" x14ac:dyDescent="0.25">
      <c r="A4" s="9">
        <f>TabelaPrincipal[[#This Row],[ITEM]]</f>
        <v>8</v>
      </c>
      <c r="B4" s="10" t="str">
        <f>TabelaPrincipal[[#This Row],[DESCRIÇÃO]]</f>
        <v>SORO GLICOFISIOLÓGICO, GLICOSE À 5% EM CLORETO DE SÓDIO À 0,9%; BOLSA SISTEMA FECHADO, FRASCO COM 500ML</v>
      </c>
      <c r="C4" s="11" t="str">
        <f>TabelaPrincipal[[#This Row],[UND]]</f>
        <v>UN</v>
      </c>
      <c r="D4" s="10">
        <f>TabelaPrincipal[[#This Row],[QTD]]</f>
        <v>5000</v>
      </c>
      <c r="E4" s="10" t="str">
        <f>TabelaPrincipal[[#This Row],[MARCA]]</f>
        <v>JP</v>
      </c>
      <c r="F4" s="12">
        <f>TabelaPrincipal[[#This Row],[CUSTO + PERCENTUAL DE ENTRADA]]</f>
        <v>10.78</v>
      </c>
      <c r="G4" s="13">
        <f>TabelaPrincipal[[#This Row],[VALOR TOTAL]]</f>
        <v>53900</v>
      </c>
      <c r="H4" s="28"/>
    </row>
    <row r="5" spans="1:8" x14ac:dyDescent="0.25">
      <c r="A5" s="9">
        <f>TabelaPrincipal[[#This Row],[ITEM]]</f>
        <v>9</v>
      </c>
      <c r="B5" s="10" t="str">
        <f>TabelaPrincipal[[#This Row],[DESCRIÇÃO]]</f>
        <v>SORO GLICOSADO 5%, BOLSA SISTEMA FECHADO, FRASCO COM 1000ML</v>
      </c>
      <c r="C5" s="11" t="str">
        <f>TabelaPrincipal[[#This Row],[UND]]</f>
        <v>UN</v>
      </c>
      <c r="D5" s="10">
        <f>TabelaPrincipal[[#This Row],[QTD]]</f>
        <v>5000</v>
      </c>
      <c r="E5" s="10" t="str">
        <f>TabelaPrincipal[[#This Row],[MARCA]]</f>
        <v>JP</v>
      </c>
      <c r="F5" s="12">
        <f>TabelaPrincipal[[#This Row],[CUSTO + PERCENTUAL DE ENTRADA]]</f>
        <v>14.14</v>
      </c>
      <c r="G5" s="13">
        <f>TabelaPrincipal[[#This Row],[VALOR TOTAL]]</f>
        <v>70700</v>
      </c>
      <c r="H5" s="14"/>
    </row>
    <row r="6" spans="1:8" x14ac:dyDescent="0.25">
      <c r="A6" s="15" t="s">
        <v>7</v>
      </c>
      <c r="B6" s="14"/>
      <c r="C6" s="14"/>
      <c r="D6" s="14"/>
      <c r="E6" s="14"/>
      <c r="F6" s="14"/>
      <c r="G6" s="16">
        <f>SUBTOTAL(109,TabelaProposta[VALOR TOTAL])</f>
        <v>232050</v>
      </c>
      <c r="H6" s="14" t="str">
        <f>Extenso_Valor(TabelaProposta[[#Totals],[VALOR TOTAL]])</f>
        <v>duzentos e trinta e dois mil e cinquenta reais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1B35B-9CD0-41FF-8C20-919F75371C92}">
  <dimension ref="A1:C11"/>
  <sheetViews>
    <sheetView workbookViewId="0">
      <selection activeCell="F7" sqref="F7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20</v>
      </c>
      <c r="C2">
        <v>600</v>
      </c>
    </row>
    <row r="3" spans="1:3" x14ac:dyDescent="0.25">
      <c r="A3">
        <v>2</v>
      </c>
      <c r="B3" t="s">
        <v>21</v>
      </c>
      <c r="C3">
        <v>600</v>
      </c>
    </row>
    <row r="4" spans="1:3" x14ac:dyDescent="0.25">
      <c r="A4">
        <v>3</v>
      </c>
      <c r="B4" t="s">
        <v>22</v>
      </c>
      <c r="C4">
        <v>600</v>
      </c>
    </row>
    <row r="5" spans="1:3" x14ac:dyDescent="0.25">
      <c r="A5">
        <v>4</v>
      </c>
      <c r="B5" t="s">
        <v>23</v>
      </c>
      <c r="C5">
        <v>800</v>
      </c>
    </row>
    <row r="6" spans="1:3" x14ac:dyDescent="0.25">
      <c r="A6">
        <v>5</v>
      </c>
      <c r="B6" t="s">
        <v>24</v>
      </c>
      <c r="C6">
        <v>600</v>
      </c>
    </row>
    <row r="7" spans="1:3" x14ac:dyDescent="0.25">
      <c r="A7">
        <v>6</v>
      </c>
      <c r="B7" t="s">
        <v>25</v>
      </c>
      <c r="C7" s="20">
        <v>5000</v>
      </c>
    </row>
    <row r="8" spans="1:3" x14ac:dyDescent="0.25">
      <c r="A8">
        <v>7</v>
      </c>
      <c r="B8" t="s">
        <v>26</v>
      </c>
      <c r="C8" s="20">
        <v>5000</v>
      </c>
    </row>
    <row r="9" spans="1:3" x14ac:dyDescent="0.25">
      <c r="A9">
        <v>8</v>
      </c>
      <c r="B9" t="s">
        <v>27</v>
      </c>
      <c r="C9" s="20">
        <v>5000</v>
      </c>
    </row>
    <row r="10" spans="1:3" x14ac:dyDescent="0.25">
      <c r="A10">
        <v>9</v>
      </c>
      <c r="B10" t="s">
        <v>28</v>
      </c>
      <c r="C10" s="20">
        <v>5000</v>
      </c>
    </row>
    <row r="11" spans="1:3" x14ac:dyDescent="0.25">
      <c r="A11">
        <v>10</v>
      </c>
      <c r="B11" t="s">
        <v>29</v>
      </c>
      <c r="C11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DadosModelo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2024-07-01T12:24:46Z</dcterms:modified>
</cp:coreProperties>
</file>