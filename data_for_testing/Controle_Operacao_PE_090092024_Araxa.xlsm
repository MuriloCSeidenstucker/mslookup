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Documents\Pregoes_Eletr\DM\Em_Andamento\PE_090092024_Araxa\"/>
    </mc:Choice>
  </mc:AlternateContent>
  <xr:revisionPtr revIDLastSave="0" documentId="13_ncr:1_{2C220E4F-C57D-4014-8AE8-BCC59D79BF0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incipal" sheetId="1" r:id="rId1"/>
    <sheet name="DadosProposta" sheetId="2" r:id="rId2"/>
    <sheet name="DadosModelo" sheetId="3" r:id="rId3"/>
  </sheets>
  <functionGroups builtInGroupCount="19"/>
  <definedNames>
    <definedName name="TabelaModelo">DadosModelo!$A$1:$C$11</definedName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G6" i="2" l="1"/>
  <c r="A3" i="2"/>
  <c r="B3" i="2"/>
  <c r="C3" i="2"/>
  <c r="D3" i="2"/>
  <c r="E3" i="2"/>
  <c r="F3" i="2"/>
  <c r="G3" i="2"/>
  <c r="A4" i="2"/>
  <c r="B4" i="2"/>
  <c r="C4" i="2"/>
  <c r="D4" i="2"/>
  <c r="E4" i="2"/>
  <c r="F4" i="2"/>
  <c r="G4" i="2"/>
  <c r="G5" i="1"/>
  <c r="K5" i="1" s="1"/>
  <c r="G4" i="1"/>
  <c r="K4" i="1" s="1"/>
  <c r="G3" i="1"/>
  <c r="K3" i="1" s="1"/>
  <c r="G2" i="1"/>
  <c r="H2" i="1" s="1"/>
  <c r="B2" i="1"/>
  <c r="B3" i="1"/>
  <c r="B4" i="1"/>
  <c r="B5" i="1"/>
  <c r="D2" i="1"/>
  <c r="D3" i="1"/>
  <c r="D4" i="1"/>
  <c r="D5" i="1"/>
  <c r="H4" i="1" l="1"/>
  <c r="I4" i="1" s="1"/>
  <c r="H3" i="1"/>
  <c r="I3" i="1" s="1"/>
  <c r="K2" i="1"/>
  <c r="I2" i="1"/>
  <c r="N2" i="1"/>
  <c r="N5" i="1"/>
  <c r="H5" i="1"/>
  <c r="I5" i="1" s="1"/>
  <c r="N3" i="1"/>
  <c r="N4" i="1"/>
  <c r="A2" i="2"/>
  <c r="B2" i="2"/>
  <c r="C2" i="2"/>
  <c r="D2" i="2"/>
  <c r="E2" i="2"/>
  <c r="E5" i="2"/>
  <c r="D5" i="2"/>
  <c r="C5" i="2"/>
  <c r="B5" i="2"/>
  <c r="A5" i="2"/>
  <c r="G5" i="2" l="1"/>
  <c r="G2" i="2"/>
  <c r="F5" i="2"/>
  <c r="F2" i="2"/>
  <c r="H6" i="2"/>
</calcChain>
</file>

<file path=xl/sharedStrings.xml><?xml version="1.0" encoding="utf-8"?>
<sst xmlns="http://schemas.openxmlformats.org/spreadsheetml/2006/main" count="44" uniqueCount="32">
  <si>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</si>
  <si>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</si>
  <si>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</si>
  <si>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</si>
  <si>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</si>
  <si>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</si>
  <si>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</si>
  <si>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</si>
  <si>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</si>
  <si>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</si>
  <si>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PERCENTUAL MÍNIMO</t>
  </si>
  <si>
    <t>VALOR MÍNIMO</t>
  </si>
  <si>
    <t>LANCE ATUAL</t>
  </si>
  <si>
    <t>POSIÇÃO</t>
  </si>
  <si>
    <t>VALOR TOTAL DO LANCE</t>
  </si>
  <si>
    <t>CUSTO + PERCENTUAL DE ENTRADA</t>
  </si>
  <si>
    <t>PERCENTUAL DE ENTRADA</t>
  </si>
  <si>
    <t>LOTE</t>
  </si>
  <si>
    <t>DESCRIÇÃO DO ITEM</t>
  </si>
  <si>
    <t>QUANTIDADE DO ITEM</t>
  </si>
  <si>
    <t>BICARBONATO DE SÓDIO 8,4% AMPOLA COM 10ML</t>
  </si>
  <si>
    <t>CLORETO DE POTÁSSIO 10% AMPOLA COM 10ML</t>
  </si>
  <si>
    <t>CLORETO DE POTÁSSIO 19,1% AMPOLA COM 10ML</t>
  </si>
  <si>
    <t>CLORETO DE SODIO 20% SOLUÇÃO INJETÁVEL ENDOVENOSA DE CLORETO DE SÓDIO 20% - AMP.TRANSP. DE 10ML</t>
  </si>
  <si>
    <t>GLUCONATO DE CÁLCIO 10% AMPOLA 10ML</t>
  </si>
  <si>
    <t>SORO GLICOFISIOLÓGICO, GLICOSE À 5% EM CLORETO DE SÓDIO À 0,9%; BOLSA SISTEMA FECHADO, FRASCO COM 1000ML</t>
  </si>
  <si>
    <t>SORO GLICOFISIOLÓGICO, GLICOSE À 5% EM CLORETO DE SÓDIO À 0,9%; BOLSA SISTEMA FECHADO, FRASCO COM 250ML</t>
  </si>
  <si>
    <t>SORO GLICOFISIOLÓGICO, GLICOSE À 5% EM CLORETO DE SÓDIO À 0,9%; BOLSA SISTEMA FECHADO, FRASCO COM 500ML</t>
  </si>
  <si>
    <t>SORO GLICOSADO 5%, BOLSA SISTEMA FECHADO, FRASCO COM 1000ML</t>
  </si>
  <si>
    <t>SULFATO DE MAGNÉSIO 10%, AMPOLA COM 10ML</t>
  </si>
  <si>
    <t>UN</t>
  </si>
  <si>
    <t>JP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</si>
</sst>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44" fontId="0" fillId="0" borderId="1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4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44" fontId="1" fillId="2" borderId="1" xfId="1" applyFont="1" applyFill="1" applyBorder="1" applyAlignment="1">
      <alignment horizontal="center" vertical="center"/>
    </xf>
    <xf numFmtId="0" fontId="1" fillId="0" borderId="1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3" fillId="0" borderId="10" xfId="0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9">
    <dxf>
      <numFmt numFmtId="13" formatCode="0%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1.xml"/><Relationship Id="rId5" Type="http://schemas.openxmlformats.org/officeDocument/2006/relationships/styles" Target="styles.xml"/><Relationship Id="rId10" Type="http://schemas.microsoft.com/office/2017/10/relationships/person" Target="persons/person0.xml"/><Relationship Id="rId4" Type="http://schemas.openxmlformats.org/officeDocument/2006/relationships/theme" Target="theme/theme1.xml"/><Relationship Id="rId9" Type="http://schemas.microsoft.com/office/2017/10/relationships/person" Target="persons/person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N5" headerRowDxfId="44" dataDxfId="42" headerRowBorderDxfId="43" tableBorderDxfId="41" totalsRowBorderDxfId="40">
  <autoFilter ref="A1:N5" xr:uid="{0F1C68C0-8F04-4F32-8E6D-C50711AF0188}"/>
  <tableColumns count="14">
    <tableColumn id="1" xr3:uid="{51CFE57C-AFCD-46C7-A72C-4E116E9357EE}" name="ITEM" totalsRowLabel="Total" dataDxfId="39"/>
    <tableColumn id="2" xr3:uid="{E7B80085-C079-4ECA-B98E-E82F5E46696A}" name="DESCRIÇÃO" dataDxfId="38">
      <calculatedColumnFormula>VLOOKUP(TabelaPrincipal[[#This Row],[ITEM]],TabelaModelo,2,FALSE)</calculatedColumnFormula>
    </tableColumn>
    <tableColumn id="3" xr3:uid="{74DD09F8-5DE7-492D-ABF9-CC0D01F7D44D}" name="UND" dataDxfId="37"/>
    <tableColumn id="4" xr3:uid="{2D7CF20C-95AF-448A-964A-706613067BC5}" name="QTD" dataDxfId="36">
      <calculatedColumnFormula>VLOOKUP(TabelaPrincipal[[#This Row],[ITEM]],TabelaModelo,3,FALSE)</calculatedColumnFormula>
    </tableColumn>
    <tableColumn id="5" xr3:uid="{888FDB53-36CC-46AE-AFEA-75AF1F77389D}" name="MARCA" dataDxfId="35"/>
    <tableColumn id="6" xr3:uid="{E7330FE1-ADA8-42A4-B3C8-35EEACF8E856}" name="VALOR DE CUSTO" dataDxfId="34" dataCellStyle="Moeda"/>
    <tableColumn id="14" xr3:uid="{A34B0AAF-F1D2-4671-A532-9BD185994D6B}" name="PERCENTUAL DE ENTRADA" dataDxfId="33" dataCellStyle="Moeda">
      <calculatedColumnFormula>IF(_xlfn.ISFORMULA(TabelaPrincipal[[#This Row],[CUSTO + PERCENTUAL DE ENTRADA]]),0.4,(TabelaPrincipal[[#This Row],[CUSTO + PERCENTUAL DE ENTRADA]]-TabelaPrincipal[[#This Row],[VALOR DE CUSTO]])/TabelaPrincipal[[#This Row],[VALOR DE CUSTO]])</calculatedColumnFormula>
    </tableColumn>
    <tableColumn id="7" xr3:uid="{03389115-425F-4153-AA8F-FD518F675069}" name="CUSTO + PERCENTUAL DE ENTRADA" dataDxfId="32" totalsRowDxfId="31" dataCellStyle="Moeda">
      <calculatedColumnFormula>ROUND(F2+(F2*TabelaPrincipal[[#This Row],[PERCENTUAL DE ENTRADA]]), 2)</calculatedColumnFormula>
    </tableColumn>
    <tableColumn id="8" xr3:uid="{532B9320-507F-43A8-833D-2CFD5BDC3030}" name="VALOR TOTAL" dataDxfId="30" totalsRowDxfId="29" dataCellStyle="Moeda">
      <calculatedColumnFormula>D2*H2</calculatedColumnFormula>
    </tableColumn>
    <tableColumn id="12" xr3:uid="{47060763-EEF9-4198-9C8A-B2079FE74328}" name="PERCENTUAL MÍNIMO" dataDxfId="0" totalsRowDxfId="28">
      <calculatedColumnFormula>IF(TabelaPrincipal[[#This Row],[PERCENTUAL DE ENTRADA]]&gt;0,0.2,0)</calculatedColumnFormula>
    </tableColumn>
    <tableColumn id="13" xr3:uid="{8FA6F66F-B93C-4DF5-A099-D33323ED11B8}" name="VALOR MÍNIMO" totalsRowFunction="sum" dataDxfId="27" totalsRowDxfId="26">
      <calculatedColumnFormula>ROUND(F2+(F2*TabelaPrincipal[[#This Row],[PERCENTUAL MÍNIMO]]), 2)</calculatedColumnFormula>
    </tableColumn>
    <tableColumn id="9" xr3:uid="{9D0B07B5-0269-49DC-A3EC-C170D6496473}" name="LANCE ATUAL" dataDxfId="25" dataCellStyle="Moeda"/>
    <tableColumn id="10" xr3:uid="{2B3A16CA-ACFA-4765-8367-A064C061C94F}" name="POSIÇÃO" dataDxfId="24" dataCellStyle="Moeda"/>
    <tableColumn id="11" xr3:uid="{059F3929-D102-4D03-9013-A9DF3FD97FD7}" name="VALOR TOTAL DO LANCE" dataDxfId="23" dataCellStyle="Moeda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6" totalsRowCount="1" headerRowDxfId="22" dataDxfId="20" totalsRowDxfId="18" headerRowBorderDxfId="21" tableBorderDxfId="19" totalsRowBorderDxfId="17">
  <autoFilter ref="A1:H5" xr:uid="{2CFAA1B4-814E-4223-B7E6-683C9654D6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C2A8540-55DA-471A-8023-1DC82AFF521D}" name="ITEM" totalsRowLabel="Total" dataDxfId="16" totalsRowDxfId="15">
      <calculatedColumnFormula>TabelaPrincipal[[#This Row],[ITEM]]</calculatedColumnFormula>
    </tableColumn>
    <tableColumn id="2" xr3:uid="{F915D416-2888-4C08-B603-DD427B80EC39}" name="DESCRIÇÃO" dataDxfId="14" totalsRowDxfId="13">
      <calculatedColumnFormula>TabelaPrincipal[[#This Row],[DESCRIÇÃO]]</calculatedColumnFormula>
    </tableColumn>
    <tableColumn id="3" xr3:uid="{49DB4880-9F6A-4C83-B06A-2BE3AF89B478}" name="UND" dataDxfId="12" totalsRowDxfId="11">
      <calculatedColumnFormula>TabelaPrincipal[[#This Row],[UND]]</calculatedColumnFormula>
    </tableColumn>
    <tableColumn id="4" xr3:uid="{88402F2B-2E49-4C7B-B78B-F865BFB0E1DD}" name="QTD" dataDxfId="10" totalsRowDxfId="9">
      <calculatedColumnFormula>TabelaPrincipal[[#This Row],[QTD]]</calculatedColumnFormula>
    </tableColumn>
    <tableColumn id="5" xr3:uid="{3DB67E5A-8A24-45E8-8217-4846CFFF15A4}" name="MARCA" dataDxfId="8" totalsRowDxfId="7">
      <calculatedColumnFormula>TabelaPrincipal[[#This Row],[MARCA]]</calculatedColumnFormula>
    </tableColumn>
    <tableColumn id="6" xr3:uid="{B69EC1DE-FD02-4E24-9A4E-2413AAC85E68}" name="VALOR UNITÁRIO" dataDxfId="6" totalsRowDxfId="5">
      <calculatedColumnFormula>TabelaPrincipal[[#This Row],[CUSTO + PERCENTUAL DE ENTRADA]]</calculatedColumnFormula>
    </tableColumn>
    <tableColumn id="7" xr3:uid="{AB54B16F-01C8-42F8-BA21-D18026C5F589}" name="VALOR TOTAL" totalsRowFunction="sum" dataDxfId="4" totalsRowDxfId="3">
      <calculatedColumnFormula>TabelaPrincipal[[#This Row],[VALOR TOTAL]]</calculatedColumnFormula>
    </tableColumn>
    <tableColumn id="8" xr3:uid="{937D679C-928B-4903-8AF2-2ECD36984D55}" name="TOTAL POR EXTENSO" totalsRowFunction="custom" dataDxfId="2" totalsRowDxfId="1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5"/>
  <sheetViews>
    <sheetView tabSelected="1" zoomScale="80" zoomScaleNormal="80" workbookViewId="0">
      <pane ySplit="1" topLeftCell="A2" activePane="bottomLeft" state="frozen"/>
      <selection pane="bottomLeft" activeCell="M5" sqref="M5"/>
    </sheetView>
  </sheetViews>
  <sheetFormatPr defaultRowHeight="15" x14ac:dyDescent="0.25"/>
  <cols>
    <col min="1" max="1" width="7" customWidth="1"/>
    <col min="2" max="2" width="60.7109375" style="27" customWidth="1"/>
    <col min="3" max="3" width="10.85546875" bestFit="1" customWidth="1"/>
    <col min="4" max="4" width="11.28515625" customWidth="1"/>
    <col min="5" max="5" width="13.5703125" bestFit="1" customWidth="1"/>
    <col min="6" max="6" width="16" customWidth="1"/>
    <col min="7" max="7" width="12.7109375" customWidth="1"/>
    <col min="8" max="8" width="16.5703125" customWidth="1"/>
    <col min="9" max="9" width="17.28515625" customWidth="1"/>
    <col min="10" max="10" width="13" customWidth="1"/>
    <col min="11" max="11" width="12.85546875" bestFit="1" customWidth="1"/>
    <col min="12" max="12" width="13.42578125" customWidth="1"/>
    <col min="13" max="13" width="12" customWidth="1"/>
    <col min="14" max="14" width="17.28515625" customWidth="1"/>
  </cols>
  <sheetData>
    <row r="1" spans="1:14" ht="45" x14ac:dyDescent="0.25">
      <c r="A1" s="3" t="s">
        <v>0</v>
      </c>
      <c r="B1" s="18" t="s">
        <v>5</v>
      </c>
      <c r="C1" s="4" t="s">
        <v>2</v>
      </c>
      <c r="D1" s="4" t="s">
        <v>1</v>
      </c>
      <c r="E1" s="4" t="s">
        <v>6</v>
      </c>
      <c r="F1" s="18" t="s">
        <v>4</v>
      </c>
      <c r="G1" s="18" t="s">
        <v>16</v>
      </c>
      <c r="H1" s="18" t="s">
        <v>15</v>
      </c>
      <c r="I1" s="19" t="s">
        <v>3</v>
      </c>
      <c r="J1" s="18" t="s">
        <v>10</v>
      </c>
      <c r="K1" s="18" t="s">
        <v>11</v>
      </c>
      <c r="L1" s="18" t="s">
        <v>12</v>
      </c>
      <c r="M1" s="4" t="s">
        <v>13</v>
      </c>
      <c r="N1" s="18" t="s">
        <v>14</v>
      </c>
    </row>
    <row r="2" spans="1:14" ht="30" x14ac:dyDescent="0.25">
      <c r="A2" s="21">
        <v>6</v>
      </c>
      <c r="B2" s="22" t="str">
        <f>VLOOKUP(TabelaPrincipal[[#This Row],[ITEM]],TabelaModelo,2,FALSE)</f>
        <v>SORO GLICOFISIOLÓGICO, GLICOSE À 5% EM CLORETO DE SÓDIO À 0,9%; BOLSA SISTEMA FECHADO, FRASCO COM 1000ML</v>
      </c>
      <c r="C2" s="23" t="s">
        <v>30</v>
      </c>
      <c r="D2" s="23">
        <f>VLOOKUP(TabelaPrincipal[[#This Row],[ITEM]],TabelaModelo,3,FALSE)</f>
        <v>5000</v>
      </c>
      <c r="E2" s="23" t="s">
        <v>31</v>
      </c>
      <c r="F2" s="24">
        <v>10.1</v>
      </c>
      <c r="G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" s="1">
        <f>ROUND(F2+(F2*TabelaPrincipal[[#This Row],[PERCENTUAL DE ENTRADA]]), 2)</f>
        <v>14.14</v>
      </c>
      <c r="I2" s="2">
        <f t="shared" ref="I2:I5" si="0">D2*H2</f>
        <v>70700</v>
      </c>
      <c r="J2" s="5">
        <f>IF(TabelaPrincipal[[#This Row],[PERCENTUAL DE ENTRADA]]&gt;0,0.2,0)</f>
        <v>0.2</v>
      </c>
      <c r="K2" s="1">
        <f>ROUND(F2+(F2*TabelaPrincipal[[#This Row],[PERCENTUAL MÍNIMO]]), 2)</f>
        <v>12.12</v>
      </c>
      <c r="L2" s="25">
        <v>14.14</v>
      </c>
      <c r="M2" s="26">
        <v>3</v>
      </c>
      <c r="N2" s="24">
        <f>TabelaPrincipal[[#This Row],[LANCE ATUAL]]*TabelaPrincipal[[#This Row],[QTD]]</f>
        <v>70700</v>
      </c>
    </row>
    <row r="3" spans="1:14" ht="30" x14ac:dyDescent="0.25">
      <c r="A3" s="21">
        <v>7</v>
      </c>
      <c r="B3" s="22" t="str">
        <f>VLOOKUP(TabelaPrincipal[[#This Row],[ITEM]],TabelaModelo,2,FALSE)</f>
        <v>SORO GLICOFISIOLÓGICO, GLICOSE À 5% EM CLORETO DE SÓDIO À 0,9%; BOLSA SISTEMA FECHADO, FRASCO COM 250ML</v>
      </c>
      <c r="C3" s="23" t="s">
        <v>30</v>
      </c>
      <c r="D3" s="23">
        <f>VLOOKUP(TabelaPrincipal[[#This Row],[ITEM]],TabelaModelo,3,FALSE)</f>
        <v>5000</v>
      </c>
      <c r="E3" s="23" t="s">
        <v>31</v>
      </c>
      <c r="F3" s="24">
        <v>5.25</v>
      </c>
      <c r="G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" s="1">
        <f>ROUND(F3+(F3*TabelaPrincipal[[#This Row],[PERCENTUAL DE ENTRADA]]), 2)</f>
        <v>7.35</v>
      </c>
      <c r="I3" s="2">
        <f t="shared" si="0"/>
        <v>36750</v>
      </c>
      <c r="J3" s="5">
        <f>IF(TabelaPrincipal[[#This Row],[PERCENTUAL DE ENTRADA]]&gt;0,0.2,0)</f>
        <v>0.2</v>
      </c>
      <c r="K3" s="1">
        <f>ROUND(F3+(F3*TabelaPrincipal[[#This Row],[PERCENTUAL MÍNIMO]]), 2)</f>
        <v>6.3</v>
      </c>
      <c r="L3" s="25">
        <v>6.81</v>
      </c>
      <c r="M3" s="26">
        <v>4</v>
      </c>
      <c r="N3" s="24">
        <f>TabelaPrincipal[[#This Row],[LANCE ATUAL]]*TabelaPrincipal[[#This Row],[QTD]]</f>
        <v>34050</v>
      </c>
    </row>
    <row r="4" spans="1:14" ht="30" x14ac:dyDescent="0.25">
      <c r="A4" s="21">
        <v>8</v>
      </c>
      <c r="B4" s="22" t="str">
        <f>VLOOKUP(TabelaPrincipal[[#This Row],[ITEM]],TabelaModelo,2,FALSE)</f>
        <v>SORO GLICOFISIOLÓGICO, GLICOSE À 5% EM CLORETO DE SÓDIO À 0,9%; BOLSA SISTEMA FECHADO, FRASCO COM 500ML</v>
      </c>
      <c r="C4" s="23" t="s">
        <v>30</v>
      </c>
      <c r="D4" s="23">
        <f>VLOOKUP(TabelaPrincipal[[#This Row],[ITEM]],TabelaModelo,3,FALSE)</f>
        <v>5000</v>
      </c>
      <c r="E4" s="23" t="s">
        <v>31</v>
      </c>
      <c r="F4" s="24">
        <v>7.7</v>
      </c>
      <c r="G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" s="1">
        <f>ROUND(F4+(F4*TabelaPrincipal[[#This Row],[PERCENTUAL DE ENTRADA]]), 2)</f>
        <v>10.78</v>
      </c>
      <c r="I4" s="2">
        <f t="shared" si="0"/>
        <v>53900</v>
      </c>
      <c r="J4" s="5">
        <f>IF(TabelaPrincipal[[#This Row],[PERCENTUAL DE ENTRADA]]&gt;0,0.2,0)</f>
        <v>0.2</v>
      </c>
      <c r="K4" s="1">
        <f>ROUND(F4+(F4*TabelaPrincipal[[#This Row],[PERCENTUAL MÍNIMO]]), 2)</f>
        <v>9.24</v>
      </c>
      <c r="L4" s="25">
        <v>9.24</v>
      </c>
      <c r="M4" s="26">
        <v>5</v>
      </c>
      <c r="N4" s="24">
        <f>TabelaPrincipal[[#This Row],[LANCE ATUAL]]*TabelaPrincipal[[#This Row],[QTD]]</f>
        <v>46200</v>
      </c>
    </row>
    <row r="5" spans="1:14" ht="30" x14ac:dyDescent="0.25">
      <c r="A5" s="21">
        <v>9</v>
      </c>
      <c r="B5" s="22" t="str">
        <f>VLOOKUP(TabelaPrincipal[[#This Row],[ITEM]],TabelaModelo,2,FALSE)</f>
        <v>SORO GLICOSADO 5%, BOLSA SISTEMA FECHADO, FRASCO COM 1000ML</v>
      </c>
      <c r="C5" s="23" t="s">
        <v>30</v>
      </c>
      <c r="D5" s="23">
        <f>VLOOKUP(TabelaPrincipal[[#This Row],[ITEM]],TabelaModelo,3,FALSE)</f>
        <v>5000</v>
      </c>
      <c r="E5" s="23" t="s">
        <v>31</v>
      </c>
      <c r="F5" s="24">
        <v>10.1</v>
      </c>
      <c r="G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" s="1">
        <f>ROUND(F5+(F5*TabelaPrincipal[[#This Row],[PERCENTUAL DE ENTRADA]]), 2)</f>
        <v>14.14</v>
      </c>
      <c r="I5" s="2">
        <f t="shared" si="0"/>
        <v>70700</v>
      </c>
      <c r="J5" s="5">
        <f>IF(TabelaPrincipal[[#This Row],[PERCENTUAL DE ENTRADA]]&gt;0,0.2,0)</f>
        <v>0.2</v>
      </c>
      <c r="K5" s="1">
        <f>ROUND(F5+(F5*TabelaPrincipal[[#This Row],[PERCENTUAL MÍNIMO]]), 2)</f>
        <v>12.12</v>
      </c>
      <c r="L5" s="25">
        <v>12.88</v>
      </c>
      <c r="M5" s="26">
        <v>2</v>
      </c>
      <c r="N5" s="24">
        <f>TabelaPrincipal[[#This Row],[LANCE ATUAL]]*TabelaPrincipal[[#This Row],[QTD]]</f>
        <v>64400.000000000007</v>
      </c>
    </row>
  </sheetData>
  <conditionalFormatting sqref="L2:L5">
    <cfRule type="expression" dxfId="48" priority="1">
      <formula>$L2&lt;$K2</formula>
    </cfRule>
  </conditionalFormatting>
  <conditionalFormatting sqref="A2:N5">
    <cfRule type="expression" dxfId="47" priority="2">
      <formula>$M2=1</formula>
    </cfRule>
  </conditionalFormatting>
  <conditionalFormatting sqref="L2:L5">
    <cfRule type="expression" dxfId="46" priority="5">
      <formula>$G2=0</formula>
    </cfRule>
  </conditionalFormatting>
  <conditionalFormatting sqref="G2:G5">
    <cfRule type="expression" dxfId="45" priority="4">
      <formula>$G2&gt;0.4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6"/>
  <sheetViews>
    <sheetView workbookViewId="0">
      <selection activeCell="H6" sqref="H6"/>
    </sheetView>
  </sheetViews>
  <sheetFormatPr defaultRowHeight="15" x14ac:dyDescent="0.25"/>
  <cols>
    <col min="1" max="1" width="4.85546875" bestFit="1" customWidth="1"/>
    <col min="2" max="2" width="50.7109375" customWidth="1"/>
    <col min="3" max="3" width="4.5703125" bestFit="1" customWidth="1"/>
    <col min="4" max="4" width="5" bestFit="1" customWidth="1"/>
    <col min="5" max="5" width="6.85546875" bestFit="1" customWidth="1"/>
    <col min="6" max="6" width="9" bestFit="1" customWidth="1"/>
    <col min="7" max="7" width="13.5703125" bestFit="1" customWidth="1"/>
    <col min="8" max="8" width="36.85546875" bestFit="1" customWidth="1"/>
  </cols>
  <sheetData>
    <row r="1" spans="1:8" ht="25.5" x14ac:dyDescent="0.25">
      <c r="A1" s="6" t="s">
        <v>0</v>
      </c>
      <c r="B1" s="7" t="s">
        <v>5</v>
      </c>
      <c r="C1" s="7" t="s">
        <v>2</v>
      </c>
      <c r="D1" s="7" t="s">
        <v>1</v>
      </c>
      <c r="E1" s="7" t="s">
        <v>6</v>
      </c>
      <c r="F1" s="17" t="s">
        <v>8</v>
      </c>
      <c r="G1" s="8" t="s">
        <v>3</v>
      </c>
      <c r="H1" s="7" t="s">
        <v>9</v>
      </c>
    </row>
    <row r="2" spans="1:8" ht="38.25" x14ac:dyDescent="0.25">
      <c r="A2" s="9">
        <f>TabelaPrincipal[[#This Row],[ITEM]]</f>
        <v>6</v>
      </c>
      <c r="B2" s="10" t="str">
        <f>TabelaPrincipal[[#This Row],[DESCRIÇÃO]]</f>
        <v>SORO GLICOFISIOLÓGICO, GLICOSE À 5% EM CLORETO DE SÓDIO À 0,9%; BOLSA SISTEMA FECHADO, FRASCO COM 1000ML</v>
      </c>
      <c r="C2" s="11" t="str">
        <f>TabelaPrincipal[[#This Row],[UND]]</f>
        <v>UN</v>
      </c>
      <c r="D2" s="10">
        <f>TabelaPrincipal[[#This Row],[QTD]]</f>
        <v>5000</v>
      </c>
      <c r="E2" s="10" t="str">
        <f>TabelaPrincipal[[#This Row],[MARCA]]</f>
        <v>JP</v>
      </c>
      <c r="F2" s="12">
        <f>TabelaPrincipal[[#This Row],[CUSTO + PERCENTUAL DE ENTRADA]]</f>
        <v>14.14</v>
      </c>
      <c r="G2" s="13">
        <f>TabelaPrincipal[[#This Row],[VALOR TOTAL]]</f>
        <v>70700</v>
      </c>
      <c r="H2" s="7"/>
    </row>
    <row r="3" spans="1:8" ht="25.5" x14ac:dyDescent="0.25">
      <c r="A3" s="9">
        <f>TabelaPrincipal[[#This Row],[ITEM]]</f>
        <v>7</v>
      </c>
      <c r="B3" s="10" t="str">
        <f>TabelaPrincipal[[#This Row],[DESCRIÇÃO]]</f>
        <v>SORO GLICOFISIOLÓGICO, GLICOSE À 5% EM CLORETO DE SÓDIO À 0,9%; BOLSA SISTEMA FECHADO, FRASCO COM 250ML</v>
      </c>
      <c r="C3" s="11" t="str">
        <f>TabelaPrincipal[[#This Row],[UND]]</f>
        <v>UN</v>
      </c>
      <c r="D3" s="10">
        <f>TabelaPrincipal[[#This Row],[QTD]]</f>
        <v>5000</v>
      </c>
      <c r="E3" s="10" t="str">
        <f>TabelaPrincipal[[#This Row],[MARCA]]</f>
        <v>JP</v>
      </c>
      <c r="F3" s="12">
        <f>TabelaPrincipal[[#This Row],[CUSTO + PERCENTUAL DE ENTRADA]]</f>
        <v>7.35</v>
      </c>
      <c r="G3" s="13">
        <f>TabelaPrincipal[[#This Row],[VALOR TOTAL]]</f>
        <v>36750</v>
      </c>
      <c r="H3" s="28"/>
    </row>
    <row r="4" spans="1:8" ht="25.5" x14ac:dyDescent="0.25">
      <c r="A4" s="9">
        <f>TabelaPrincipal[[#This Row],[ITEM]]</f>
        <v>8</v>
      </c>
      <c r="B4" s="10" t="str">
        <f>TabelaPrincipal[[#This Row],[DESCRIÇÃO]]</f>
        <v>SORO GLICOFISIOLÓGICO, GLICOSE À 5% EM CLORETO DE SÓDIO À 0,9%; BOLSA SISTEMA FECHADO, FRASCO COM 500ML</v>
      </c>
      <c r="C4" s="11" t="str">
        <f>TabelaPrincipal[[#This Row],[UND]]</f>
        <v>UN</v>
      </c>
      <c r="D4" s="10">
        <f>TabelaPrincipal[[#This Row],[QTD]]</f>
        <v>5000</v>
      </c>
      <c r="E4" s="10" t="str">
        <f>TabelaPrincipal[[#This Row],[MARCA]]</f>
        <v>JP</v>
      </c>
      <c r="F4" s="12">
        <f>TabelaPrincipal[[#This Row],[CUSTO + PERCENTUAL DE ENTRADA]]</f>
        <v>10.78</v>
      </c>
      <c r="G4" s="13">
        <f>TabelaPrincipal[[#This Row],[VALOR TOTAL]]</f>
        <v>53900</v>
      </c>
      <c r="H4" s="28"/>
    </row>
    <row r="5" spans="1:8" x14ac:dyDescent="0.25">
      <c r="A5" s="9">
        <f>TabelaPrincipal[[#This Row],[ITEM]]</f>
        <v>9</v>
      </c>
      <c r="B5" s="10" t="str">
        <f>TabelaPrincipal[[#This Row],[DESCRIÇÃO]]</f>
        <v>SORO GLICOSADO 5%, BOLSA SISTEMA FECHADO, FRASCO COM 1000ML</v>
      </c>
      <c r="C5" s="11" t="str">
        <f>TabelaPrincipal[[#This Row],[UND]]</f>
        <v>UN</v>
      </c>
      <c r="D5" s="10">
        <f>TabelaPrincipal[[#This Row],[QTD]]</f>
        <v>5000</v>
      </c>
      <c r="E5" s="10" t="str">
        <f>TabelaPrincipal[[#This Row],[MARCA]]</f>
        <v>JP</v>
      </c>
      <c r="F5" s="12">
        <f>TabelaPrincipal[[#This Row],[CUSTO + PERCENTUAL DE ENTRADA]]</f>
        <v>14.14</v>
      </c>
      <c r="G5" s="13">
        <f>TabelaPrincipal[[#This Row],[VALOR TOTAL]]</f>
        <v>70700</v>
      </c>
      <c r="H5" s="14"/>
    </row>
    <row r="6" spans="1:8" x14ac:dyDescent="0.25">
      <c r="A6" s="15" t="s">
        <v>7</v>
      </c>
      <c r="B6" s="14"/>
      <c r="C6" s="14"/>
      <c r="D6" s="14"/>
      <c r="E6" s="14"/>
      <c r="F6" s="14"/>
      <c r="G6" s="16">
        <f>SUBTOTAL(109,TabelaProposta[VALOR TOTAL])</f>
        <v>232050</v>
      </c>
      <c r="H6" s="14" t="str">
        <f>Extenso_Valor(TabelaProposta[[#Totals],[VALOR TOTAL]])</f>
        <v>duzentos e trinta e dois mil e cinquenta reais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1B35B-9CD0-41FF-8C20-919F75371C92}">
  <dimension ref="A1:C11"/>
  <sheetViews>
    <sheetView workbookViewId="0">
      <selection activeCell="F7" sqref="F7"/>
    </sheetView>
  </sheetViews>
  <sheetFormatPr defaultRowHeight="15" x14ac:dyDescent="0.25"/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>
        <v>1</v>
      </c>
      <c r="B2" t="s">
        <v>20</v>
      </c>
      <c r="C2">
        <v>600</v>
      </c>
    </row>
    <row r="3" spans="1:3" x14ac:dyDescent="0.25">
      <c r="A3">
        <v>2</v>
      </c>
      <c r="B3" t="s">
        <v>21</v>
      </c>
      <c r="C3">
        <v>600</v>
      </c>
    </row>
    <row r="4" spans="1:3" x14ac:dyDescent="0.25">
      <c r="A4">
        <v>3</v>
      </c>
      <c r="B4" t="s">
        <v>22</v>
      </c>
      <c r="C4">
        <v>600</v>
      </c>
    </row>
    <row r="5" spans="1:3" x14ac:dyDescent="0.25">
      <c r="A5">
        <v>4</v>
      </c>
      <c r="B5" t="s">
        <v>23</v>
      </c>
      <c r="C5">
        <v>800</v>
      </c>
    </row>
    <row r="6" spans="1:3" x14ac:dyDescent="0.25">
      <c r="A6">
        <v>5</v>
      </c>
      <c r="B6" t="s">
        <v>24</v>
      </c>
      <c r="C6">
        <v>600</v>
      </c>
    </row>
    <row r="7" spans="1:3" x14ac:dyDescent="0.25">
      <c r="A7">
        <v>6</v>
      </c>
      <c r="B7" t="s">
        <v>25</v>
      </c>
      <c r="C7" s="20">
        <v>5000</v>
      </c>
    </row>
    <row r="8" spans="1:3" x14ac:dyDescent="0.25">
      <c r="A8">
        <v>7</v>
      </c>
      <c r="B8" t="s">
        <v>26</v>
      </c>
      <c r="C8" s="20">
        <v>5000</v>
      </c>
    </row>
    <row r="9" spans="1:3" x14ac:dyDescent="0.25">
      <c r="A9">
        <v>8</v>
      </c>
      <c r="B9" t="s">
        <v>27</v>
      </c>
      <c r="C9" s="20">
        <v>5000</v>
      </c>
    </row>
    <row r="10" spans="1:3" x14ac:dyDescent="0.25">
      <c r="A10">
        <v>9</v>
      </c>
      <c r="B10" t="s">
        <v>28</v>
      </c>
      <c r="C10" s="20">
        <v>5000</v>
      </c>
    </row>
    <row r="11" spans="1:3" x14ac:dyDescent="0.25">
      <c r="A11">
        <v>10</v>
      </c>
      <c r="B11" t="s">
        <v>29</v>
      </c>
      <c r="C11">
        <v>600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Principal</vt:lpstr>
      <vt:lpstr>DadosProposta</vt:lpstr>
      <vt:lpstr>DadosModelo</vt:lpstr>
      <vt:lpstr>TabelaModelo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2015-06-05T18:19:34Z</dcterms:created>
  <dcterms:modified xsi:type="dcterms:W3CDTF">2024-04-08T12:13:46Z</dcterms:modified>
</cp:coreProperties>
</file>