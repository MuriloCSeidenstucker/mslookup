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3.xml" ContentType="application/vnd.ms-excel.person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ocuments\Pregoes_Eletr\DM\Em_Andamento\PE_042024_Frutal\"/>
    </mc:Choice>
  </mc:AlternateContent>
  <xr:revisionPtr revIDLastSave="0" documentId="13_ncr:1_{50BD6B08-0AFC-4F38-8AE4-75D4D18C57C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incipal(Licitanet)" sheetId="5" r:id="rId1"/>
    <sheet name="Principal(Edital)" sheetId="1" state="hidden" r:id="rId2"/>
    <sheet name="DadosProposta" sheetId="2" r:id="rId3"/>
    <sheet name="DadosModelo(Licitanet)" sheetId="4" r:id="rId4"/>
    <sheet name="DadosModelo(Edital)" sheetId="3" state="hidden" r:id="rId5"/>
  </sheets>
  <functionGroups builtInGroupCount="19"/>
  <definedNames>
    <definedName name="_xlnm._FilterDatabase" localSheetId="4" hidden="1">'DadosModelo(Edital)'!$A$1:$C$19</definedName>
    <definedName name="asdfasdfa">TabelaPrincipal[]</definedName>
    <definedName name="TabelaEdital">'DadosModelo(Edital)'!$A$1:$C$19</definedName>
    <definedName name="TabelaModelo">'DadosModelo(Licitanet)'!$A$1:$C$19</definedName>
    <definedName name="TabelaProcesso" localSheetId="3">TabelaPrincipal[#All]</definedName>
    <definedName name="TabelaProcesso" localSheetId="0">TabelaPrincipal4[#All]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A5" i="5"/>
  <c r="A5" i="2" s="1"/>
  <c r="A8" i="5"/>
  <c r="A8" i="2" s="1"/>
  <c r="A15" i="5"/>
  <c r="A15" i="2" s="1"/>
  <c r="A6" i="5"/>
  <c r="A6" i="2" s="1"/>
  <c r="A4" i="5"/>
  <c r="A4" i="2" s="1"/>
  <c r="A2" i="5"/>
  <c r="A2" i="2" s="1"/>
  <c r="A9" i="5"/>
  <c r="A9" i="2" s="1"/>
  <c r="A12" i="5"/>
  <c r="A12" i="2" s="1"/>
  <c r="A13" i="5"/>
  <c r="A13" i="2" s="1"/>
  <c r="A14" i="5"/>
  <c r="A14" i="2" s="1"/>
  <c r="A3" i="5"/>
  <c r="A3" i="2" s="1"/>
  <c r="A11" i="5"/>
  <c r="A11" i="2" s="1"/>
  <c r="A10" i="5"/>
  <c r="A10" i="2" s="1"/>
  <c r="A7" i="5"/>
  <c r="A7" i="2" s="1"/>
  <c r="G10" i="5"/>
  <c r="J10" i="5" s="1"/>
  <c r="K10" i="5" s="1"/>
  <c r="G11" i="5"/>
  <c r="H11" i="5" s="1"/>
  <c r="I11" i="5" s="1"/>
  <c r="N11" i="5"/>
  <c r="N3" i="5"/>
  <c r="G3" i="5"/>
  <c r="J3" i="5" s="1"/>
  <c r="K3" i="5" s="1"/>
  <c r="G14" i="5"/>
  <c r="H14" i="5" s="1"/>
  <c r="I14" i="5" s="1"/>
  <c r="N14" i="5"/>
  <c r="G13" i="5"/>
  <c r="H13" i="5" s="1"/>
  <c r="I13" i="5" s="1"/>
  <c r="J12" i="5"/>
  <c r="K12" i="5" s="1"/>
  <c r="G12" i="5"/>
  <c r="H12" i="5" s="1"/>
  <c r="I12" i="5" s="1"/>
  <c r="N12" i="5"/>
  <c r="G9" i="5"/>
  <c r="H9" i="5" s="1"/>
  <c r="N9" i="5"/>
  <c r="G2" i="5"/>
  <c r="H2" i="5" s="1"/>
  <c r="I2" i="5" s="1"/>
  <c r="N2" i="5"/>
  <c r="G4" i="5"/>
  <c r="H4" i="5" s="1"/>
  <c r="N4" i="5"/>
  <c r="J6" i="5"/>
  <c r="K6" i="5" s="1"/>
  <c r="G6" i="5"/>
  <c r="H6" i="5" s="1"/>
  <c r="I6" i="5" s="1"/>
  <c r="N6" i="5"/>
  <c r="G15" i="5"/>
  <c r="H15" i="5" s="1"/>
  <c r="N15" i="5"/>
  <c r="G8" i="5"/>
  <c r="H8" i="5" s="1"/>
  <c r="I8" i="5" s="1"/>
  <c r="N8" i="5"/>
  <c r="G5" i="5"/>
  <c r="H5" i="5" s="1"/>
  <c r="N5" i="5"/>
  <c r="J7" i="5"/>
  <c r="K7" i="5" s="1"/>
  <c r="G7" i="5"/>
  <c r="H7" i="5" s="1"/>
  <c r="I7" i="5" s="1"/>
  <c r="N7" i="5"/>
  <c r="G15" i="1"/>
  <c r="H15" i="1" s="1"/>
  <c r="G14" i="1"/>
  <c r="H14" i="1" s="1"/>
  <c r="G13" i="1"/>
  <c r="J13" i="1" s="1"/>
  <c r="K13" i="1" s="1"/>
  <c r="H12" i="1"/>
  <c r="G12" i="1"/>
  <c r="J12" i="1" s="1"/>
  <c r="K12" i="1" s="1"/>
  <c r="G11" i="1"/>
  <c r="J11" i="1" s="1"/>
  <c r="K11" i="1" s="1"/>
  <c r="G10" i="1"/>
  <c r="H10" i="1" s="1"/>
  <c r="G9" i="1"/>
  <c r="J9" i="1" s="1"/>
  <c r="K9" i="1" s="1"/>
  <c r="G8" i="1"/>
  <c r="J8" i="1" s="1"/>
  <c r="K8" i="1" s="1"/>
  <c r="G7" i="1"/>
  <c r="H7" i="1" s="1"/>
  <c r="G6" i="1"/>
  <c r="H6" i="1" s="1"/>
  <c r="G5" i="1"/>
  <c r="J5" i="1" s="1"/>
  <c r="K5" i="1" s="1"/>
  <c r="G4" i="1"/>
  <c r="J4" i="1" s="1"/>
  <c r="K4" i="1" s="1"/>
  <c r="J3" i="1"/>
  <c r="K3" i="1" s="1"/>
  <c r="H3" i="1"/>
  <c r="G3" i="1"/>
  <c r="G2" i="1"/>
  <c r="H2" i="1" s="1"/>
  <c r="J15" i="5" l="1"/>
  <c r="K15" i="5" s="1"/>
  <c r="J9" i="5"/>
  <c r="K9" i="5" s="1"/>
  <c r="J5" i="5"/>
  <c r="K5" i="5" s="1"/>
  <c r="J4" i="5"/>
  <c r="K4" i="5" s="1"/>
  <c r="H3" i="5"/>
  <c r="J11" i="5"/>
  <c r="K11" i="5" s="1"/>
  <c r="J14" i="5"/>
  <c r="K14" i="5" s="1"/>
  <c r="J8" i="5"/>
  <c r="K8" i="5" s="1"/>
  <c r="J2" i="5"/>
  <c r="K2" i="5" s="1"/>
  <c r="J13" i="5"/>
  <c r="K13" i="5" s="1"/>
  <c r="H10" i="5"/>
  <c r="I10" i="5" s="1"/>
  <c r="N13" i="5"/>
  <c r="I5" i="5"/>
  <c r="I15" i="5"/>
  <c r="I4" i="5"/>
  <c r="I9" i="5"/>
  <c r="I3" i="5"/>
  <c r="N10" i="5"/>
  <c r="N3" i="1"/>
  <c r="J7" i="1"/>
  <c r="K7" i="1" s="1"/>
  <c r="N15" i="1"/>
  <c r="J15" i="1"/>
  <c r="K15" i="1" s="1"/>
  <c r="I15" i="1"/>
  <c r="N14" i="1"/>
  <c r="J14" i="1"/>
  <c r="K14" i="1" s="1"/>
  <c r="I14" i="1"/>
  <c r="I12" i="1"/>
  <c r="H11" i="1"/>
  <c r="I11" i="1" s="1"/>
  <c r="N11" i="1"/>
  <c r="N10" i="1"/>
  <c r="J10" i="1"/>
  <c r="K10" i="1" s="1"/>
  <c r="I10" i="1"/>
  <c r="H8" i="1"/>
  <c r="I8" i="1" s="1"/>
  <c r="I7" i="1"/>
  <c r="N7" i="1"/>
  <c r="J6" i="1"/>
  <c r="K6" i="1" s="1"/>
  <c r="N6" i="1"/>
  <c r="I6" i="1"/>
  <c r="I3" i="1"/>
  <c r="N2" i="1"/>
  <c r="J2" i="1"/>
  <c r="K2" i="1" s="1"/>
  <c r="I2" i="1"/>
  <c r="H4" i="1"/>
  <c r="I4" i="1" s="1"/>
  <c r="N13" i="1"/>
  <c r="N9" i="1"/>
  <c r="N5" i="1"/>
  <c r="H5" i="1"/>
  <c r="I5" i="1" s="1"/>
  <c r="H9" i="1"/>
  <c r="I9" i="1" s="1"/>
  <c r="H13" i="1"/>
  <c r="I13" i="1" s="1"/>
  <c r="N12" i="1"/>
  <c r="N8" i="1"/>
  <c r="N4" i="1"/>
  <c r="H16" i="2"/>
</calcChain>
</file>

<file path=xl/sharedStrings.xml><?xml version="1.0" encoding="utf-8"?>
<sst xmlns="http://schemas.openxmlformats.org/spreadsheetml/2006/main" count="149" uniqueCount="48">
  <si>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</si>
  <si>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</si>
  <si>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</si>
  <si>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</si>
  <si>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</si>
  <si>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</si>
  <si>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</si>
  <si>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</si>
  <si>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</si>
  <si>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</si>
  <si>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</si>
  <si>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</si>
  <si>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</si>
  <si>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</si>
  <si>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</si>
  <si>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</si>
  <si>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</si>
  <si>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LOTE</t>
  </si>
  <si>
    <t>DESCRIÇÃO DO ITEM</t>
  </si>
  <si>
    <t>QUANTIDADE DO ITEM</t>
  </si>
  <si>
    <t>HEPARINA SODICA SUBCUT 5000UI</t>
  </si>
  <si>
    <t>HEPARINA SODICA SOL INJET 5ML</t>
  </si>
  <si>
    <t>DECANOATO HALOPERIDOL 50MG/ML</t>
  </si>
  <si>
    <t>PROMETAZINA 25MG, CLORIDRATO</t>
  </si>
  <si>
    <t>HALOPERIDOL 5MG</t>
  </si>
  <si>
    <t>CLORPROMAZINA 40MG/ML SOL ORAL</t>
  </si>
  <si>
    <t>HALOPERIDOL 2MG/ML SOL ORAL</t>
  </si>
  <si>
    <t>CLORPROMAZINA 25MG</t>
  </si>
  <si>
    <t>CODEINA 30MG</t>
  </si>
  <si>
    <t>IMIPRAMINA 25MG</t>
  </si>
  <si>
    <t>RISPERIDONA 3MG</t>
  </si>
  <si>
    <t>LEVOMEPROMAZINA 25MG</t>
  </si>
  <si>
    <t>RISPERIDONA 1MG</t>
  </si>
  <si>
    <t>LEVOMEPROMAZINA 4% GOTAS</t>
  </si>
  <si>
    <t>FENOBARBITAL 100MG/ML SOL.INJ.</t>
  </si>
  <si>
    <t>LIDOCAINA 2% COM VASO FRASCO 20ML</t>
  </si>
  <si>
    <t>NITRATO DE CERIO +SULFADIAZINA</t>
  </si>
  <si>
    <t>COLAGENASE+CLORAFENICOL POMADA 30g</t>
  </si>
  <si>
    <t>CD</t>
  </si>
  <si>
    <t>Sanofi</t>
  </si>
  <si>
    <t>FR</t>
  </si>
  <si>
    <t>Cristália</t>
  </si>
  <si>
    <t>BI</t>
  </si>
  <si>
    <t>Cellera</t>
  </si>
  <si>
    <t>BI/TU</t>
  </si>
  <si>
    <t>Teuto</t>
  </si>
  <si>
    <t>Vitamedic</t>
  </si>
  <si>
    <t>LIDOCAINA 2% C/ VASO CONSTRITO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</si>
</sst>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1.xml"/><Relationship Id="rId5" Type="http://schemas.openxmlformats.org/officeDocument/2006/relationships/worksheet" Target="worksheets/sheet5.xml"/><Relationship Id="rId15" Type="http://schemas.microsoft.com/office/2017/10/relationships/person" Target="persons/person3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0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D91F71-C2B7-4045-AD97-973C1A502108}" name="TabelaPrincipal4" displayName="TabelaPrincipal4" ref="A1:N15" headerRowDxfId="71" dataDxfId="69" headerRowBorderDxfId="70" tableBorderDxfId="68" totalsRowBorderDxfId="67">
  <autoFilter ref="A1:N15" xr:uid="{0F1C68C0-8F04-4F32-8E6D-C50711AF0188}"/>
  <sortState xmlns:xlrd2="http://schemas.microsoft.com/office/spreadsheetml/2017/richdata2" ref="A2:N15">
    <sortCondition ref="A1:A15"/>
  </sortState>
  <tableColumns count="14">
    <tableColumn id="1" xr3:uid="{549148D6-0EF5-4E65-AAFD-12B15CF8AB69}" name="ITEM" totalsRowLabel="Total" dataDxfId="66">
      <calculatedColumnFormula>VLOOKUP(TabelaPrincipal4[[#This Row],[DESCRIÇÃO]],TabelaModelo,2,)</calculatedColumnFormula>
    </tableColumn>
    <tableColumn id="2" xr3:uid="{D82E87D6-9492-4992-9E3A-7F3871378660}" name="DESCRIÇÃO" dataDxfId="65"/>
    <tableColumn id="3" xr3:uid="{C6828B9A-B457-4EC0-AD49-49888048CF7B}" name="UND" dataDxfId="64"/>
    <tableColumn id="4" xr3:uid="{CF644F06-8DE7-4549-9E79-4BA2BC146E54}" name="QTD" dataDxfId="63"/>
    <tableColumn id="5" xr3:uid="{B1D3B438-C795-4473-96F9-D98A1D12A9C6}" name="MARCA" dataDxfId="62"/>
    <tableColumn id="6" xr3:uid="{9457D058-717B-4C6E-9E82-AF569C452A1B}" name="VALOR DE CUSTO" dataDxfId="61" dataCellStyle="Moeda"/>
    <tableColumn id="14" xr3:uid="{62006F47-6A5D-4413-9285-B35A5981661F}" name="PERCENTUAL DE ENTRADA" dataDxfId="60" dataCellStyle="Moeda">
      <calculatedColumnFormula>IF(_xlfn.ISFORMULA(TabelaPrincipal4[[#This Row],[CUSTO + PERCENTUAL DE ENTRADA]]),0.4,(TabelaPrincipal4[[#This Row],[CUSTO + PERCENTUAL DE ENTRADA]]-TabelaPrincipal4[[#This Row],[VALOR DE CUSTO]])/TabelaPrincipal4[[#This Row],[VALOR DE CUSTO]])</calculatedColumnFormula>
    </tableColumn>
    <tableColumn id="7" xr3:uid="{AF5187DA-0A91-406C-A9C2-C949AAA5DFBC}" name="CUSTO + PERCENTUAL DE ENTRADA" dataDxfId="59" totalsRowDxfId="58" dataCellStyle="Moeda">
      <calculatedColumnFormula>ROUND(F2+(F2*TabelaPrincipal4[[#This Row],[PERCENTUAL DE ENTRADA]]), 2)</calculatedColumnFormula>
    </tableColumn>
    <tableColumn id="8" xr3:uid="{84EC93BF-74A9-4DEF-8EA5-4428D8CD26E9}" name="VALOR TOTAL" dataDxfId="57" totalsRowDxfId="56" dataCellStyle="Moeda">
      <calculatedColumnFormula>D2*H2</calculatedColumnFormula>
    </tableColumn>
    <tableColumn id="12" xr3:uid="{A723EBC1-7BA1-4686-8664-B761BA551334}" name="PERCENTUAL MÍNIMO" dataDxfId="55" totalsRowDxfId="54">
      <calculatedColumnFormula>IF(TabelaPrincipal4[[#This Row],[PERCENTUAL DE ENTRADA]]&gt;0,0.15,0)</calculatedColumnFormula>
    </tableColumn>
    <tableColumn id="13" xr3:uid="{B6FAEDDC-6796-45BA-AF0C-93F45F0F8C8A}" name="VALOR MÍNIMO" totalsRowFunction="sum" dataDxfId="53" totalsRowDxfId="52">
      <calculatedColumnFormula>ROUND(F2+(F2*TabelaPrincipal4[[#This Row],[PERCENTUAL MÍNIMO]]), 2)</calculatedColumnFormula>
    </tableColumn>
    <tableColumn id="9" xr3:uid="{B5B06315-5557-4DEF-A5AF-C34473865CC4}" name="LANCE ATUAL" dataDxfId="51" dataCellStyle="Moeda"/>
    <tableColumn id="10" xr3:uid="{36F33AA3-9067-4E3A-83EB-3C05BB0477B6}" name="POSIÇÃO" dataDxfId="50" dataCellStyle="Moeda"/>
    <tableColumn id="11" xr3:uid="{B9D86C5C-3F46-4861-9449-6AC3FEE0E6F8}" name="VALOR TOTAL DO LANCE" dataDxfId="49" dataCellStyle="Moeda">
      <calculatedColumnFormula>TabelaPrincipal4[[#This Row],[LANCE ATUAL]]*TabelaPrincipal4[[#This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15" headerRowDxfId="44" dataDxfId="42" headerRowBorderDxfId="43" tableBorderDxfId="41" totalsRowBorderDxfId="40">
  <autoFilter ref="A1:N15" xr:uid="{0F1C68C0-8F04-4F32-8E6D-C50711AF0188}"/>
  <tableColumns count="14">
    <tableColumn id="1" xr3:uid="{51CFE57C-AFCD-46C7-A72C-4E116E9357EE}" name="ITEM" totalsRowLabel="Total" dataDxfId="39"/>
    <tableColumn id="2" xr3:uid="{E7B80085-C079-4ECA-B98E-E82F5E46696A}" name="DESCRIÇÃO" dataDxfId="38">
      <calculatedColumnFormula>VLOOKUP(TabelaPrincipal[[#This Row],[ITEM]],TabelaEdital,2,FALSE)</calculatedColumnFormula>
    </tableColumn>
    <tableColumn id="3" xr3:uid="{74DD09F8-5DE7-492D-ABF9-CC0D01F7D44D}" name="UND" dataDxfId="37"/>
    <tableColumn id="4" xr3:uid="{2D7CF20C-95AF-448A-964A-706613067BC5}" name="QTD" dataDxfId="36">
      <calculatedColumnFormula>VLOOKUP(TabelaPrincipal[[#This Row],[ITEM]],TabelaEdital,3,FALSE)</calculatedColumnFormula>
    </tableColumn>
    <tableColumn id="5" xr3:uid="{888FDB53-36CC-46AE-AFEA-75AF1F77389D}" name="MARCA" dataDxfId="35"/>
    <tableColumn id="6" xr3:uid="{E7330FE1-ADA8-42A4-B3C8-35EEACF8E856}" name="VALOR DE CUSTO" dataDxfId="34" dataCellStyle="Moeda"/>
    <tableColumn id="14" xr3:uid="{A34B0AAF-F1D2-4671-A532-9BD185994D6B}" name="PERCENTUAL DE ENTRADA" dataDxfId="33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2" totalsRowDxfId="31" dataCellStyle="Moeda">
      <calculatedColumnFormula>ROUND(F2+(F2*TabelaPrincipal[[#This Row],[PERCENTUAL DE ENTRADA]]), 2)</calculatedColumnFormula>
    </tableColumn>
    <tableColumn id="8" xr3:uid="{532B9320-507F-43A8-833D-2CFD5BDC3030}" name="VALOR TOTAL" dataDxfId="30" totalsRowDxfId="29" dataCellStyle="Moeda">
      <calculatedColumnFormula>D2*H2</calculatedColumnFormula>
    </tableColumn>
    <tableColumn id="12" xr3:uid="{47060763-EEF9-4198-9C8A-B2079FE74328}" name="PERCENTUAL MÍNIMO" dataDxfId="28" totalsRowDxfId="27">
      <calculatedColumnFormula>IF(TabelaPrincipal[[#This Row],[PERCENTUAL DE ENTRADA]]&gt;0,0.15,0)</calculatedColumnFormula>
    </tableColumn>
    <tableColumn id="13" xr3:uid="{8FA6F66F-B93C-4DF5-A099-D33323ED11B8}" name="VALOR MÍNIMO" totalsRowFunction="sum" dataDxfId="26" totalsRowDxfId="25">
      <calculatedColumnFormula>ROUND(F2+(F2*TabelaPrincipal[[#This Row],[PERCENTUAL MÍNIMO]]), 2)</calculatedColumnFormula>
    </tableColumn>
    <tableColumn id="9" xr3:uid="{9D0B07B5-0269-49DC-A3EC-C170D6496473}" name="LANCE ATUAL" dataDxfId="24" dataCellStyle="Moeda"/>
    <tableColumn id="10" xr3:uid="{2B3A16CA-ACFA-4765-8367-A064C061C94F}" name="POSIÇÃO" dataDxfId="23" dataCellStyle="Moeda"/>
    <tableColumn id="11" xr3:uid="{059F3929-D102-4D03-9013-A9DF3FD97FD7}" name="VALOR TOTAL DO LANCE" dataDxfId="22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16" totalsRowCount="1" headerRowDxfId="21" dataDxfId="19" totalsRowDxfId="17" headerRowBorderDxfId="20" tableBorderDxfId="18" totalsRowBorderDxfId="16">
  <autoFilter ref="A1:H15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5" totalsRowDxfId="14">
      <calculatedColumnFormula>TabelaPrincipal4[[#This Row],[ITEM]]</calculatedColumnFormula>
    </tableColumn>
    <tableColumn id="2" xr3:uid="{F915D416-2888-4C08-B603-DD427B80EC39}" name="DESCRIÇÃO" dataDxfId="13" totalsRowDxfId="12">
      <calculatedColumnFormula>TabelaPrincipal4[[#This Row],[DESCRIÇÃO]]</calculatedColumnFormula>
    </tableColumn>
    <tableColumn id="3" xr3:uid="{49DB4880-9F6A-4C83-B06A-2BE3AF89B478}" name="UND" dataDxfId="11" totalsRowDxfId="10">
      <calculatedColumnFormula>TabelaPrincipal4[[#This Row],[UND]]</calculatedColumnFormula>
    </tableColumn>
    <tableColumn id="4" xr3:uid="{88402F2B-2E49-4C7B-B78B-F865BFB0E1DD}" name="QTD" dataDxfId="9" totalsRowDxfId="8">
      <calculatedColumnFormula>TabelaPrincipal4[[#This Row],[QTD]]</calculatedColumnFormula>
    </tableColumn>
    <tableColumn id="5" xr3:uid="{3DB67E5A-8A24-45E8-8217-4846CFFF15A4}" name="MARCA" dataDxfId="7" totalsRowDxfId="6">
      <calculatedColumnFormula>TabelaPrincipal4[[#This Row],[MARCA]]</calculatedColumnFormula>
    </tableColumn>
    <tableColumn id="6" xr3:uid="{B69EC1DE-FD02-4E24-9A4E-2413AAC85E68}" name="VALOR UNITÁRIO" dataDxfId="5" totalsRowDxfId="4">
      <calculatedColumnFormula>TabelaPrincipal4[[#This Row],[CUSTO + PERCENTUAL DE ENTRADA]]</calculatedColumnFormula>
    </tableColumn>
    <tableColumn id="7" xr3:uid="{AB54B16F-01C8-42F8-BA21-D18026C5F589}" name="VALOR TOTAL" totalsRowFunction="sum" dataDxfId="3" totalsRowDxfId="2">
      <calculatedColumnFormula>TabelaPrincipal4[[#This Row],[VALOR TOTAL]]</calculatedColumnFormula>
    </tableColumn>
    <tableColumn id="8" xr3:uid="{937D679C-928B-4903-8AF2-2ECD36984D55}" name="TOTAL POR EXTENSO" totalsRowFunction="custom" dataDxfId="1" totalsRowDxfId="0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467ED-2590-4CA9-A814-14ADED6E8E01}">
  <sheetPr codeName="Planilha2"/>
  <dimension ref="A1:N15"/>
  <sheetViews>
    <sheetView tabSelected="1" zoomScale="80" zoomScaleNormal="80" workbookViewId="0">
      <pane ySplit="1" topLeftCell="A2" activePane="bottomLeft" state="frozen"/>
      <selection pane="bottomLeft" activeCell="C20" sqref="C20"/>
    </sheetView>
  </sheetViews>
  <sheetFormatPr defaultRowHeight="15" x14ac:dyDescent="0.25"/>
  <cols>
    <col min="1" max="1" width="7" customWidth="1"/>
    <col min="2" max="2" width="40" bestFit="1" customWidth="1"/>
    <col min="3" max="3" width="10.85546875" customWidth="1"/>
    <col min="4" max="4" width="11.28515625" customWidth="1"/>
    <col min="5" max="5" width="13.5703125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4" t="s">
        <v>5</v>
      </c>
      <c r="C1" s="4" t="s">
        <v>2</v>
      </c>
      <c r="D1" s="4" t="s">
        <v>1</v>
      </c>
      <c r="E1" s="4" t="s">
        <v>6</v>
      </c>
      <c r="F1" s="16" t="s">
        <v>4</v>
      </c>
      <c r="G1" s="16" t="s">
        <v>16</v>
      </c>
      <c r="H1" s="16" t="s">
        <v>15</v>
      </c>
      <c r="I1" s="17" t="s">
        <v>3</v>
      </c>
      <c r="J1" s="16" t="s">
        <v>10</v>
      </c>
      <c r="K1" s="16" t="s">
        <v>11</v>
      </c>
      <c r="L1" s="16" t="s">
        <v>12</v>
      </c>
      <c r="M1" s="4" t="s">
        <v>13</v>
      </c>
      <c r="N1" s="16" t="s">
        <v>14</v>
      </c>
    </row>
    <row r="2" spans="1:14" x14ac:dyDescent="0.25">
      <c r="A2" s="18">
        <f>VLOOKUP(TabelaPrincipal4[[#This Row],[DESCRIÇÃO]],TabelaModelo,2,)</f>
        <v>1</v>
      </c>
      <c r="B2" s="19" t="s">
        <v>20</v>
      </c>
      <c r="C2" s="20" t="s">
        <v>40</v>
      </c>
      <c r="D2" s="20">
        <v>5000</v>
      </c>
      <c r="E2" s="20" t="s">
        <v>41</v>
      </c>
      <c r="F2" s="21">
        <v>12</v>
      </c>
      <c r="G2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2" s="1">
        <f>ROUND(F2+(F2*TabelaPrincipal4[[#This Row],[PERCENTUAL DE ENTRADA]]), 2)</f>
        <v>16.8</v>
      </c>
      <c r="I2" s="2">
        <f t="shared" ref="I2:I15" si="0">D2*H2</f>
        <v>84000</v>
      </c>
      <c r="J2" s="5">
        <f>IF(TabelaPrincipal4[[#This Row],[PERCENTUAL DE ENTRADA]]&gt;0,0.15,0)</f>
        <v>0.15</v>
      </c>
      <c r="K2" s="1">
        <f>ROUND(F2+(F2*TabelaPrincipal4[[#This Row],[PERCENTUAL MÍNIMO]]), 2)</f>
        <v>13.8</v>
      </c>
      <c r="L2" s="22">
        <v>13.8</v>
      </c>
      <c r="M2" s="23"/>
      <c r="N2" s="21">
        <f>TabelaPrincipal4[[#This Row],[LANCE ATUAL]]*TabelaPrincipal4[[#This Row],[QTD]]</f>
        <v>69000</v>
      </c>
    </row>
    <row r="3" spans="1:14" x14ac:dyDescent="0.25">
      <c r="A3" s="18">
        <f>VLOOKUP(TabelaPrincipal4[[#This Row],[DESCRIÇÃO]],TabelaModelo,2,)</f>
        <v>4</v>
      </c>
      <c r="B3" s="19" t="s">
        <v>23</v>
      </c>
      <c r="C3" s="20" t="s">
        <v>38</v>
      </c>
      <c r="D3" s="20">
        <v>230000</v>
      </c>
      <c r="E3" s="20" t="s">
        <v>45</v>
      </c>
      <c r="F3" s="21">
        <v>0.25</v>
      </c>
      <c r="G3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3" s="1">
        <f>ROUND(F3+(F3*TabelaPrincipal4[[#This Row],[PERCENTUAL DE ENTRADA]]), 2)</f>
        <v>0.35</v>
      </c>
      <c r="I3" s="2">
        <f t="shared" si="0"/>
        <v>80500</v>
      </c>
      <c r="J3" s="5">
        <f>IF(TabelaPrincipal4[[#This Row],[PERCENTUAL DE ENTRADA]]&gt;0,0.15,0)</f>
        <v>0.15</v>
      </c>
      <c r="K3" s="1">
        <f>ROUND(F3+(F3*TabelaPrincipal4[[#This Row],[PERCENTUAL MÍNIMO]]), 2)</f>
        <v>0.28999999999999998</v>
      </c>
      <c r="L3" s="22">
        <v>0.28999999999999998</v>
      </c>
      <c r="M3" s="23"/>
      <c r="N3" s="21">
        <f>TabelaPrincipal4[[#This Row],[LANCE ATUAL]]*TabelaPrincipal4[[#This Row],[QTD]]</f>
        <v>66700</v>
      </c>
    </row>
    <row r="4" spans="1:14" x14ac:dyDescent="0.25">
      <c r="A4" s="18">
        <f>VLOOKUP(TabelaPrincipal4[[#This Row],[DESCRIÇÃO]],TabelaModelo,2,)</f>
        <v>5</v>
      </c>
      <c r="B4" s="19" t="s">
        <v>24</v>
      </c>
      <c r="C4" s="20" t="s">
        <v>38</v>
      </c>
      <c r="D4" s="20">
        <v>190000</v>
      </c>
      <c r="E4" s="20" t="s">
        <v>43</v>
      </c>
      <c r="F4" s="21">
        <v>0.73</v>
      </c>
      <c r="G4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4" s="1">
        <f>ROUND(F4+(F4*TabelaPrincipal4[[#This Row],[PERCENTUAL DE ENTRADA]]), 2)</f>
        <v>1.02</v>
      </c>
      <c r="I4" s="2">
        <f t="shared" si="0"/>
        <v>193800</v>
      </c>
      <c r="J4" s="5">
        <f>IF(TabelaPrincipal4[[#This Row],[PERCENTUAL DE ENTRADA]]&gt;0,0.15,0)</f>
        <v>0.15</v>
      </c>
      <c r="K4" s="1">
        <f>ROUND(F4+(F4*TabelaPrincipal4[[#This Row],[PERCENTUAL MÍNIMO]]), 2)</f>
        <v>0.84</v>
      </c>
      <c r="L4" s="22">
        <v>0.84</v>
      </c>
      <c r="M4" s="23"/>
      <c r="N4" s="21">
        <f>TabelaPrincipal4[[#This Row],[LANCE ATUAL]]*TabelaPrincipal4[[#This Row],[QTD]]</f>
        <v>159600</v>
      </c>
    </row>
    <row r="5" spans="1:14" x14ac:dyDescent="0.25">
      <c r="A5" s="18">
        <f>VLOOKUP(TabelaPrincipal4[[#This Row],[DESCRIÇÃO]],TabelaModelo,2,)</f>
        <v>6</v>
      </c>
      <c r="B5" s="19" t="s">
        <v>25</v>
      </c>
      <c r="C5" s="20" t="s">
        <v>40</v>
      </c>
      <c r="D5" s="20">
        <v>1800</v>
      </c>
      <c r="E5" s="20" t="s">
        <v>39</v>
      </c>
      <c r="F5" s="21">
        <v>10.08</v>
      </c>
      <c r="G5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5" s="1">
        <f>ROUND(F5+(F5*TabelaPrincipal4[[#This Row],[PERCENTUAL DE ENTRADA]]), 2)</f>
        <v>14.11</v>
      </c>
      <c r="I5" s="2">
        <f t="shared" si="0"/>
        <v>25398</v>
      </c>
      <c r="J5" s="5">
        <f>IF(TabelaPrincipal4[[#This Row],[PERCENTUAL DE ENTRADA]]&gt;0,0.15,0)</f>
        <v>0.15</v>
      </c>
      <c r="K5" s="1">
        <f>ROUND(F5+(F5*TabelaPrincipal4[[#This Row],[PERCENTUAL MÍNIMO]]), 2)</f>
        <v>11.59</v>
      </c>
      <c r="L5" s="22">
        <v>11.59</v>
      </c>
      <c r="M5" s="23"/>
      <c r="N5" s="21">
        <f>TabelaPrincipal4[[#This Row],[LANCE ATUAL]]*TabelaPrincipal4[[#This Row],[QTD]]</f>
        <v>20862</v>
      </c>
    </row>
    <row r="6" spans="1:14" x14ac:dyDescent="0.25">
      <c r="A6" s="18">
        <f>VLOOKUP(TabelaPrincipal4[[#This Row],[DESCRIÇÃO]],TabelaModelo,2,)</f>
        <v>7</v>
      </c>
      <c r="B6" s="19" t="s">
        <v>26</v>
      </c>
      <c r="C6" s="20" t="s">
        <v>40</v>
      </c>
      <c r="D6" s="20">
        <v>1100</v>
      </c>
      <c r="E6" s="20" t="s">
        <v>43</v>
      </c>
      <c r="F6" s="21">
        <v>16.96</v>
      </c>
      <c r="G6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6" s="1">
        <f>ROUND(F6+(F6*TabelaPrincipal4[[#This Row],[PERCENTUAL DE ENTRADA]]), 2)</f>
        <v>23.74</v>
      </c>
      <c r="I6" s="2">
        <f t="shared" si="0"/>
        <v>26114</v>
      </c>
      <c r="J6" s="5">
        <f>IF(TabelaPrincipal4[[#This Row],[PERCENTUAL DE ENTRADA]]&gt;0,0.15,0)</f>
        <v>0.15</v>
      </c>
      <c r="K6" s="1">
        <f>ROUND(F6+(F6*TabelaPrincipal4[[#This Row],[PERCENTUAL MÍNIMO]]), 2)</f>
        <v>19.5</v>
      </c>
      <c r="L6" s="22">
        <v>19.5</v>
      </c>
      <c r="M6" s="23"/>
      <c r="N6" s="21">
        <f>TabelaPrincipal4[[#This Row],[LANCE ATUAL]]*TabelaPrincipal4[[#This Row],[QTD]]</f>
        <v>21450</v>
      </c>
    </row>
    <row r="7" spans="1:14" x14ac:dyDescent="0.25">
      <c r="A7" s="18">
        <f>VLOOKUP(TabelaPrincipal4[[#This Row],[DESCRIÇÃO]],TabelaModelo,2,)</f>
        <v>8</v>
      </c>
      <c r="B7" s="19" t="s">
        <v>27</v>
      </c>
      <c r="C7" s="20" t="s">
        <v>38</v>
      </c>
      <c r="D7" s="20">
        <v>135000</v>
      </c>
      <c r="E7" s="20" t="s">
        <v>39</v>
      </c>
      <c r="F7" s="21">
        <v>0.41</v>
      </c>
      <c r="G7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7" s="1">
        <f>ROUND(F7+(F7*TabelaPrincipal4[[#This Row],[PERCENTUAL DE ENTRADA]]), 2)</f>
        <v>0.56999999999999995</v>
      </c>
      <c r="I7" s="2">
        <f t="shared" si="0"/>
        <v>76950</v>
      </c>
      <c r="J7" s="5">
        <f>IF(TabelaPrincipal4[[#This Row],[PERCENTUAL DE ENTRADA]]&gt;0,0.15,0)</f>
        <v>0.15</v>
      </c>
      <c r="K7" s="1">
        <f>ROUND(F7+(F7*TabelaPrincipal4[[#This Row],[PERCENTUAL MÍNIMO]]), 2)</f>
        <v>0.47</v>
      </c>
      <c r="L7" s="22">
        <v>0.47</v>
      </c>
      <c r="M7" s="23"/>
      <c r="N7" s="21">
        <f>TabelaPrincipal4[[#This Row],[LANCE ATUAL]]*TabelaPrincipal4[[#This Row],[QTD]]</f>
        <v>63450</v>
      </c>
    </row>
    <row r="8" spans="1:14" x14ac:dyDescent="0.25">
      <c r="A8" s="18">
        <f>VLOOKUP(TabelaPrincipal4[[#This Row],[DESCRIÇÃO]],TabelaModelo,2,)</f>
        <v>9</v>
      </c>
      <c r="B8" s="19" t="s">
        <v>28</v>
      </c>
      <c r="C8" s="20" t="s">
        <v>38</v>
      </c>
      <c r="D8" s="20">
        <v>3000</v>
      </c>
      <c r="E8" s="20" t="s">
        <v>41</v>
      </c>
      <c r="F8" s="21">
        <v>1.81</v>
      </c>
      <c r="G8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8" s="1">
        <f>ROUND(F8+(F8*TabelaPrincipal4[[#This Row],[PERCENTUAL DE ENTRADA]]), 2)</f>
        <v>2.5299999999999998</v>
      </c>
      <c r="I8" s="2">
        <f t="shared" si="0"/>
        <v>7589.9999999999991</v>
      </c>
      <c r="J8" s="5">
        <f>IF(TabelaPrincipal4[[#This Row],[PERCENTUAL DE ENTRADA]]&gt;0,0.15,0)</f>
        <v>0.15</v>
      </c>
      <c r="K8" s="1">
        <f>ROUND(F8+(F8*TabelaPrincipal4[[#This Row],[PERCENTUAL MÍNIMO]]), 2)</f>
        <v>2.08</v>
      </c>
      <c r="L8" s="22">
        <v>2.08</v>
      </c>
      <c r="M8" s="23"/>
      <c r="N8" s="21">
        <f>TabelaPrincipal4[[#This Row],[LANCE ATUAL]]*TabelaPrincipal4[[#This Row],[QTD]]</f>
        <v>6240</v>
      </c>
    </row>
    <row r="9" spans="1:14" x14ac:dyDescent="0.25">
      <c r="A9" s="18">
        <f>VLOOKUP(TabelaPrincipal4[[#This Row],[DESCRIÇÃO]],TabelaModelo,2,)</f>
        <v>10</v>
      </c>
      <c r="B9" s="19" t="s">
        <v>29</v>
      </c>
      <c r="C9" s="20" t="s">
        <v>38</v>
      </c>
      <c r="D9" s="20">
        <v>120000</v>
      </c>
      <c r="E9" s="20" t="s">
        <v>41</v>
      </c>
      <c r="F9" s="21">
        <v>0.56000000000000005</v>
      </c>
      <c r="G9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9" s="1">
        <f>ROUND(F9+(F9*TabelaPrincipal4[[#This Row],[PERCENTUAL DE ENTRADA]]), 2)</f>
        <v>0.78</v>
      </c>
      <c r="I9" s="2">
        <f t="shared" si="0"/>
        <v>93600</v>
      </c>
      <c r="J9" s="5">
        <f>IF(TabelaPrincipal4[[#This Row],[PERCENTUAL DE ENTRADA]]&gt;0,0.15,0)</f>
        <v>0.15</v>
      </c>
      <c r="K9" s="1">
        <f>ROUND(F9+(F9*TabelaPrincipal4[[#This Row],[PERCENTUAL MÍNIMO]]), 2)</f>
        <v>0.64</v>
      </c>
      <c r="L9" s="22">
        <v>0.64</v>
      </c>
      <c r="M9" s="23"/>
      <c r="N9" s="21">
        <f>TabelaPrincipal4[[#This Row],[LANCE ATUAL]]*TabelaPrincipal4[[#This Row],[QTD]]</f>
        <v>76800</v>
      </c>
    </row>
    <row r="10" spans="1:14" x14ac:dyDescent="0.25">
      <c r="A10" s="18">
        <f>VLOOKUP(TabelaPrincipal4[[#This Row],[DESCRIÇÃO]],TabelaModelo,2,)</f>
        <v>11</v>
      </c>
      <c r="B10" s="19" t="s">
        <v>30</v>
      </c>
      <c r="C10" s="20" t="s">
        <v>38</v>
      </c>
      <c r="D10" s="20">
        <v>415000</v>
      </c>
      <c r="E10" s="20" t="s">
        <v>46</v>
      </c>
      <c r="F10" s="21">
        <v>0.26</v>
      </c>
      <c r="G10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10" s="1">
        <f>ROUND(F10+(F10*TabelaPrincipal4[[#This Row],[PERCENTUAL DE ENTRADA]]), 2)</f>
        <v>0.36</v>
      </c>
      <c r="I10" s="2">
        <f t="shared" si="0"/>
        <v>149400</v>
      </c>
      <c r="J10" s="5">
        <f>IF(TabelaPrincipal4[[#This Row],[PERCENTUAL DE ENTRADA]]&gt;0,0.15,0)</f>
        <v>0.15</v>
      </c>
      <c r="K10" s="1">
        <f>ROUND(F10+(F10*TabelaPrincipal4[[#This Row],[PERCENTUAL MÍNIMO]]), 2)</f>
        <v>0.3</v>
      </c>
      <c r="L10" s="22">
        <v>0.3</v>
      </c>
      <c r="M10" s="23"/>
      <c r="N10" s="21">
        <f>TabelaPrincipal4[[#This Row],[LANCE ATUAL]]*TabelaPrincipal4[[#This Row],[QTD]]</f>
        <v>124500</v>
      </c>
    </row>
    <row r="11" spans="1:14" x14ac:dyDescent="0.25">
      <c r="A11" s="18">
        <f>VLOOKUP(TabelaPrincipal4[[#This Row],[DESCRIÇÃO]],TabelaModelo,2,)</f>
        <v>13</v>
      </c>
      <c r="B11" s="19" t="s">
        <v>32</v>
      </c>
      <c r="C11" s="20" t="s">
        <v>38</v>
      </c>
      <c r="D11" s="20">
        <v>365000</v>
      </c>
      <c r="E11" s="20" t="s">
        <v>46</v>
      </c>
      <c r="F11" s="21">
        <v>0.18</v>
      </c>
      <c r="G11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11" s="1">
        <f>ROUND(F11+(F11*TabelaPrincipal4[[#This Row],[PERCENTUAL DE ENTRADA]]), 2)</f>
        <v>0.25</v>
      </c>
      <c r="I11" s="2">
        <f t="shared" si="0"/>
        <v>91250</v>
      </c>
      <c r="J11" s="5">
        <f>IF(TabelaPrincipal4[[#This Row],[PERCENTUAL DE ENTRADA]]&gt;0,0.15,0)</f>
        <v>0.15</v>
      </c>
      <c r="K11" s="1">
        <f>ROUND(F11+(F11*TabelaPrincipal4[[#This Row],[PERCENTUAL MÍNIMO]]), 2)</f>
        <v>0.21</v>
      </c>
      <c r="L11" s="22">
        <v>0.21</v>
      </c>
      <c r="M11" s="23"/>
      <c r="N11" s="21">
        <f>TabelaPrincipal4[[#This Row],[LANCE ATUAL]]*TabelaPrincipal4[[#This Row],[QTD]]</f>
        <v>76650</v>
      </c>
    </row>
    <row r="12" spans="1:14" x14ac:dyDescent="0.25">
      <c r="A12" s="18">
        <f>VLOOKUP(TabelaPrincipal4[[#This Row],[DESCRIÇÃO]],TabelaModelo,2,)</f>
        <v>14</v>
      </c>
      <c r="B12" s="19" t="s">
        <v>33</v>
      </c>
      <c r="C12" s="20" t="s">
        <v>40</v>
      </c>
      <c r="D12" s="20">
        <v>1500</v>
      </c>
      <c r="E12" s="20" t="s">
        <v>39</v>
      </c>
      <c r="F12" s="21">
        <v>17.48</v>
      </c>
      <c r="G12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12" s="1">
        <f>ROUND(F12+(F12*TabelaPrincipal4[[#This Row],[PERCENTUAL DE ENTRADA]]), 2)</f>
        <v>24.47</v>
      </c>
      <c r="I12" s="2">
        <f t="shared" si="0"/>
        <v>36705</v>
      </c>
      <c r="J12" s="5">
        <f>IF(TabelaPrincipal4[[#This Row],[PERCENTUAL DE ENTRADA]]&gt;0,0.15,0)</f>
        <v>0.15</v>
      </c>
      <c r="K12" s="1">
        <f>ROUND(F12+(F12*TabelaPrincipal4[[#This Row],[PERCENTUAL MÍNIMO]]), 2)</f>
        <v>20.100000000000001</v>
      </c>
      <c r="L12" s="22">
        <v>20.100000000000001</v>
      </c>
      <c r="M12" s="23"/>
      <c r="N12" s="21">
        <f>TabelaPrincipal4[[#This Row],[LANCE ATUAL]]*TabelaPrincipal4[[#This Row],[QTD]]</f>
        <v>30150.000000000004</v>
      </c>
    </row>
    <row r="13" spans="1:14" x14ac:dyDescent="0.25">
      <c r="A13" s="18">
        <f>VLOOKUP(TabelaPrincipal4[[#This Row],[DESCRIÇÃO]],TabelaModelo,2,)</f>
        <v>16</v>
      </c>
      <c r="B13" s="19" t="s">
        <v>47</v>
      </c>
      <c r="C13" s="20" t="s">
        <v>40</v>
      </c>
      <c r="D13" s="20">
        <v>1000</v>
      </c>
      <c r="E13" s="20" t="s">
        <v>41</v>
      </c>
      <c r="F13" s="21">
        <v>13.9</v>
      </c>
      <c r="G13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13" s="1">
        <f>ROUND(F13+(F13*TabelaPrincipal4[[#This Row],[PERCENTUAL DE ENTRADA]]), 2)</f>
        <v>19.46</v>
      </c>
      <c r="I13" s="2">
        <f t="shared" si="0"/>
        <v>19460</v>
      </c>
      <c r="J13" s="5">
        <f>IF(TabelaPrincipal4[[#This Row],[PERCENTUAL DE ENTRADA]]&gt;0,0.15,0)</f>
        <v>0.15</v>
      </c>
      <c r="K13" s="1">
        <f>ROUND(F13+(F13*TabelaPrincipal4[[#This Row],[PERCENTUAL MÍNIMO]]), 2)</f>
        <v>15.99</v>
      </c>
      <c r="L13" s="22">
        <v>15.99</v>
      </c>
      <c r="M13" s="23"/>
      <c r="N13" s="21">
        <f>TabelaPrincipal4[[#This Row],[LANCE ATUAL]]*TabelaPrincipal4[[#This Row],[QTD]]</f>
        <v>15990</v>
      </c>
    </row>
    <row r="14" spans="1:14" x14ac:dyDescent="0.25">
      <c r="A14" s="18">
        <f>VLOOKUP(TabelaPrincipal4[[#This Row],[DESCRIÇÃO]],TabelaModelo,2,)</f>
        <v>17</v>
      </c>
      <c r="B14" s="19" t="s">
        <v>36</v>
      </c>
      <c r="C14" s="20" t="s">
        <v>44</v>
      </c>
      <c r="D14" s="20">
        <v>1000</v>
      </c>
      <c r="E14" s="20" t="s">
        <v>41</v>
      </c>
      <c r="F14" s="21">
        <v>63.9</v>
      </c>
      <c r="G14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14" s="1">
        <f>ROUND(F14+(F14*TabelaPrincipal4[[#This Row],[PERCENTUAL DE ENTRADA]]), 2)</f>
        <v>89.46</v>
      </c>
      <c r="I14" s="2">
        <f t="shared" si="0"/>
        <v>89460</v>
      </c>
      <c r="J14" s="5">
        <f>IF(TabelaPrincipal4[[#This Row],[PERCENTUAL DE ENTRADA]]&gt;0,0.15,0)</f>
        <v>0.15</v>
      </c>
      <c r="K14" s="1">
        <f>ROUND(F14+(F14*TabelaPrincipal4[[#This Row],[PERCENTUAL MÍNIMO]]), 2)</f>
        <v>73.489999999999995</v>
      </c>
      <c r="L14" s="22">
        <v>73.489999999999995</v>
      </c>
      <c r="M14" s="23"/>
      <c r="N14" s="21">
        <f>TabelaPrincipal4[[#This Row],[LANCE ATUAL]]*TabelaPrincipal4[[#This Row],[QTD]]</f>
        <v>73490</v>
      </c>
    </row>
    <row r="15" spans="1:14" x14ac:dyDescent="0.25">
      <c r="A15" s="18">
        <f>VLOOKUP(TabelaPrincipal4[[#This Row],[DESCRIÇÃO]],TabelaModelo,2,)</f>
        <v>18</v>
      </c>
      <c r="B15" s="19" t="s">
        <v>37</v>
      </c>
      <c r="C15" s="20" t="s">
        <v>42</v>
      </c>
      <c r="D15" s="20">
        <v>3050</v>
      </c>
      <c r="E15" s="20" t="s">
        <v>41</v>
      </c>
      <c r="F15" s="21">
        <v>16.899999999999999</v>
      </c>
      <c r="G15" s="5">
        <f>IF(_xlfn.ISFORMULA(TabelaPrincipal4[[#This Row],[CUSTO + PERCENTUAL DE ENTRADA]]),0.4,(TabelaPrincipal4[[#This Row],[CUSTO + PERCENTUAL DE ENTRADA]]-TabelaPrincipal4[[#This Row],[VALOR DE CUSTO]])/TabelaPrincipal4[[#This Row],[VALOR DE CUSTO]])</f>
        <v>0.4</v>
      </c>
      <c r="H15" s="1">
        <f>ROUND(F15+(F15*TabelaPrincipal4[[#This Row],[PERCENTUAL DE ENTRADA]]), 2)</f>
        <v>23.66</v>
      </c>
      <c r="I15" s="2">
        <f t="shared" si="0"/>
        <v>72163</v>
      </c>
      <c r="J15" s="5">
        <f>IF(TabelaPrincipal4[[#This Row],[PERCENTUAL DE ENTRADA]]&gt;0,0.15,0)</f>
        <v>0.15</v>
      </c>
      <c r="K15" s="1">
        <f>ROUND(F15+(F15*TabelaPrincipal4[[#This Row],[PERCENTUAL MÍNIMO]]), 2)</f>
        <v>19.440000000000001</v>
      </c>
      <c r="L15" s="22">
        <v>19.440000000000001</v>
      </c>
      <c r="M15" s="23"/>
      <c r="N15" s="21">
        <f>TabelaPrincipal4[[#This Row],[LANCE ATUAL]]*TabelaPrincipal4[[#This Row],[QTD]]</f>
        <v>59292.000000000007</v>
      </c>
    </row>
  </sheetData>
  <conditionalFormatting sqref="L2:L15">
    <cfRule type="expression" dxfId="75" priority="1">
      <formula>$L2&lt;$K2</formula>
    </cfRule>
  </conditionalFormatting>
  <conditionalFormatting sqref="A2:N15">
    <cfRule type="expression" dxfId="74" priority="2">
      <formula>$M2=1</formula>
    </cfRule>
  </conditionalFormatting>
  <conditionalFormatting sqref="L2:L15">
    <cfRule type="expression" dxfId="73" priority="4">
      <formula>$G2=0</formula>
    </cfRule>
  </conditionalFormatting>
  <conditionalFormatting sqref="G2:G15">
    <cfRule type="expression" dxfId="72" priority="3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5"/>
  <sheetViews>
    <sheetView zoomScale="115" zoomScaleNormal="115" workbookViewId="0">
      <pane ySplit="1" topLeftCell="A2" activePane="bottomLeft" state="frozen"/>
      <selection pane="bottomLeft" activeCell="A2" sqref="A2:N15"/>
    </sheetView>
  </sheetViews>
  <sheetFormatPr defaultRowHeight="15" x14ac:dyDescent="0.25"/>
  <cols>
    <col min="1" max="1" width="7" customWidth="1"/>
    <col min="2" max="2" width="60.7109375" customWidth="1"/>
    <col min="3" max="3" width="10.85546875" customWidth="1"/>
    <col min="4" max="4" width="11.28515625" customWidth="1"/>
    <col min="5" max="5" width="13.5703125" bestFit="1" customWidth="1"/>
    <col min="6" max="6" width="16" customWidth="1"/>
    <col min="7" max="7" width="12.7109375" customWidth="1"/>
    <col min="8" max="8" width="16.5703125" customWidth="1"/>
    <col min="9" max="9" width="17.28515625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4" t="s">
        <v>5</v>
      </c>
      <c r="C1" s="4" t="s">
        <v>2</v>
      </c>
      <c r="D1" s="4" t="s">
        <v>1</v>
      </c>
      <c r="E1" s="4" t="s">
        <v>6</v>
      </c>
      <c r="F1" s="16" t="s">
        <v>4</v>
      </c>
      <c r="G1" s="16" t="s">
        <v>16</v>
      </c>
      <c r="H1" s="16" t="s">
        <v>15</v>
      </c>
      <c r="I1" s="17" t="s">
        <v>3</v>
      </c>
      <c r="J1" s="16" t="s">
        <v>10</v>
      </c>
      <c r="K1" s="16" t="s">
        <v>11</v>
      </c>
      <c r="L1" s="16" t="s">
        <v>12</v>
      </c>
      <c r="M1" s="4" t="s">
        <v>13</v>
      </c>
      <c r="N1" s="16" t="s">
        <v>14</v>
      </c>
    </row>
    <row r="2" spans="1:14" x14ac:dyDescent="0.25">
      <c r="A2" s="18">
        <v>1</v>
      </c>
      <c r="B2" s="19" t="str">
        <f>VLOOKUP(TabelaPrincipal[[#This Row],[ITEM]],TabelaEdital,2,FALSE)</f>
        <v>CLORPROMAZINA 25MG</v>
      </c>
      <c r="C2" s="20" t="s">
        <v>38</v>
      </c>
      <c r="D2" s="20">
        <f>VLOOKUP(TabelaPrincipal[[#This Row],[ITEM]],TabelaEdital,3,FALSE)</f>
        <v>135000</v>
      </c>
      <c r="E2" s="20" t="s">
        <v>39</v>
      </c>
      <c r="F2" s="21">
        <v>0.41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0.56999999999999995</v>
      </c>
      <c r="I2" s="2">
        <f t="shared" ref="I2:I15" si="0">D2*H2</f>
        <v>76950</v>
      </c>
      <c r="J2" s="5">
        <f>IF(TabelaPrincipal[[#This Row],[PERCENTUAL DE ENTRADA]]&gt;0,0.15,0)</f>
        <v>0.15</v>
      </c>
      <c r="K2" s="1">
        <f>ROUND(F2+(F2*TabelaPrincipal[[#This Row],[PERCENTUAL MÍNIMO]]), 2)</f>
        <v>0.47</v>
      </c>
      <c r="L2" s="22"/>
      <c r="M2" s="23"/>
      <c r="N2" s="21">
        <f>TabelaPrincipal[[#This Row],[LANCE ATUAL]]*TabelaPrincipal[[#This Row],[QTD]]</f>
        <v>0</v>
      </c>
    </row>
    <row r="3" spans="1:14" x14ac:dyDescent="0.25">
      <c r="A3" s="18">
        <v>2</v>
      </c>
      <c r="B3" s="19" t="str">
        <f>VLOOKUP(TabelaPrincipal[[#This Row],[ITEM]],TabelaEdital,2,FALSE)</f>
        <v>CLORPROMAZINA 40MG/ML SOL ORAL</v>
      </c>
      <c r="C3" s="20" t="s">
        <v>40</v>
      </c>
      <c r="D3" s="20">
        <f>VLOOKUP(TabelaPrincipal[[#This Row],[ITEM]],TabelaEdital,3,FALSE)</f>
        <v>1800</v>
      </c>
      <c r="E3" s="20" t="s">
        <v>39</v>
      </c>
      <c r="F3" s="21">
        <v>10.08</v>
      </c>
      <c r="G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" s="1">
        <f>ROUND(F3+(F3*TabelaPrincipal[[#This Row],[PERCENTUAL DE ENTRADA]]), 2)</f>
        <v>14.11</v>
      </c>
      <c r="I3" s="2">
        <f t="shared" si="0"/>
        <v>25398</v>
      </c>
      <c r="J3" s="5">
        <f>IF(TabelaPrincipal[[#This Row],[PERCENTUAL DE ENTRADA]]&gt;0,0.15,0)</f>
        <v>0.15</v>
      </c>
      <c r="K3" s="1">
        <f>ROUND(F3+(F3*TabelaPrincipal[[#This Row],[PERCENTUAL MÍNIMO]]), 2)</f>
        <v>11.59</v>
      </c>
      <c r="L3" s="22"/>
      <c r="M3" s="23"/>
      <c r="N3" s="21">
        <f>TabelaPrincipal[[#This Row],[LANCE ATUAL]]*TabelaPrincipal[[#This Row],[QTD]]</f>
        <v>0</v>
      </c>
    </row>
    <row r="4" spans="1:14" x14ac:dyDescent="0.25">
      <c r="A4" s="18">
        <v>3</v>
      </c>
      <c r="B4" s="19" t="str">
        <f>VLOOKUP(TabelaPrincipal[[#This Row],[ITEM]],TabelaEdital,2,FALSE)</f>
        <v>CODEINA 30MG</v>
      </c>
      <c r="C4" s="20" t="s">
        <v>38</v>
      </c>
      <c r="D4" s="20">
        <f>VLOOKUP(TabelaPrincipal[[#This Row],[ITEM]],TabelaEdital,3,FALSE)</f>
        <v>3000</v>
      </c>
      <c r="E4" s="20" t="s">
        <v>41</v>
      </c>
      <c r="F4" s="21">
        <v>1.81</v>
      </c>
      <c r="G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1">
        <f>ROUND(F4+(F4*TabelaPrincipal[[#This Row],[PERCENTUAL DE ENTRADA]]), 2)</f>
        <v>2.5299999999999998</v>
      </c>
      <c r="I4" s="2">
        <f t="shared" si="0"/>
        <v>7589.9999999999991</v>
      </c>
      <c r="J4" s="5">
        <f>IF(TabelaPrincipal[[#This Row],[PERCENTUAL DE ENTRADA]]&gt;0,0.15,0)</f>
        <v>0.15</v>
      </c>
      <c r="K4" s="1">
        <f>ROUND(F4+(F4*TabelaPrincipal[[#This Row],[PERCENTUAL MÍNIMO]]), 2)</f>
        <v>2.08</v>
      </c>
      <c r="L4" s="22"/>
      <c r="M4" s="23"/>
      <c r="N4" s="21">
        <f>TabelaPrincipal[[#This Row],[LANCE ATUAL]]*TabelaPrincipal[[#This Row],[QTD]]</f>
        <v>0</v>
      </c>
    </row>
    <row r="5" spans="1:14" x14ac:dyDescent="0.25">
      <c r="A5" s="18">
        <v>4</v>
      </c>
      <c r="B5" s="19" t="str">
        <f>VLOOKUP(TabelaPrincipal[[#This Row],[ITEM]],TabelaEdital,2,FALSE)</f>
        <v>COLAGENASE+CLORAFENICOL POMADA 30g</v>
      </c>
      <c r="C5" s="20" t="s">
        <v>42</v>
      </c>
      <c r="D5" s="20">
        <f>VLOOKUP(TabelaPrincipal[[#This Row],[ITEM]],TabelaEdital,3,FALSE)</f>
        <v>3050</v>
      </c>
      <c r="E5" s="20" t="s">
        <v>41</v>
      </c>
      <c r="F5" s="21">
        <v>16.899999999999999</v>
      </c>
      <c r="G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1">
        <f>ROUND(F5+(F5*TabelaPrincipal[[#This Row],[PERCENTUAL DE ENTRADA]]), 2)</f>
        <v>23.66</v>
      </c>
      <c r="I5" s="2">
        <f t="shared" si="0"/>
        <v>72163</v>
      </c>
      <c r="J5" s="5">
        <f>IF(TabelaPrincipal[[#This Row],[PERCENTUAL DE ENTRADA]]&gt;0,0.15,0)</f>
        <v>0.15</v>
      </c>
      <c r="K5" s="1">
        <f>ROUND(F5+(F5*TabelaPrincipal[[#This Row],[PERCENTUAL MÍNIMO]]), 2)</f>
        <v>19.440000000000001</v>
      </c>
      <c r="L5" s="22"/>
      <c r="M5" s="23"/>
      <c r="N5" s="21">
        <f>TabelaPrincipal[[#This Row],[LANCE ATUAL]]*TabelaPrincipal[[#This Row],[QTD]]</f>
        <v>0</v>
      </c>
    </row>
    <row r="6" spans="1:14" x14ac:dyDescent="0.25">
      <c r="A6" s="18">
        <v>7</v>
      </c>
      <c r="B6" s="19" t="str">
        <f>VLOOKUP(TabelaPrincipal[[#This Row],[ITEM]],TabelaEdital,2,FALSE)</f>
        <v>HALOPERIDOL 2MG/ML SOL ORAL</v>
      </c>
      <c r="C6" s="20" t="s">
        <v>40</v>
      </c>
      <c r="D6" s="20">
        <f>VLOOKUP(TabelaPrincipal[[#This Row],[ITEM]],TabelaEdital,3,FALSE)</f>
        <v>1100</v>
      </c>
      <c r="E6" s="20" t="s">
        <v>43</v>
      </c>
      <c r="F6" s="21">
        <v>16.96</v>
      </c>
      <c r="G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" s="1">
        <f>ROUND(F6+(F6*TabelaPrincipal[[#This Row],[PERCENTUAL DE ENTRADA]]), 2)</f>
        <v>23.74</v>
      </c>
      <c r="I6" s="2">
        <f t="shared" si="0"/>
        <v>26114</v>
      </c>
      <c r="J6" s="5">
        <f>IF(TabelaPrincipal[[#This Row],[PERCENTUAL DE ENTRADA]]&gt;0,0.15,0)</f>
        <v>0.15</v>
      </c>
      <c r="K6" s="1">
        <f>ROUND(F6+(F6*TabelaPrincipal[[#This Row],[PERCENTUAL MÍNIMO]]), 2)</f>
        <v>19.5</v>
      </c>
      <c r="L6" s="22"/>
      <c r="M6" s="23"/>
      <c r="N6" s="21">
        <f>TabelaPrincipal[[#This Row],[LANCE ATUAL]]*TabelaPrincipal[[#This Row],[QTD]]</f>
        <v>0</v>
      </c>
    </row>
    <row r="7" spans="1:14" x14ac:dyDescent="0.25">
      <c r="A7" s="18">
        <v>8</v>
      </c>
      <c r="B7" s="19" t="str">
        <f>VLOOKUP(TabelaPrincipal[[#This Row],[ITEM]],TabelaEdital,2,FALSE)</f>
        <v>HALOPERIDOL 5MG</v>
      </c>
      <c r="C7" s="20" t="s">
        <v>38</v>
      </c>
      <c r="D7" s="20">
        <f>VLOOKUP(TabelaPrincipal[[#This Row],[ITEM]],TabelaEdital,3,FALSE)</f>
        <v>190000</v>
      </c>
      <c r="E7" s="20" t="s">
        <v>43</v>
      </c>
      <c r="F7" s="21">
        <v>0.73</v>
      </c>
      <c r="G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" s="1">
        <f>ROUND(F7+(F7*TabelaPrincipal[[#This Row],[PERCENTUAL DE ENTRADA]]), 2)</f>
        <v>1.02</v>
      </c>
      <c r="I7" s="2">
        <f t="shared" si="0"/>
        <v>193800</v>
      </c>
      <c r="J7" s="5">
        <f>IF(TabelaPrincipal[[#This Row],[PERCENTUAL DE ENTRADA]]&gt;0,0.15,0)</f>
        <v>0.15</v>
      </c>
      <c r="K7" s="1">
        <f>ROUND(F7+(F7*TabelaPrincipal[[#This Row],[PERCENTUAL MÍNIMO]]), 2)</f>
        <v>0.84</v>
      </c>
      <c r="L7" s="22"/>
      <c r="M7" s="23"/>
      <c r="N7" s="21">
        <f>TabelaPrincipal[[#This Row],[LANCE ATUAL]]*TabelaPrincipal[[#This Row],[QTD]]</f>
        <v>0</v>
      </c>
    </row>
    <row r="8" spans="1:14" x14ac:dyDescent="0.25">
      <c r="A8" s="18">
        <v>10</v>
      </c>
      <c r="B8" s="19" t="str">
        <f>VLOOKUP(TabelaPrincipal[[#This Row],[ITEM]],TabelaEdital,2,FALSE)</f>
        <v>HEPARINA SODICA SUBCUT 5000UI</v>
      </c>
      <c r="C8" s="20" t="s">
        <v>40</v>
      </c>
      <c r="D8" s="20">
        <f>VLOOKUP(TabelaPrincipal[[#This Row],[ITEM]],TabelaEdital,3,FALSE)</f>
        <v>5000</v>
      </c>
      <c r="E8" s="20" t="s">
        <v>41</v>
      </c>
      <c r="F8" s="21">
        <v>12</v>
      </c>
      <c r="G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" s="1">
        <f>ROUND(F8+(F8*TabelaPrincipal[[#This Row],[PERCENTUAL DE ENTRADA]]), 2)</f>
        <v>16.8</v>
      </c>
      <c r="I8" s="2">
        <f t="shared" si="0"/>
        <v>84000</v>
      </c>
      <c r="J8" s="5">
        <f>IF(TabelaPrincipal[[#This Row],[PERCENTUAL DE ENTRADA]]&gt;0,0.15,0)</f>
        <v>0.15</v>
      </c>
      <c r="K8" s="1">
        <f>ROUND(F8+(F8*TabelaPrincipal[[#This Row],[PERCENTUAL MÍNIMO]]), 2)</f>
        <v>13.8</v>
      </c>
      <c r="L8" s="22"/>
      <c r="M8" s="23"/>
      <c r="N8" s="21">
        <f>TabelaPrincipal[[#This Row],[LANCE ATUAL]]*TabelaPrincipal[[#This Row],[QTD]]</f>
        <v>0</v>
      </c>
    </row>
    <row r="9" spans="1:14" x14ac:dyDescent="0.25">
      <c r="A9" s="18">
        <v>11</v>
      </c>
      <c r="B9" s="19" t="str">
        <f>VLOOKUP(TabelaPrincipal[[#This Row],[ITEM]],TabelaEdital,2,FALSE)</f>
        <v>IMIPRAMINA 25MG</v>
      </c>
      <c r="C9" s="20" t="s">
        <v>38</v>
      </c>
      <c r="D9" s="20">
        <f>VLOOKUP(TabelaPrincipal[[#This Row],[ITEM]],TabelaEdital,3,FALSE)</f>
        <v>120000</v>
      </c>
      <c r="E9" s="20" t="s">
        <v>41</v>
      </c>
      <c r="F9" s="21">
        <v>0.56000000000000005</v>
      </c>
      <c r="G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" s="1">
        <f>ROUND(F9+(F9*TabelaPrincipal[[#This Row],[PERCENTUAL DE ENTRADA]]), 2)</f>
        <v>0.78</v>
      </c>
      <c r="I9" s="2">
        <f t="shared" si="0"/>
        <v>93600</v>
      </c>
      <c r="J9" s="5">
        <f>IF(TabelaPrincipal[[#This Row],[PERCENTUAL DE ENTRADA]]&gt;0,0.15,0)</f>
        <v>0.15</v>
      </c>
      <c r="K9" s="1">
        <f>ROUND(F9+(F9*TabelaPrincipal[[#This Row],[PERCENTUAL MÍNIMO]]), 2)</f>
        <v>0.64</v>
      </c>
      <c r="L9" s="22"/>
      <c r="M9" s="23"/>
      <c r="N9" s="21">
        <f>TabelaPrincipal[[#This Row],[LANCE ATUAL]]*TabelaPrincipal[[#This Row],[QTD]]</f>
        <v>0</v>
      </c>
    </row>
    <row r="10" spans="1:14" x14ac:dyDescent="0.25">
      <c r="A10" s="18">
        <v>13</v>
      </c>
      <c r="B10" s="19" t="str">
        <f>VLOOKUP(TabelaPrincipal[[#This Row],[ITEM]],TabelaEdital,2,FALSE)</f>
        <v>LEVOMEPROMAZINA 4% GOTAS</v>
      </c>
      <c r="C10" s="20" t="s">
        <v>40</v>
      </c>
      <c r="D10" s="20">
        <f>VLOOKUP(TabelaPrincipal[[#This Row],[ITEM]],TabelaEdital,3,FALSE)</f>
        <v>1500</v>
      </c>
      <c r="E10" s="20" t="s">
        <v>39</v>
      </c>
      <c r="F10" s="21">
        <v>17.48</v>
      </c>
      <c r="G1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" s="1">
        <f>ROUND(F10+(F10*TabelaPrincipal[[#This Row],[PERCENTUAL DE ENTRADA]]), 2)</f>
        <v>24.47</v>
      </c>
      <c r="I10" s="2">
        <f t="shared" si="0"/>
        <v>36705</v>
      </c>
      <c r="J10" s="5">
        <f>IF(TabelaPrincipal[[#This Row],[PERCENTUAL DE ENTRADA]]&gt;0,0.15,0)</f>
        <v>0.15</v>
      </c>
      <c r="K10" s="1">
        <f>ROUND(F10+(F10*TabelaPrincipal[[#This Row],[PERCENTUAL MÍNIMO]]), 2)</f>
        <v>20.100000000000001</v>
      </c>
      <c r="L10" s="22"/>
      <c r="M10" s="23"/>
      <c r="N10" s="21">
        <f>TabelaPrincipal[[#This Row],[LANCE ATUAL]]*TabelaPrincipal[[#This Row],[QTD]]</f>
        <v>0</v>
      </c>
    </row>
    <row r="11" spans="1:14" x14ac:dyDescent="0.25">
      <c r="A11" s="18">
        <v>14</v>
      </c>
      <c r="B11" s="19" t="str">
        <f>VLOOKUP(TabelaPrincipal[[#This Row],[ITEM]],TabelaEdital,2,FALSE)</f>
        <v>LIDOCAINA 2% COM VASO FRASCO 20ML</v>
      </c>
      <c r="C11" s="20" t="s">
        <v>40</v>
      </c>
      <c r="D11" s="20">
        <f>VLOOKUP(TabelaPrincipal[[#This Row],[ITEM]],TabelaEdital,3,FALSE)</f>
        <v>1000</v>
      </c>
      <c r="E11" s="20" t="s">
        <v>41</v>
      </c>
      <c r="F11" s="21">
        <v>13.9</v>
      </c>
      <c r="G1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" s="1">
        <f>ROUND(F11+(F11*TabelaPrincipal[[#This Row],[PERCENTUAL DE ENTRADA]]), 2)</f>
        <v>19.46</v>
      </c>
      <c r="I11" s="2">
        <f t="shared" si="0"/>
        <v>19460</v>
      </c>
      <c r="J11" s="5">
        <f>IF(TabelaPrincipal[[#This Row],[PERCENTUAL DE ENTRADA]]&gt;0,0.15,0)</f>
        <v>0.15</v>
      </c>
      <c r="K11" s="1">
        <f>ROUND(F11+(F11*TabelaPrincipal[[#This Row],[PERCENTUAL MÍNIMO]]), 2)</f>
        <v>15.99</v>
      </c>
      <c r="L11" s="22"/>
      <c r="M11" s="23"/>
      <c r="N11" s="21">
        <f>TabelaPrincipal[[#This Row],[LANCE ATUAL]]*TabelaPrincipal[[#This Row],[QTD]]</f>
        <v>0</v>
      </c>
    </row>
    <row r="12" spans="1:14" x14ac:dyDescent="0.25">
      <c r="A12" s="18">
        <v>15</v>
      </c>
      <c r="B12" s="19" t="str">
        <f>VLOOKUP(TabelaPrincipal[[#This Row],[ITEM]],TabelaEdital,2,FALSE)</f>
        <v>NITRATO DE CERIO +SULFADIAZINA</v>
      </c>
      <c r="C12" s="20" t="s">
        <v>44</v>
      </c>
      <c r="D12" s="20">
        <f>VLOOKUP(TabelaPrincipal[[#This Row],[ITEM]],TabelaEdital,3,FALSE)</f>
        <v>1000</v>
      </c>
      <c r="E12" s="20" t="s">
        <v>41</v>
      </c>
      <c r="F12" s="21">
        <v>63.9</v>
      </c>
      <c r="G1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" s="1">
        <f>ROUND(F12+(F12*TabelaPrincipal[[#This Row],[PERCENTUAL DE ENTRADA]]), 2)</f>
        <v>89.46</v>
      </c>
      <c r="I12" s="2">
        <f t="shared" si="0"/>
        <v>89460</v>
      </c>
      <c r="J12" s="5">
        <f>IF(TabelaPrincipal[[#This Row],[PERCENTUAL DE ENTRADA]]&gt;0,0.15,0)</f>
        <v>0.15</v>
      </c>
      <c r="K12" s="1">
        <f>ROUND(F12+(F12*TabelaPrincipal[[#This Row],[PERCENTUAL MÍNIMO]]), 2)</f>
        <v>73.489999999999995</v>
      </c>
      <c r="L12" s="22"/>
      <c r="M12" s="23"/>
      <c r="N12" s="21">
        <f>TabelaPrincipal[[#This Row],[LANCE ATUAL]]*TabelaPrincipal[[#This Row],[QTD]]</f>
        <v>0</v>
      </c>
    </row>
    <row r="13" spans="1:14" x14ac:dyDescent="0.25">
      <c r="A13" s="18">
        <v>16</v>
      </c>
      <c r="B13" s="19" t="str">
        <f>VLOOKUP(TabelaPrincipal[[#This Row],[ITEM]],TabelaEdital,2,FALSE)</f>
        <v>PROMETAZINA 25MG, CLORIDRATO</v>
      </c>
      <c r="C13" s="20" t="s">
        <v>38</v>
      </c>
      <c r="D13" s="20">
        <f>VLOOKUP(TabelaPrincipal[[#This Row],[ITEM]],TabelaEdital,3,FALSE)</f>
        <v>230000</v>
      </c>
      <c r="E13" s="20" t="s">
        <v>45</v>
      </c>
      <c r="F13" s="21">
        <v>0.25</v>
      </c>
      <c r="G1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3" s="1">
        <f>ROUND(F13+(F13*TabelaPrincipal[[#This Row],[PERCENTUAL DE ENTRADA]]), 2)</f>
        <v>0.35</v>
      </c>
      <c r="I13" s="2">
        <f t="shared" si="0"/>
        <v>80500</v>
      </c>
      <c r="J13" s="5">
        <f>IF(TabelaPrincipal[[#This Row],[PERCENTUAL DE ENTRADA]]&gt;0,0.15,0)</f>
        <v>0.15</v>
      </c>
      <c r="K13" s="1">
        <f>ROUND(F13+(F13*TabelaPrincipal[[#This Row],[PERCENTUAL MÍNIMO]]), 2)</f>
        <v>0.28999999999999998</v>
      </c>
      <c r="L13" s="22"/>
      <c r="M13" s="23"/>
      <c r="N13" s="21">
        <f>TabelaPrincipal[[#This Row],[LANCE ATUAL]]*TabelaPrincipal[[#This Row],[QTD]]</f>
        <v>0</v>
      </c>
    </row>
    <row r="14" spans="1:14" x14ac:dyDescent="0.25">
      <c r="A14" s="18">
        <v>17</v>
      </c>
      <c r="B14" s="19" t="str">
        <f>VLOOKUP(TabelaPrincipal[[#This Row],[ITEM]],TabelaEdital,2,FALSE)</f>
        <v>RISPERIDONA 1MG</v>
      </c>
      <c r="C14" s="20" t="s">
        <v>38</v>
      </c>
      <c r="D14" s="20">
        <f>VLOOKUP(TabelaPrincipal[[#This Row],[ITEM]],TabelaEdital,3,FALSE)</f>
        <v>365000</v>
      </c>
      <c r="E14" s="20" t="s">
        <v>46</v>
      </c>
      <c r="F14" s="21">
        <v>0.18</v>
      </c>
      <c r="G1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4" s="1">
        <f>ROUND(F14+(F14*TabelaPrincipal[[#This Row],[PERCENTUAL DE ENTRADA]]), 2)</f>
        <v>0.25</v>
      </c>
      <c r="I14" s="2">
        <f t="shared" si="0"/>
        <v>91250</v>
      </c>
      <c r="J14" s="5">
        <f>IF(TabelaPrincipal[[#This Row],[PERCENTUAL DE ENTRADA]]&gt;0,0.15,0)</f>
        <v>0.15</v>
      </c>
      <c r="K14" s="1">
        <f>ROUND(F14+(F14*TabelaPrincipal[[#This Row],[PERCENTUAL MÍNIMO]]), 2)</f>
        <v>0.21</v>
      </c>
      <c r="L14" s="22"/>
      <c r="M14" s="23"/>
      <c r="N14" s="21">
        <f>TabelaPrincipal[[#This Row],[LANCE ATUAL]]*TabelaPrincipal[[#This Row],[QTD]]</f>
        <v>0</v>
      </c>
    </row>
    <row r="15" spans="1:14" x14ac:dyDescent="0.25">
      <c r="A15" s="18">
        <v>18</v>
      </c>
      <c r="B15" s="19" t="str">
        <f>VLOOKUP(TabelaPrincipal[[#This Row],[ITEM]],TabelaEdital,2,FALSE)</f>
        <v>RISPERIDONA 3MG</v>
      </c>
      <c r="C15" s="20" t="s">
        <v>38</v>
      </c>
      <c r="D15" s="20">
        <f>VLOOKUP(TabelaPrincipal[[#This Row],[ITEM]],TabelaEdital,3,FALSE)</f>
        <v>415000</v>
      </c>
      <c r="E15" s="20" t="s">
        <v>46</v>
      </c>
      <c r="F15" s="21">
        <v>0.26</v>
      </c>
      <c r="G1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5" s="1">
        <f>ROUND(F15+(F15*TabelaPrincipal[[#This Row],[PERCENTUAL DE ENTRADA]]), 2)</f>
        <v>0.36</v>
      </c>
      <c r="I15" s="2">
        <f t="shared" si="0"/>
        <v>149400</v>
      </c>
      <c r="J15" s="5">
        <f>IF(TabelaPrincipal[[#This Row],[PERCENTUAL DE ENTRADA]]&gt;0,0.15,0)</f>
        <v>0.15</v>
      </c>
      <c r="K15" s="1">
        <f>ROUND(F15+(F15*TabelaPrincipal[[#This Row],[PERCENTUAL MÍNIMO]]), 2)</f>
        <v>0.3</v>
      </c>
      <c r="L15" s="22"/>
      <c r="M15" s="23"/>
      <c r="N15" s="21">
        <f>TabelaPrincipal[[#This Row],[LANCE ATUAL]]*TabelaPrincipal[[#This Row],[QTD]]</f>
        <v>0</v>
      </c>
    </row>
  </sheetData>
  <conditionalFormatting sqref="L2:L15">
    <cfRule type="expression" dxfId="48" priority="1">
      <formula>$L2&lt;$K2</formula>
    </cfRule>
  </conditionalFormatting>
  <conditionalFormatting sqref="A2:N15">
    <cfRule type="expression" dxfId="47" priority="2">
      <formula>$M2=1</formula>
    </cfRule>
  </conditionalFormatting>
  <conditionalFormatting sqref="L2:L15">
    <cfRule type="expression" dxfId="46" priority="5">
      <formula>$G2=0</formula>
    </cfRule>
  </conditionalFormatting>
  <conditionalFormatting sqref="G2:G15">
    <cfRule type="expression" dxfId="45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16"/>
  <sheetViews>
    <sheetView workbookViewId="0">
      <selection activeCell="H20" sqref="H20"/>
    </sheetView>
  </sheetViews>
  <sheetFormatPr defaultRowHeight="15" x14ac:dyDescent="0.25"/>
  <cols>
    <col min="1" max="1" width="4.85546875" bestFit="1" customWidth="1"/>
    <col min="2" max="2" width="34.7109375" bestFit="1" customWidth="1"/>
    <col min="3" max="3" width="5.28515625" bestFit="1" customWidth="1"/>
    <col min="4" max="4" width="7" bestFit="1" customWidth="1"/>
    <col min="5" max="5" width="8.85546875" bestFit="1" customWidth="1"/>
    <col min="6" max="6" width="9" bestFit="1" customWidth="1"/>
    <col min="7" max="7" width="15" bestFit="1" customWidth="1"/>
    <col min="8" max="8" width="47" bestFit="1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5" t="s">
        <v>8</v>
      </c>
      <c r="G1" s="8" t="s">
        <v>3</v>
      </c>
      <c r="H1" s="7" t="s">
        <v>9</v>
      </c>
    </row>
    <row r="2" spans="1:8" x14ac:dyDescent="0.25">
      <c r="A2" s="24">
        <f>TabelaPrincipal4[[#This Row],[ITEM]]</f>
        <v>1</v>
      </c>
      <c r="B2" s="25" t="str">
        <f>TabelaPrincipal4[[#This Row],[DESCRIÇÃO]]</f>
        <v>HEPARINA SODICA SUBCUT 5000UI</v>
      </c>
      <c r="C2" s="9" t="str">
        <f>TabelaPrincipal4[[#This Row],[UND]]</f>
        <v>FR</v>
      </c>
      <c r="D2" s="25">
        <f>TabelaPrincipal4[[#This Row],[QTD]]</f>
        <v>5000</v>
      </c>
      <c r="E2" s="25" t="str">
        <f>TabelaPrincipal4[[#This Row],[MARCA]]</f>
        <v>Cristália</v>
      </c>
      <c r="F2" s="10">
        <f>TabelaPrincipal4[[#This Row],[CUSTO + PERCENTUAL DE ENTRADA]]</f>
        <v>16.8</v>
      </c>
      <c r="G2" s="11">
        <f>TabelaPrincipal4[[#This Row],[VALOR TOTAL]]</f>
        <v>84000</v>
      </c>
      <c r="H2" s="9"/>
    </row>
    <row r="3" spans="1:8" x14ac:dyDescent="0.25">
      <c r="A3" s="24">
        <f>TabelaPrincipal4[[#This Row],[ITEM]]</f>
        <v>4</v>
      </c>
      <c r="B3" s="25" t="str">
        <f>TabelaPrincipal4[[#This Row],[DESCRIÇÃO]]</f>
        <v>PROMETAZINA 25MG, CLORIDRATO</v>
      </c>
      <c r="C3" s="9" t="str">
        <f>TabelaPrincipal4[[#This Row],[UND]]</f>
        <v>CD</v>
      </c>
      <c r="D3" s="25">
        <f>TabelaPrincipal4[[#This Row],[QTD]]</f>
        <v>230000</v>
      </c>
      <c r="E3" s="25" t="str">
        <f>TabelaPrincipal4[[#This Row],[MARCA]]</f>
        <v>Teuto</v>
      </c>
      <c r="F3" s="10">
        <f>TabelaPrincipal4[[#This Row],[CUSTO + PERCENTUAL DE ENTRADA]]</f>
        <v>0.35</v>
      </c>
      <c r="G3" s="11">
        <f>TabelaPrincipal4[[#This Row],[VALOR TOTAL]]</f>
        <v>80500</v>
      </c>
      <c r="H3" s="9"/>
    </row>
    <row r="4" spans="1:8" x14ac:dyDescent="0.25">
      <c r="A4" s="24">
        <f>TabelaPrincipal4[[#This Row],[ITEM]]</f>
        <v>5</v>
      </c>
      <c r="B4" s="25" t="str">
        <f>TabelaPrincipal4[[#This Row],[DESCRIÇÃO]]</f>
        <v>HALOPERIDOL 5MG</v>
      </c>
      <c r="C4" s="9" t="str">
        <f>TabelaPrincipal4[[#This Row],[UND]]</f>
        <v>CD</v>
      </c>
      <c r="D4" s="25">
        <f>TabelaPrincipal4[[#This Row],[QTD]]</f>
        <v>190000</v>
      </c>
      <c r="E4" s="25" t="str">
        <f>TabelaPrincipal4[[#This Row],[MARCA]]</f>
        <v>Cellera</v>
      </c>
      <c r="F4" s="10">
        <f>TabelaPrincipal4[[#This Row],[CUSTO + PERCENTUAL DE ENTRADA]]</f>
        <v>1.02</v>
      </c>
      <c r="G4" s="11">
        <f>TabelaPrincipal4[[#This Row],[VALOR TOTAL]]</f>
        <v>193800</v>
      </c>
      <c r="H4" s="9"/>
    </row>
    <row r="5" spans="1:8" x14ac:dyDescent="0.25">
      <c r="A5" s="24">
        <f>TabelaPrincipal4[[#This Row],[ITEM]]</f>
        <v>6</v>
      </c>
      <c r="B5" s="25" t="str">
        <f>TabelaPrincipal4[[#This Row],[DESCRIÇÃO]]</f>
        <v>CLORPROMAZINA 40MG/ML SOL ORAL</v>
      </c>
      <c r="C5" s="9" t="str">
        <f>TabelaPrincipal4[[#This Row],[UND]]</f>
        <v>FR</v>
      </c>
      <c r="D5" s="25">
        <f>TabelaPrincipal4[[#This Row],[QTD]]</f>
        <v>1800</v>
      </c>
      <c r="E5" s="25" t="str">
        <f>TabelaPrincipal4[[#This Row],[MARCA]]</f>
        <v>Sanofi</v>
      </c>
      <c r="F5" s="10">
        <f>TabelaPrincipal4[[#This Row],[CUSTO + PERCENTUAL DE ENTRADA]]</f>
        <v>14.11</v>
      </c>
      <c r="G5" s="11">
        <f>TabelaPrincipal4[[#This Row],[VALOR TOTAL]]</f>
        <v>25398</v>
      </c>
      <c r="H5" s="9"/>
    </row>
    <row r="6" spans="1:8" x14ac:dyDescent="0.25">
      <c r="A6" s="24">
        <f>TabelaPrincipal4[[#This Row],[ITEM]]</f>
        <v>7</v>
      </c>
      <c r="B6" s="25" t="str">
        <f>TabelaPrincipal4[[#This Row],[DESCRIÇÃO]]</f>
        <v>HALOPERIDOL 2MG/ML SOL ORAL</v>
      </c>
      <c r="C6" s="9" t="str">
        <f>TabelaPrincipal4[[#This Row],[UND]]</f>
        <v>FR</v>
      </c>
      <c r="D6" s="25">
        <f>TabelaPrincipal4[[#This Row],[QTD]]</f>
        <v>1100</v>
      </c>
      <c r="E6" s="25" t="str">
        <f>TabelaPrincipal4[[#This Row],[MARCA]]</f>
        <v>Cellera</v>
      </c>
      <c r="F6" s="10">
        <f>TabelaPrincipal4[[#This Row],[CUSTO + PERCENTUAL DE ENTRADA]]</f>
        <v>23.74</v>
      </c>
      <c r="G6" s="11">
        <f>TabelaPrincipal4[[#This Row],[VALOR TOTAL]]</f>
        <v>26114</v>
      </c>
      <c r="H6" s="9"/>
    </row>
    <row r="7" spans="1:8" x14ac:dyDescent="0.25">
      <c r="A7" s="24">
        <f>TabelaPrincipal4[[#This Row],[ITEM]]</f>
        <v>8</v>
      </c>
      <c r="B7" s="25" t="str">
        <f>TabelaPrincipal4[[#This Row],[DESCRIÇÃO]]</f>
        <v>CLORPROMAZINA 25MG</v>
      </c>
      <c r="C7" s="9" t="str">
        <f>TabelaPrincipal4[[#This Row],[UND]]</f>
        <v>CD</v>
      </c>
      <c r="D7" s="25">
        <f>TabelaPrincipal4[[#This Row],[QTD]]</f>
        <v>135000</v>
      </c>
      <c r="E7" s="25" t="str">
        <f>TabelaPrincipal4[[#This Row],[MARCA]]</f>
        <v>Sanofi</v>
      </c>
      <c r="F7" s="10">
        <f>TabelaPrincipal4[[#This Row],[CUSTO + PERCENTUAL DE ENTRADA]]</f>
        <v>0.56999999999999995</v>
      </c>
      <c r="G7" s="11">
        <f>TabelaPrincipal4[[#This Row],[VALOR TOTAL]]</f>
        <v>76950</v>
      </c>
      <c r="H7" s="9"/>
    </row>
    <row r="8" spans="1:8" x14ac:dyDescent="0.25">
      <c r="A8" s="24">
        <f>TabelaPrincipal4[[#This Row],[ITEM]]</f>
        <v>9</v>
      </c>
      <c r="B8" s="25" t="str">
        <f>TabelaPrincipal4[[#This Row],[DESCRIÇÃO]]</f>
        <v>CODEINA 30MG</v>
      </c>
      <c r="C8" s="9" t="str">
        <f>TabelaPrincipal4[[#This Row],[UND]]</f>
        <v>CD</v>
      </c>
      <c r="D8" s="25">
        <f>TabelaPrincipal4[[#This Row],[QTD]]</f>
        <v>3000</v>
      </c>
      <c r="E8" s="25" t="str">
        <f>TabelaPrincipal4[[#This Row],[MARCA]]</f>
        <v>Cristália</v>
      </c>
      <c r="F8" s="10">
        <f>TabelaPrincipal4[[#This Row],[CUSTO + PERCENTUAL DE ENTRADA]]</f>
        <v>2.5299999999999998</v>
      </c>
      <c r="G8" s="11">
        <f>TabelaPrincipal4[[#This Row],[VALOR TOTAL]]</f>
        <v>7589.9999999999991</v>
      </c>
      <c r="H8" s="9"/>
    </row>
    <row r="9" spans="1:8" x14ac:dyDescent="0.25">
      <c r="A9" s="24">
        <f>TabelaPrincipal4[[#This Row],[ITEM]]</f>
        <v>10</v>
      </c>
      <c r="B9" s="25" t="str">
        <f>TabelaPrincipal4[[#This Row],[DESCRIÇÃO]]</f>
        <v>IMIPRAMINA 25MG</v>
      </c>
      <c r="C9" s="9" t="str">
        <f>TabelaPrincipal4[[#This Row],[UND]]</f>
        <v>CD</v>
      </c>
      <c r="D9" s="25">
        <f>TabelaPrincipal4[[#This Row],[QTD]]</f>
        <v>120000</v>
      </c>
      <c r="E9" s="25" t="str">
        <f>TabelaPrincipal4[[#This Row],[MARCA]]</f>
        <v>Cristália</v>
      </c>
      <c r="F9" s="10">
        <f>TabelaPrincipal4[[#This Row],[CUSTO + PERCENTUAL DE ENTRADA]]</f>
        <v>0.78</v>
      </c>
      <c r="G9" s="11">
        <f>TabelaPrincipal4[[#This Row],[VALOR TOTAL]]</f>
        <v>93600</v>
      </c>
      <c r="H9" s="9"/>
    </row>
    <row r="10" spans="1:8" x14ac:dyDescent="0.25">
      <c r="A10" s="24">
        <f>TabelaPrincipal4[[#This Row],[ITEM]]</f>
        <v>11</v>
      </c>
      <c r="B10" s="25" t="str">
        <f>TabelaPrincipal4[[#This Row],[DESCRIÇÃO]]</f>
        <v>RISPERIDONA 3MG</v>
      </c>
      <c r="C10" s="9" t="str">
        <f>TabelaPrincipal4[[#This Row],[UND]]</f>
        <v>CD</v>
      </c>
      <c r="D10" s="25">
        <f>TabelaPrincipal4[[#This Row],[QTD]]</f>
        <v>415000</v>
      </c>
      <c r="E10" s="25" t="str">
        <f>TabelaPrincipal4[[#This Row],[MARCA]]</f>
        <v>Vitamedic</v>
      </c>
      <c r="F10" s="10">
        <f>TabelaPrincipal4[[#This Row],[CUSTO + PERCENTUAL DE ENTRADA]]</f>
        <v>0.36</v>
      </c>
      <c r="G10" s="11">
        <f>TabelaPrincipal4[[#This Row],[VALOR TOTAL]]</f>
        <v>149400</v>
      </c>
      <c r="H10" s="9"/>
    </row>
    <row r="11" spans="1:8" x14ac:dyDescent="0.25">
      <c r="A11" s="24">
        <f>TabelaPrincipal4[[#This Row],[ITEM]]</f>
        <v>13</v>
      </c>
      <c r="B11" s="25" t="str">
        <f>TabelaPrincipal4[[#This Row],[DESCRIÇÃO]]</f>
        <v>RISPERIDONA 1MG</v>
      </c>
      <c r="C11" s="9" t="str">
        <f>TabelaPrincipal4[[#This Row],[UND]]</f>
        <v>CD</v>
      </c>
      <c r="D11" s="25">
        <f>TabelaPrincipal4[[#This Row],[QTD]]</f>
        <v>365000</v>
      </c>
      <c r="E11" s="25" t="str">
        <f>TabelaPrincipal4[[#This Row],[MARCA]]</f>
        <v>Vitamedic</v>
      </c>
      <c r="F11" s="10">
        <f>TabelaPrincipal4[[#This Row],[CUSTO + PERCENTUAL DE ENTRADA]]</f>
        <v>0.25</v>
      </c>
      <c r="G11" s="11">
        <f>TabelaPrincipal4[[#This Row],[VALOR TOTAL]]</f>
        <v>91250</v>
      </c>
      <c r="H11" s="9"/>
    </row>
    <row r="12" spans="1:8" x14ac:dyDescent="0.25">
      <c r="A12" s="24">
        <f>TabelaPrincipal4[[#This Row],[ITEM]]</f>
        <v>14</v>
      </c>
      <c r="B12" s="25" t="str">
        <f>TabelaPrincipal4[[#This Row],[DESCRIÇÃO]]</f>
        <v>LEVOMEPROMAZINA 4% GOTAS</v>
      </c>
      <c r="C12" s="9" t="str">
        <f>TabelaPrincipal4[[#This Row],[UND]]</f>
        <v>FR</v>
      </c>
      <c r="D12" s="25">
        <f>TabelaPrincipal4[[#This Row],[QTD]]</f>
        <v>1500</v>
      </c>
      <c r="E12" s="25" t="str">
        <f>TabelaPrincipal4[[#This Row],[MARCA]]</f>
        <v>Sanofi</v>
      </c>
      <c r="F12" s="10">
        <f>TabelaPrincipal4[[#This Row],[CUSTO + PERCENTUAL DE ENTRADA]]</f>
        <v>24.47</v>
      </c>
      <c r="G12" s="11">
        <f>TabelaPrincipal4[[#This Row],[VALOR TOTAL]]</f>
        <v>36705</v>
      </c>
      <c r="H12" s="9"/>
    </row>
    <row r="13" spans="1:8" x14ac:dyDescent="0.25">
      <c r="A13" s="24">
        <f>TabelaPrincipal4[[#This Row],[ITEM]]</f>
        <v>16</v>
      </c>
      <c r="B13" s="25" t="str">
        <f>TabelaPrincipal4[[#This Row],[DESCRIÇÃO]]</f>
        <v>LIDOCAINA 2% C/ VASO CONSTRITO</v>
      </c>
      <c r="C13" s="9" t="str">
        <f>TabelaPrincipal4[[#This Row],[UND]]</f>
        <v>FR</v>
      </c>
      <c r="D13" s="25">
        <f>TabelaPrincipal4[[#This Row],[QTD]]</f>
        <v>1000</v>
      </c>
      <c r="E13" s="25" t="str">
        <f>TabelaPrincipal4[[#This Row],[MARCA]]</f>
        <v>Cristália</v>
      </c>
      <c r="F13" s="10">
        <f>TabelaPrincipal4[[#This Row],[CUSTO + PERCENTUAL DE ENTRADA]]</f>
        <v>19.46</v>
      </c>
      <c r="G13" s="11">
        <f>TabelaPrincipal4[[#This Row],[VALOR TOTAL]]</f>
        <v>19460</v>
      </c>
      <c r="H13" s="9"/>
    </row>
    <row r="14" spans="1:8" x14ac:dyDescent="0.25">
      <c r="A14" s="24">
        <f>TabelaPrincipal4[[#This Row],[ITEM]]</f>
        <v>17</v>
      </c>
      <c r="B14" s="25" t="str">
        <f>TabelaPrincipal4[[#This Row],[DESCRIÇÃO]]</f>
        <v>NITRATO DE CERIO +SULFADIAZINA</v>
      </c>
      <c r="C14" s="9" t="str">
        <f>TabelaPrincipal4[[#This Row],[UND]]</f>
        <v>BI/TU</v>
      </c>
      <c r="D14" s="25">
        <f>TabelaPrincipal4[[#This Row],[QTD]]</f>
        <v>1000</v>
      </c>
      <c r="E14" s="25" t="str">
        <f>TabelaPrincipal4[[#This Row],[MARCA]]</f>
        <v>Cristália</v>
      </c>
      <c r="F14" s="10">
        <f>TabelaPrincipal4[[#This Row],[CUSTO + PERCENTUAL DE ENTRADA]]</f>
        <v>89.46</v>
      </c>
      <c r="G14" s="11">
        <f>TabelaPrincipal4[[#This Row],[VALOR TOTAL]]</f>
        <v>89460</v>
      </c>
      <c r="H14" s="9"/>
    </row>
    <row r="15" spans="1:8" x14ac:dyDescent="0.25">
      <c r="A15" s="24">
        <f>TabelaPrincipal4[[#This Row],[ITEM]]</f>
        <v>18</v>
      </c>
      <c r="B15" s="25" t="str">
        <f>TabelaPrincipal4[[#This Row],[DESCRIÇÃO]]</f>
        <v>COLAGENASE+CLORAFENICOL POMADA 30g</v>
      </c>
      <c r="C15" s="9" t="str">
        <f>TabelaPrincipal4[[#This Row],[UND]]</f>
        <v>BI</v>
      </c>
      <c r="D15" s="25">
        <f>TabelaPrincipal4[[#This Row],[QTD]]</f>
        <v>3050</v>
      </c>
      <c r="E15" s="25" t="str">
        <f>TabelaPrincipal4[[#This Row],[MARCA]]</f>
        <v>Cristália</v>
      </c>
      <c r="F15" s="10">
        <f>TabelaPrincipal4[[#This Row],[CUSTO + PERCENTUAL DE ENTRADA]]</f>
        <v>23.66</v>
      </c>
      <c r="G15" s="11">
        <f>TabelaPrincipal4[[#This Row],[VALOR TOTAL]]</f>
        <v>72163</v>
      </c>
      <c r="H15" s="9"/>
    </row>
    <row r="16" spans="1:8" x14ac:dyDescent="0.25">
      <c r="A16" s="13" t="s">
        <v>7</v>
      </c>
      <c r="B16" s="12"/>
      <c r="C16" s="12"/>
      <c r="D16" s="12"/>
      <c r="E16" s="12"/>
      <c r="F16" s="12"/>
      <c r="G16" s="14">
        <f>SUBTOTAL(109,TabelaProposta[VALOR TOTAL])</f>
        <v>1046390</v>
      </c>
      <c r="H16" s="12" t="str">
        <f>Extenso_Valor(TabelaProposta[[#Totals],[VALOR TOTAL]])</f>
        <v>um milhão, quarenta e seis mil, trezentos e noventa reais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9097-E205-4D66-8532-BF6E640AC315}">
  <dimension ref="A1:C19"/>
  <sheetViews>
    <sheetView workbookViewId="0">
      <selection activeCell="A17" sqref="A17"/>
    </sheetView>
  </sheetViews>
  <sheetFormatPr defaultRowHeight="15" x14ac:dyDescent="0.25"/>
  <cols>
    <col min="1" max="1" width="40" bestFit="1" customWidth="1"/>
  </cols>
  <sheetData>
    <row r="1" spans="1:3" x14ac:dyDescent="0.25">
      <c r="A1" t="s">
        <v>18</v>
      </c>
      <c r="B1" t="s">
        <v>17</v>
      </c>
      <c r="C1" t="s">
        <v>19</v>
      </c>
    </row>
    <row r="2" spans="1:3" x14ac:dyDescent="0.25">
      <c r="A2" t="s">
        <v>20</v>
      </c>
      <c r="B2">
        <v>1</v>
      </c>
      <c r="C2">
        <v>5000</v>
      </c>
    </row>
    <row r="3" spans="1:3" x14ac:dyDescent="0.25">
      <c r="A3" t="s">
        <v>21</v>
      </c>
      <c r="B3">
        <v>2</v>
      </c>
      <c r="C3">
        <v>500</v>
      </c>
    </row>
    <row r="4" spans="1:3" x14ac:dyDescent="0.25">
      <c r="A4" t="s">
        <v>22</v>
      </c>
      <c r="B4">
        <v>3</v>
      </c>
      <c r="C4">
        <v>35000</v>
      </c>
    </row>
    <row r="5" spans="1:3" x14ac:dyDescent="0.25">
      <c r="A5" t="s">
        <v>23</v>
      </c>
      <c r="B5">
        <v>4</v>
      </c>
      <c r="C5">
        <v>230000</v>
      </c>
    </row>
    <row r="6" spans="1:3" x14ac:dyDescent="0.25">
      <c r="A6" t="s">
        <v>24</v>
      </c>
      <c r="B6">
        <v>5</v>
      </c>
      <c r="C6">
        <v>190000</v>
      </c>
    </row>
    <row r="7" spans="1:3" x14ac:dyDescent="0.25">
      <c r="A7" t="s">
        <v>25</v>
      </c>
      <c r="B7">
        <v>6</v>
      </c>
      <c r="C7">
        <v>1800</v>
      </c>
    </row>
    <row r="8" spans="1:3" x14ac:dyDescent="0.25">
      <c r="A8" t="s">
        <v>26</v>
      </c>
      <c r="B8">
        <v>7</v>
      </c>
      <c r="C8">
        <v>1100</v>
      </c>
    </row>
    <row r="9" spans="1:3" x14ac:dyDescent="0.25">
      <c r="A9" t="s">
        <v>27</v>
      </c>
      <c r="B9">
        <v>8</v>
      </c>
      <c r="C9">
        <v>135000</v>
      </c>
    </row>
    <row r="10" spans="1:3" x14ac:dyDescent="0.25">
      <c r="A10" t="s">
        <v>28</v>
      </c>
      <c r="B10">
        <v>9</v>
      </c>
      <c r="C10">
        <v>3000</v>
      </c>
    </row>
    <row r="11" spans="1:3" x14ac:dyDescent="0.25">
      <c r="A11" t="s">
        <v>29</v>
      </c>
      <c r="B11">
        <v>10</v>
      </c>
      <c r="C11">
        <v>120000</v>
      </c>
    </row>
    <row r="12" spans="1:3" x14ac:dyDescent="0.25">
      <c r="A12" t="s">
        <v>30</v>
      </c>
      <c r="B12">
        <v>11</v>
      </c>
      <c r="C12">
        <v>415000</v>
      </c>
    </row>
    <row r="13" spans="1:3" x14ac:dyDescent="0.25">
      <c r="A13" t="s">
        <v>31</v>
      </c>
      <c r="B13">
        <v>12</v>
      </c>
      <c r="C13">
        <v>160000</v>
      </c>
    </row>
    <row r="14" spans="1:3" x14ac:dyDescent="0.25">
      <c r="A14" t="s">
        <v>32</v>
      </c>
      <c r="B14">
        <v>13</v>
      </c>
      <c r="C14">
        <v>365000</v>
      </c>
    </row>
    <row r="15" spans="1:3" x14ac:dyDescent="0.25">
      <c r="A15" t="s">
        <v>33</v>
      </c>
      <c r="B15">
        <v>14</v>
      </c>
      <c r="C15">
        <v>1500</v>
      </c>
    </row>
    <row r="16" spans="1:3" x14ac:dyDescent="0.25">
      <c r="A16" t="s">
        <v>34</v>
      </c>
      <c r="B16">
        <v>15</v>
      </c>
      <c r="C16">
        <v>800</v>
      </c>
    </row>
    <row r="17" spans="1:3" x14ac:dyDescent="0.25">
      <c r="A17" t="s">
        <v>47</v>
      </c>
      <c r="B17">
        <v>16</v>
      </c>
      <c r="C17">
        <v>1000</v>
      </c>
    </row>
    <row r="18" spans="1:3" x14ac:dyDescent="0.25">
      <c r="A18" t="s">
        <v>36</v>
      </c>
      <c r="B18">
        <v>17</v>
      </c>
      <c r="C18">
        <v>1000</v>
      </c>
    </row>
    <row r="19" spans="1:3" x14ac:dyDescent="0.25">
      <c r="A19" t="s">
        <v>37</v>
      </c>
      <c r="B19">
        <v>18</v>
      </c>
      <c r="C19">
        <v>3050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BA6F-7ECA-4E5A-849E-90A5554183FB}">
  <dimension ref="A1:C19"/>
  <sheetViews>
    <sheetView workbookViewId="0">
      <selection activeCell="B6" sqref="B6"/>
    </sheetView>
  </sheetViews>
  <sheetFormatPr defaultRowHeight="15" x14ac:dyDescent="0.25"/>
  <cols>
    <col min="2" max="2" width="40" bestFit="1" customWidth="1"/>
  </cols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>
        <v>1</v>
      </c>
      <c r="B2" t="s">
        <v>27</v>
      </c>
      <c r="C2">
        <v>135000</v>
      </c>
    </row>
    <row r="3" spans="1:3" x14ac:dyDescent="0.25">
      <c r="A3">
        <v>2</v>
      </c>
      <c r="B3" t="s">
        <v>25</v>
      </c>
      <c r="C3">
        <v>1800</v>
      </c>
    </row>
    <row r="4" spans="1:3" x14ac:dyDescent="0.25">
      <c r="A4">
        <v>3</v>
      </c>
      <c r="B4" t="s">
        <v>28</v>
      </c>
      <c r="C4">
        <v>3000</v>
      </c>
    </row>
    <row r="5" spans="1:3" x14ac:dyDescent="0.25">
      <c r="A5">
        <v>4</v>
      </c>
      <c r="B5" t="s">
        <v>37</v>
      </c>
      <c r="C5">
        <v>3050</v>
      </c>
    </row>
    <row r="6" spans="1:3" x14ac:dyDescent="0.25">
      <c r="A6">
        <v>5</v>
      </c>
      <c r="B6" t="s">
        <v>22</v>
      </c>
      <c r="C6">
        <v>35000</v>
      </c>
    </row>
    <row r="7" spans="1:3" x14ac:dyDescent="0.25">
      <c r="A7">
        <v>6</v>
      </c>
      <c r="B7" t="s">
        <v>34</v>
      </c>
      <c r="C7">
        <v>800</v>
      </c>
    </row>
    <row r="8" spans="1:3" x14ac:dyDescent="0.25">
      <c r="A8">
        <v>7</v>
      </c>
      <c r="B8" t="s">
        <v>26</v>
      </c>
      <c r="C8">
        <v>1100</v>
      </c>
    </row>
    <row r="9" spans="1:3" x14ac:dyDescent="0.25">
      <c r="A9">
        <v>8</v>
      </c>
      <c r="B9" t="s">
        <v>24</v>
      </c>
      <c r="C9">
        <v>190000</v>
      </c>
    </row>
    <row r="10" spans="1:3" x14ac:dyDescent="0.25">
      <c r="A10">
        <v>9</v>
      </c>
      <c r="B10" t="s">
        <v>21</v>
      </c>
      <c r="C10">
        <v>500</v>
      </c>
    </row>
    <row r="11" spans="1:3" x14ac:dyDescent="0.25">
      <c r="A11">
        <v>10</v>
      </c>
      <c r="B11" t="s">
        <v>20</v>
      </c>
      <c r="C11">
        <v>5000</v>
      </c>
    </row>
    <row r="12" spans="1:3" x14ac:dyDescent="0.25">
      <c r="A12">
        <v>11</v>
      </c>
      <c r="B12" t="s">
        <v>29</v>
      </c>
      <c r="C12">
        <v>120000</v>
      </c>
    </row>
    <row r="13" spans="1:3" x14ac:dyDescent="0.25">
      <c r="A13">
        <v>12</v>
      </c>
      <c r="B13" t="s">
        <v>31</v>
      </c>
      <c r="C13">
        <v>160000</v>
      </c>
    </row>
    <row r="14" spans="1:3" x14ac:dyDescent="0.25">
      <c r="A14">
        <v>13</v>
      </c>
      <c r="B14" t="s">
        <v>33</v>
      </c>
      <c r="C14">
        <v>1500</v>
      </c>
    </row>
    <row r="15" spans="1:3" x14ac:dyDescent="0.25">
      <c r="A15">
        <v>14</v>
      </c>
      <c r="B15" t="s">
        <v>35</v>
      </c>
      <c r="C15">
        <v>1000</v>
      </c>
    </row>
    <row r="16" spans="1:3" x14ac:dyDescent="0.25">
      <c r="A16">
        <v>15</v>
      </c>
      <c r="B16" t="s">
        <v>36</v>
      </c>
      <c r="C16">
        <v>1000</v>
      </c>
    </row>
    <row r="17" spans="1:3" x14ac:dyDescent="0.25">
      <c r="A17">
        <v>16</v>
      </c>
      <c r="B17" t="s">
        <v>23</v>
      </c>
      <c r="C17">
        <v>230000</v>
      </c>
    </row>
    <row r="18" spans="1:3" x14ac:dyDescent="0.25">
      <c r="A18">
        <v>17</v>
      </c>
      <c r="B18" t="s">
        <v>32</v>
      </c>
      <c r="C18">
        <v>365000</v>
      </c>
    </row>
    <row r="19" spans="1:3" x14ac:dyDescent="0.25">
      <c r="A19">
        <v>18</v>
      </c>
      <c r="B19" t="s">
        <v>30</v>
      </c>
      <c r="C19">
        <v>415000</v>
      </c>
    </row>
  </sheetData>
  <autoFilter ref="A1:C19" xr:uid="{181EBA6F-7ECA-4E5A-849E-90A5554183FB}">
    <sortState xmlns:xlrd2="http://schemas.microsoft.com/office/spreadsheetml/2017/richdata2" ref="A2:C19">
      <sortCondition ref="B1:B19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Principal(Licitanet)</vt:lpstr>
      <vt:lpstr>Principal(Edital)</vt:lpstr>
      <vt:lpstr>DadosProposta</vt:lpstr>
      <vt:lpstr>DadosModelo(Licitanet)</vt:lpstr>
      <vt:lpstr>DadosModelo(Edital)</vt:lpstr>
      <vt:lpstr>asdfasdfa</vt:lpstr>
      <vt:lpstr>TabelaEdital</vt:lpstr>
      <vt:lpstr>TabelaModelo</vt:lpstr>
      <vt:lpstr>'DadosModelo(Licitanet)'!TabelaProcesso</vt:lpstr>
      <vt:lpstr>'Principal(Licitanet)'!TabelaProcesso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2015-06-05T18:19:34Z</dcterms:created>
  <dcterms:modified xsi:type="dcterms:W3CDTF">2024-03-08T13:37:23Z</dcterms:modified>
</cp:coreProperties>
</file>