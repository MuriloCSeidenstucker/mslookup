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persons/person2.xml" ContentType="application/vnd.ms-excel.person+xml"/>
  <Override PartName="/xl/persons/person1.xml" ContentType="application/vnd.ms-excel.person+xml"/>
  <Override PartName="/xl/persons/person0.xml" ContentType="application/vnd.ms-excel.person+xml"/>
  <Override PartName="/xl/persons/person3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ythonProjects\learning-python-selenium\data_for_testing\"/>
    </mc:Choice>
  </mc:AlternateContent>
  <xr:revisionPtr revIDLastSave="0" documentId="13_ncr:1_{36751C33-C6AF-4864-AFD6-32C501DB9FA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rincipal" sheetId="1" r:id="rId1"/>
    <sheet name="DadosProposta" sheetId="2" r:id="rId2"/>
  </sheets>
  <functionGroups builtInGroupCount="19"/>
  <externalReferences>
    <externalReference r:id="rId3"/>
  </externalReferences>
  <definedNames>
    <definedName name="TabelaModelo">[1]DadosModelo!$A$1:$C$139</definedName>
    <definedName name="TabelaProcesso">TabelaPrincipal[#All]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2" i="1" l="1"/>
  <c r="K32" i="1" s="1"/>
  <c r="G32" i="1"/>
  <c r="H32" i="1" s="1"/>
  <c r="I32" i="1" s="1"/>
  <c r="G31" i="1"/>
  <c r="H31" i="1" s="1"/>
  <c r="I31" i="1" s="1"/>
  <c r="H30" i="1"/>
  <c r="I30" i="1" s="1"/>
  <c r="G30" i="1"/>
  <c r="J30" i="1" s="1"/>
  <c r="K30" i="1" s="1"/>
  <c r="K29" i="1"/>
  <c r="J29" i="1"/>
  <c r="G29" i="1"/>
  <c r="H29" i="1" s="1"/>
  <c r="I29" i="1" s="1"/>
  <c r="G28" i="1"/>
  <c r="H28" i="1" s="1"/>
  <c r="I28" i="1" s="1"/>
  <c r="G27" i="1"/>
  <c r="J27" i="1" s="1"/>
  <c r="K27" i="1" s="1"/>
  <c r="J26" i="1"/>
  <c r="K26" i="1" s="1"/>
  <c r="H26" i="1"/>
  <c r="I26" i="1" s="1"/>
  <c r="G26" i="1"/>
  <c r="G25" i="1"/>
  <c r="J25" i="1" s="1"/>
  <c r="K25" i="1" s="1"/>
  <c r="J24" i="1"/>
  <c r="K24" i="1" s="1"/>
  <c r="G24" i="1"/>
  <c r="H24" i="1" s="1"/>
  <c r="I24" i="1" s="1"/>
  <c r="G23" i="1"/>
  <c r="H23" i="1" s="1"/>
  <c r="I23" i="1" s="1"/>
  <c r="H22" i="1"/>
  <c r="I22" i="1" s="1"/>
  <c r="G22" i="1"/>
  <c r="J22" i="1" s="1"/>
  <c r="K22" i="1" s="1"/>
  <c r="J21" i="1"/>
  <c r="K21" i="1" s="1"/>
  <c r="G21" i="1"/>
  <c r="H21" i="1" s="1"/>
  <c r="I21" i="1" s="1"/>
  <c r="G20" i="1"/>
  <c r="J20" i="1" s="1"/>
  <c r="K20" i="1" s="1"/>
  <c r="G19" i="1"/>
  <c r="J19" i="1" s="1"/>
  <c r="K19" i="1" s="1"/>
  <c r="J18" i="1"/>
  <c r="K18" i="1" s="1"/>
  <c r="H18" i="1"/>
  <c r="I18" i="1" s="1"/>
  <c r="G18" i="1"/>
  <c r="G17" i="1"/>
  <c r="J17" i="1" s="1"/>
  <c r="K17" i="1" s="1"/>
  <c r="J16" i="1"/>
  <c r="K16" i="1" s="1"/>
  <c r="G16" i="1"/>
  <c r="H16" i="1" s="1"/>
  <c r="I16" i="1" s="1"/>
  <c r="G15" i="1"/>
  <c r="H15" i="1" s="1"/>
  <c r="I15" i="1" s="1"/>
  <c r="H14" i="1"/>
  <c r="I14" i="1" s="1"/>
  <c r="G14" i="1"/>
  <c r="J14" i="1" s="1"/>
  <c r="K14" i="1" s="1"/>
  <c r="J13" i="1"/>
  <c r="K13" i="1" s="1"/>
  <c r="G13" i="1"/>
  <c r="H13" i="1" s="1"/>
  <c r="I13" i="1" s="1"/>
  <c r="G12" i="1"/>
  <c r="L12" i="1" s="1"/>
  <c r="N12" i="1" s="1"/>
  <c r="G11" i="1"/>
  <c r="J11" i="1" s="1"/>
  <c r="K11" i="1" s="1"/>
  <c r="J10" i="1"/>
  <c r="K10" i="1" s="1"/>
  <c r="H10" i="1"/>
  <c r="I10" i="1" s="1"/>
  <c r="G10" i="1"/>
  <c r="G9" i="1"/>
  <c r="J9" i="1" s="1"/>
  <c r="K9" i="1" s="1"/>
  <c r="G8" i="1"/>
  <c r="H8" i="1" s="1"/>
  <c r="I8" i="1" s="1"/>
  <c r="G7" i="1"/>
  <c r="H7" i="1" s="1"/>
  <c r="I7" i="1" s="1"/>
  <c r="G6" i="1"/>
  <c r="J6" i="1" s="1"/>
  <c r="K6" i="1" s="1"/>
  <c r="J5" i="1"/>
  <c r="K5" i="1" s="1"/>
  <c r="I5" i="1"/>
  <c r="H5" i="1"/>
  <c r="G5" i="1"/>
  <c r="G4" i="1"/>
  <c r="J4" i="1" s="1"/>
  <c r="K4" i="1" s="1"/>
  <c r="G3" i="1"/>
  <c r="J3" i="1" s="1"/>
  <c r="K3" i="1" s="1"/>
  <c r="J2" i="1"/>
  <c r="K2" i="1" s="1"/>
  <c r="H2" i="1"/>
  <c r="I2" i="1" s="1"/>
  <c r="G2" i="1"/>
  <c r="L2" i="1" s="1"/>
  <c r="N2" i="1" s="1"/>
  <c r="L25" i="1"/>
  <c r="N25" i="1" s="1"/>
  <c r="L5" i="1"/>
  <c r="N5" i="1" s="1"/>
  <c r="L10" i="1"/>
  <c r="N10" i="1" s="1"/>
  <c r="L13" i="1"/>
  <c r="N13" i="1" s="1"/>
  <c r="L14" i="1"/>
  <c r="N14" i="1" s="1"/>
  <c r="L16" i="1"/>
  <c r="L18" i="1"/>
  <c r="L19" i="1"/>
  <c r="N19" i="1" s="1"/>
  <c r="L21" i="1"/>
  <c r="N21" i="1" s="1"/>
  <c r="L22" i="1"/>
  <c r="N22" i="1" s="1"/>
  <c r="L23" i="1"/>
  <c r="N23" i="1" s="1"/>
  <c r="L24" i="1"/>
  <c r="L26" i="1"/>
  <c r="L27" i="1"/>
  <c r="L29" i="1"/>
  <c r="N29" i="1" s="1"/>
  <c r="L30" i="1"/>
  <c r="N30" i="1" s="1"/>
  <c r="L31" i="1"/>
  <c r="L32" i="1"/>
  <c r="N32" i="1" s="1"/>
  <c r="N16" i="1"/>
  <c r="N18" i="1"/>
  <c r="N24" i="1"/>
  <c r="N26" i="1"/>
  <c r="N27" i="1"/>
  <c r="N31" i="1"/>
  <c r="J8" i="1" l="1"/>
  <c r="K8" i="1" s="1"/>
  <c r="L8" i="1"/>
  <c r="N8" i="1" s="1"/>
  <c r="H6" i="1"/>
  <c r="I6" i="1" s="1"/>
  <c r="L6" i="1"/>
  <c r="N6" i="1" s="1"/>
  <c r="L4" i="1"/>
  <c r="N4" i="1" s="1"/>
  <c r="H4" i="1"/>
  <c r="I4" i="1" s="1"/>
  <c r="H12" i="1"/>
  <c r="I12" i="1" s="1"/>
  <c r="L20" i="1"/>
  <c r="N20" i="1" s="1"/>
  <c r="L11" i="1"/>
  <c r="N11" i="1" s="1"/>
  <c r="L17" i="1"/>
  <c r="N17" i="1" s="1"/>
  <c r="J7" i="1"/>
  <c r="K7" i="1" s="1"/>
  <c r="H9" i="1"/>
  <c r="I9" i="1" s="1"/>
  <c r="J15" i="1"/>
  <c r="K15" i="1" s="1"/>
  <c r="H17" i="1"/>
  <c r="I17" i="1" s="1"/>
  <c r="J23" i="1"/>
  <c r="K23" i="1" s="1"/>
  <c r="H25" i="1"/>
  <c r="I25" i="1" s="1"/>
  <c r="J31" i="1"/>
  <c r="K31" i="1" s="1"/>
  <c r="H20" i="1"/>
  <c r="I20" i="1" s="1"/>
  <c r="L28" i="1"/>
  <c r="N28" i="1" s="1"/>
  <c r="L9" i="1"/>
  <c r="N9" i="1" s="1"/>
  <c r="J12" i="1"/>
  <c r="K12" i="1" s="1"/>
  <c r="J28" i="1"/>
  <c r="K28" i="1" s="1"/>
  <c r="L3" i="1"/>
  <c r="N3" i="1" s="1"/>
  <c r="H3" i="1"/>
  <c r="I3" i="1" s="1"/>
  <c r="H11" i="1"/>
  <c r="I11" i="1" s="1"/>
  <c r="H19" i="1"/>
  <c r="I19" i="1" s="1"/>
  <c r="H27" i="1"/>
  <c r="I27" i="1" s="1"/>
  <c r="L7" i="1"/>
  <c r="N7" i="1" s="1"/>
  <c r="L15" i="1"/>
  <c r="N15" i="1" s="1"/>
  <c r="G34" i="1" l="1"/>
  <c r="J34" i="1" s="1"/>
  <c r="K34" i="1" s="1"/>
  <c r="G35" i="1"/>
  <c r="H35" i="1" s="1"/>
  <c r="I35" i="1" s="1"/>
  <c r="G33" i="1"/>
  <c r="J33" i="1" s="1"/>
  <c r="K33" i="1" s="1"/>
  <c r="G36" i="1"/>
  <c r="J36" i="1" s="1"/>
  <c r="L34" i="1" l="1"/>
  <c r="N34" i="1" s="1"/>
  <c r="H34" i="1"/>
  <c r="I34" i="1" s="1"/>
  <c r="L35" i="1"/>
  <c r="N35" i="1" s="1"/>
  <c r="L33" i="1"/>
  <c r="N33" i="1" s="1"/>
  <c r="J35" i="1"/>
  <c r="K35" i="1" s="1"/>
  <c r="H33" i="1"/>
  <c r="I33" i="1" s="1"/>
  <c r="L36" i="1"/>
  <c r="H36" i="1"/>
  <c r="I36" i="1" s="1"/>
  <c r="A2" i="2"/>
  <c r="B2" i="2"/>
  <c r="C2" i="2"/>
  <c r="D2" i="2"/>
  <c r="E2" i="2"/>
  <c r="E3" i="2"/>
  <c r="D3" i="2"/>
  <c r="C3" i="2"/>
  <c r="B3" i="2"/>
  <c r="A3" i="2"/>
  <c r="K36" i="1"/>
  <c r="N36" i="1" l="1"/>
  <c r="G3" i="2"/>
  <c r="G2" i="2"/>
  <c r="F3" i="2"/>
  <c r="F2" i="2"/>
  <c r="G4" i="2" l="1"/>
  <c r="H4" i="2"/>
</calcChain>
</file>

<file path=xl/sharedStrings.xml><?xml version="1.0" encoding="utf-8"?>
<sst xmlns="http://schemas.openxmlformats.org/spreadsheetml/2006/main" count="44" uniqueCount="31">
  <si>
    <t>ITEM</t>
  </si>
  <si>
    <t>QTD</t>
  </si>
  <si>
    <t>UND</t>
  </si>
  <si>
    <t>VALOR TOTAL</t>
  </si>
  <si>
    <t>VALOR DE CUSTO</t>
  </si>
  <si>
    <t>DESCRIÇÃO</t>
  </si>
  <si>
    <t>MARCA</t>
  </si>
  <si>
    <t>Total</t>
  </si>
  <si>
    <t>VALOR UNITÁRIO</t>
  </si>
  <si>
    <t>TOTAL POR EXTENSO</t>
  </si>
  <si>
    <t>PERCENTUAL MÍNIMO</t>
  </si>
  <si>
    <t>VALOR MÍNIMO</t>
  </si>
  <si>
    <t>LANCE ATUAL</t>
  </si>
  <si>
    <t>POSIÇÃO</t>
  </si>
  <si>
    <t>VALOR TOTAL DO LANCE</t>
  </si>
  <si>
    <t>CUSTO + PERCENTUAL DE ENTRADA</t>
  </si>
  <si>
    <t>PERCENTUAL DE ENTRADA</t>
  </si>
  <si>
    <t>UN</t>
  </si>
  <si>
    <t>Geolab</t>
  </si>
  <si>
    <t>ALBENDAZOL 40 MG/ML SUSPENSAO ORAL   - FRASCO COM 10 ML  - FRASCO COM 10 ML</t>
  </si>
  <si>
    <t>AMOXICILINA 250MG/5ML SUSPENSAO ORAL 150ML</t>
  </si>
  <si>
    <t>FR</t>
  </si>
  <si>
    <t>Eurofarma</t>
  </si>
  <si>
    <t>AMOXILINA + CLAVULANATO DE POTASSIO 50+12,5 MG/ML PO PARA SUSPENSAO ORAL</t>
  </si>
  <si>
    <t>EMS</t>
  </si>
  <si>
    <t>AMOXILINA + CLAVULANATO DE POTASSIO 500+125 MG COMPRIMIDO</t>
  </si>
  <si>
    <t>AZITROMICINA 40 MG/ML (600 MG) PO PARA SUSPENSAO ORAL</t>
  </si>
  <si>
    <t>Pharlab</t>
  </si>
  <si>
    <t>DEXCLORFENIRAMINA MALEATO 2MG</t>
  </si>
  <si>
    <t>CP</t>
  </si>
  <si>
    <t>DOXAZOSINA MESILATO 4MG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</si>
</sst>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&quot;R$&quot;\ * #,##0.000_-;\-&quot;R$&quot;\ * #,##0.0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5">
    <xf numFmtId="0" fontId="0" fillId="0" borderId="0" xfId="0"/>
    <xf numFmtId="44" fontId="0" fillId="0" borderId="1" xfId="1" applyFont="1" applyBorder="1" applyAlignment="1">
      <alignment horizontal="center" vertical="center"/>
    </xf>
    <xf numFmtId="44" fontId="0" fillId="0" borderId="3" xfId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4" fontId="3" fillId="0" borderId="1" xfId="0" applyNumberFormat="1" applyFont="1" applyBorder="1" applyAlignment="1">
      <alignment horizontal="center" vertical="center"/>
    </xf>
    <xf numFmtId="44" fontId="3" fillId="0" borderId="3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44" fontId="3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0" fillId="0" borderId="5" xfId="1" applyNumberFormat="1" applyFont="1" applyBorder="1" applyAlignment="1">
      <alignment horizontal="center" vertical="center"/>
    </xf>
    <xf numFmtId="44" fontId="0" fillId="2" borderId="5" xfId="1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 wrapText="1"/>
    </xf>
    <xf numFmtId="44" fontId="0" fillId="0" borderId="5" xfId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164" fontId="1" fillId="0" borderId="1" xfId="1" applyNumberFormat="1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44" fontId="1" fillId="0" borderId="2" xfId="1" applyFont="1" applyBorder="1" applyAlignment="1">
      <alignment horizontal="center" vertical="center"/>
    </xf>
    <xf numFmtId="44" fontId="1" fillId="2" borderId="1" xfId="1" applyFont="1" applyFill="1" applyBorder="1" applyAlignment="1">
      <alignment horizontal="center" vertical="center"/>
    </xf>
    <xf numFmtId="0" fontId="1" fillId="0" borderId="1" xfId="1" applyNumberFormat="1" applyFont="1" applyBorder="1" applyAlignment="1">
      <alignment horizontal="center" vertical="center"/>
    </xf>
    <xf numFmtId="44" fontId="1" fillId="0" borderId="1" xfId="1" applyFon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R$&quot;\ * #,##0.00_-;\-&quot;R$&quot;\ * #,##0.00_-;_-&quot;R$&quot;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 tint="0.39994506668294322"/>
        </patternFill>
      </fill>
    </dxf>
    <dxf>
      <font>
        <color theme="0"/>
      </font>
      <fill>
        <patternFill>
          <bgColor rgb="FF7030A0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13" Type="http://schemas.microsoft.com/office/2017/10/relationships/person" Target="persons/person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12" Type="http://schemas.microsoft.com/office/2017/10/relationships/person" Target="persons/pers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10/relationships/person" Target="persons/person1.xml"/><Relationship Id="rId5" Type="http://schemas.openxmlformats.org/officeDocument/2006/relationships/styles" Target="styles.xml"/><Relationship Id="rId10" Type="http://schemas.microsoft.com/office/2017/10/relationships/person" Target="persons/person0.xml"/><Relationship Id="rId4" Type="http://schemas.openxmlformats.org/officeDocument/2006/relationships/theme" Target="theme/theme1.xml"/><Relationship Id="rId9" Type="http://schemas.microsoft.com/office/2017/10/relationships/person" Target="persons/person3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PythonProjects\learning-python-selenium\data_for_testing\Controle_Operacao_PE_112024_Campina-Verde.xlsm" TargetMode="External"/><Relationship Id="rId1" Type="http://schemas.openxmlformats.org/officeDocument/2006/relationships/externalLinkPath" Target="Controle_Operacao_PE_112024_Campina-Ver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incipal"/>
      <sheetName val="DadosProposta"/>
      <sheetName val="DadosModelo"/>
    </sheetNames>
    <sheetDataSet>
      <sheetData sheetId="0"/>
      <sheetData sheetId="1" refreshError="1"/>
      <sheetData sheetId="2">
        <row r="1">
          <cell r="A1" t="str">
            <v>LOTE</v>
          </cell>
          <cell r="B1" t="str">
            <v>DESCRIÇÃO DO ITEM</v>
          </cell>
          <cell r="C1" t="str">
            <v>QUANTIDADE DO ITEM</v>
          </cell>
        </row>
        <row r="2">
          <cell r="A2">
            <v>1</v>
          </cell>
          <cell r="B2" t="str">
            <v>ACETATO DE DEXAMETASONA CREME 1MG//G TUBO 10 G</v>
          </cell>
          <cell r="C2">
            <v>700</v>
          </cell>
        </row>
        <row r="3">
          <cell r="A3">
            <v>2</v>
          </cell>
          <cell r="B3" t="str">
            <v>ACETATO DE MEDROXIPROGESTERONA SUSPENSAO INJETAVEL 150 MG/ML</v>
          </cell>
          <cell r="C3">
            <v>100</v>
          </cell>
        </row>
        <row r="4">
          <cell r="A4">
            <v>3</v>
          </cell>
          <cell r="B4" t="str">
            <v>ACIDO ACETILSALICILICO 100 MG COMPRIMIDO</v>
          </cell>
          <cell r="C4">
            <v>62000</v>
          </cell>
        </row>
        <row r="5">
          <cell r="A5">
            <v>4</v>
          </cell>
          <cell r="B5" t="str">
            <v>ACIDO FOLICO 5MG</v>
          </cell>
          <cell r="C5">
            <v>10000</v>
          </cell>
        </row>
        <row r="6">
          <cell r="A6">
            <v>5</v>
          </cell>
          <cell r="B6" t="str">
            <v>ACIDO VALPROICO 250MG</v>
          </cell>
          <cell r="C6">
            <v>30000</v>
          </cell>
        </row>
        <row r="7">
          <cell r="A7">
            <v>6</v>
          </cell>
          <cell r="B7" t="str">
            <v>ACIDO VALPROICO 500 MG</v>
          </cell>
          <cell r="C7">
            <v>2800</v>
          </cell>
        </row>
        <row r="8">
          <cell r="A8">
            <v>7</v>
          </cell>
          <cell r="B8" t="str">
            <v>ALBENDAZOL 40 MG/ML SUSPENSAO ORAL   - FRASCO COM 10 ML  - FRASCO COM 10 ML</v>
          </cell>
          <cell r="C8">
            <v>250</v>
          </cell>
        </row>
        <row r="9">
          <cell r="A9">
            <v>8</v>
          </cell>
          <cell r="B9" t="str">
            <v>ALBENDAZOL 400 MG COMPRIMIDO MASTIGAVEL</v>
          </cell>
          <cell r="C9">
            <v>500</v>
          </cell>
        </row>
        <row r="10">
          <cell r="A10">
            <v>9</v>
          </cell>
          <cell r="B10" t="str">
            <v>ALENDRONATO SODIO 70 MG COMPRIMIDO</v>
          </cell>
          <cell r="C10">
            <v>5000</v>
          </cell>
        </row>
        <row r="11">
          <cell r="A11">
            <v>10</v>
          </cell>
          <cell r="B11" t="str">
            <v>ALOPURINOL 100 MG</v>
          </cell>
          <cell r="C11">
            <v>18000</v>
          </cell>
        </row>
        <row r="12">
          <cell r="A12">
            <v>11</v>
          </cell>
          <cell r="B12" t="str">
            <v>ALOPURINOL 300 MG COMPRIMIDO</v>
          </cell>
          <cell r="C12">
            <v>18000</v>
          </cell>
        </row>
        <row r="13">
          <cell r="A13">
            <v>12</v>
          </cell>
          <cell r="B13" t="str">
            <v>AMOXICILINA 250MG/5ML SUSPENSAO ORAL 150ML</v>
          </cell>
          <cell r="C13">
            <v>500</v>
          </cell>
        </row>
        <row r="14">
          <cell r="A14">
            <v>13</v>
          </cell>
          <cell r="B14" t="str">
            <v>AMOXILINA + CLAVULANATO DE POTASSIO 50+12,5 MG/ML PO PARA SUSPENSAO ORAL</v>
          </cell>
          <cell r="C14">
            <v>150</v>
          </cell>
        </row>
        <row r="15">
          <cell r="A15">
            <v>14</v>
          </cell>
          <cell r="B15" t="str">
            <v>AMOXILINA + CLAVULANATO DE POTASSIO 500+125 MG COMPRIMIDO</v>
          </cell>
          <cell r="C15">
            <v>15000</v>
          </cell>
        </row>
        <row r="16">
          <cell r="A16">
            <v>15</v>
          </cell>
          <cell r="B16" t="str">
            <v>AMOXILINA 500MG CAPSULA</v>
          </cell>
          <cell r="C16">
            <v>20000</v>
          </cell>
        </row>
        <row r="17">
          <cell r="A17">
            <v>16</v>
          </cell>
          <cell r="B17" t="str">
            <v>ANLODIPINO BESILATO 10 MG COMPRIMIDO</v>
          </cell>
          <cell r="C17">
            <v>22000</v>
          </cell>
        </row>
        <row r="18">
          <cell r="A18">
            <v>17</v>
          </cell>
          <cell r="B18" t="str">
            <v>ATENOLOL 50MG</v>
          </cell>
          <cell r="C18">
            <v>50000</v>
          </cell>
        </row>
        <row r="19">
          <cell r="A19">
            <v>18</v>
          </cell>
          <cell r="B19" t="str">
            <v>AZITROMICINA 40 MG/ML (600 MG) PO PARA SUSPENSAO ORAL</v>
          </cell>
          <cell r="C19">
            <v>300</v>
          </cell>
        </row>
        <row r="20">
          <cell r="A20">
            <v>19</v>
          </cell>
          <cell r="B20" t="str">
            <v>AZITROMICINA DI-HIDRATADA 500MG</v>
          </cell>
          <cell r="C20">
            <v>8000</v>
          </cell>
        </row>
        <row r="21">
          <cell r="A21">
            <v>20</v>
          </cell>
          <cell r="B21" t="str">
            <v>BENZOILMETRONIDAZOL 40MG/ML SUSPENSAO ORAL</v>
          </cell>
          <cell r="C21">
            <v>100</v>
          </cell>
        </row>
        <row r="22">
          <cell r="A22">
            <v>21</v>
          </cell>
          <cell r="B22" t="str">
            <v>BESILATO DE ANLODIPINO  5MG</v>
          </cell>
          <cell r="C22">
            <v>100000</v>
          </cell>
        </row>
        <row r="23">
          <cell r="A23">
            <v>22</v>
          </cell>
          <cell r="B23" t="str">
            <v>CAPTOPRIL 25 MG COMPRIMIDO</v>
          </cell>
          <cell r="C23">
            <v>20000</v>
          </cell>
        </row>
        <row r="24">
          <cell r="A24">
            <v>23</v>
          </cell>
          <cell r="B24" t="str">
            <v>CARBAMAZEPINA 20 MG/ML SUSPENSAO ORAL</v>
          </cell>
          <cell r="C24">
            <v>180</v>
          </cell>
        </row>
        <row r="25">
          <cell r="A25">
            <v>24</v>
          </cell>
          <cell r="B25" t="str">
            <v>CARBAMAZEPINA 200 MG</v>
          </cell>
          <cell r="C25">
            <v>62000</v>
          </cell>
        </row>
        <row r="26">
          <cell r="A26">
            <v>25</v>
          </cell>
          <cell r="B26" t="str">
            <v>CARBAMAZEPINA 400 MG COMPRIMIDO</v>
          </cell>
          <cell r="C26">
            <v>1500</v>
          </cell>
        </row>
        <row r="27">
          <cell r="A27">
            <v>26</v>
          </cell>
          <cell r="B27" t="str">
            <v>CARBONATO DE CALCIO 500MG</v>
          </cell>
          <cell r="C27">
            <v>50000</v>
          </cell>
        </row>
        <row r="28">
          <cell r="A28">
            <v>27</v>
          </cell>
          <cell r="B28" t="str">
            <v>CARBONATO DE LITIO 300MG</v>
          </cell>
          <cell r="C28">
            <v>25000</v>
          </cell>
        </row>
        <row r="29">
          <cell r="A29">
            <v>28</v>
          </cell>
          <cell r="B29" t="str">
            <v>CARVEDILOL 12,5 MG COMPRIMIDO</v>
          </cell>
          <cell r="C29">
            <v>42000</v>
          </cell>
        </row>
        <row r="30">
          <cell r="A30">
            <v>29</v>
          </cell>
          <cell r="B30" t="str">
            <v>CARVEDILOL 25 MG COMPRIMIDO</v>
          </cell>
          <cell r="C30">
            <v>20000</v>
          </cell>
        </row>
        <row r="31">
          <cell r="A31">
            <v>30</v>
          </cell>
          <cell r="B31" t="str">
            <v>CARVEDILOL 3,125 MG COMPRIMIDO</v>
          </cell>
          <cell r="C31">
            <v>44000</v>
          </cell>
        </row>
        <row r="32">
          <cell r="A32">
            <v>31</v>
          </cell>
          <cell r="B32" t="str">
            <v>CARVEDILOL 6,25 MG COMPRIMIDO</v>
          </cell>
          <cell r="C32">
            <v>20000</v>
          </cell>
        </row>
        <row r="33">
          <cell r="A33">
            <v>32</v>
          </cell>
          <cell r="B33" t="str">
            <v>CEFALEXINA 500 MG COMPRIMIDO</v>
          </cell>
          <cell r="C33">
            <v>18000</v>
          </cell>
        </row>
        <row r="34">
          <cell r="A34">
            <v>33</v>
          </cell>
          <cell r="B34" t="str">
            <v>CEFALEXINA SUSPENSAO ORAL 250MG/5ML 100ML</v>
          </cell>
          <cell r="C34">
            <v>100</v>
          </cell>
        </row>
        <row r="35">
          <cell r="A35">
            <v>34</v>
          </cell>
          <cell r="B35" t="str">
            <v>CETOCONAZOL 20MG/ML SHAMPOO</v>
          </cell>
          <cell r="C35">
            <v>50</v>
          </cell>
        </row>
        <row r="36">
          <cell r="A36">
            <v>35</v>
          </cell>
          <cell r="B36" t="str">
            <v>CICLO 21 LEVONORGESTREL 0,15MG + ETINILESTRADIOL 0,03MG</v>
          </cell>
          <cell r="C36">
            <v>16000</v>
          </cell>
        </row>
        <row r="37">
          <cell r="A37">
            <v>36</v>
          </cell>
          <cell r="B37" t="str">
            <v>CIPROFLOXACINO CLORIDRATO 500 MG COMPRIMIDO</v>
          </cell>
          <cell r="C37">
            <v>16000</v>
          </cell>
        </row>
        <row r="38">
          <cell r="A38">
            <v>37</v>
          </cell>
          <cell r="B38" t="str">
            <v>CLARITROMICINA 500MG COMPRIMIDO</v>
          </cell>
          <cell r="C38">
            <v>800</v>
          </cell>
        </row>
        <row r="39">
          <cell r="A39">
            <v>38</v>
          </cell>
          <cell r="B39" t="str">
            <v>DIPROPIONATO DE BECLOMETASONA 200MCG SPRAY 200 DOSES 10ML</v>
          </cell>
          <cell r="C39">
            <v>150</v>
          </cell>
        </row>
        <row r="40">
          <cell r="A40">
            <v>39</v>
          </cell>
          <cell r="B40" t="str">
            <v>DIPROPIONATO DE BECLOMETASONA 50MCG SPRAY 200 DOSES 10ML</v>
          </cell>
          <cell r="C40">
            <v>100</v>
          </cell>
        </row>
        <row r="41">
          <cell r="A41">
            <v>40</v>
          </cell>
          <cell r="B41" t="str">
            <v>DIPROPIONATO DE BECLOMETASONA 250 MCG/DOSE SOL AER CT TB AL + DISPOSITIVO ORAL X 200 DOSES</v>
          </cell>
          <cell r="C41">
            <v>400</v>
          </cell>
        </row>
        <row r="42">
          <cell r="A42">
            <v>41</v>
          </cell>
          <cell r="B42" t="str">
            <v>CLONAZEPAM 2,5MG/ML</v>
          </cell>
          <cell r="C42">
            <v>800</v>
          </cell>
        </row>
        <row r="43">
          <cell r="A43">
            <v>42</v>
          </cell>
          <cell r="B43" t="str">
            <v>CLORETO DE SODIO 9 MG/ML SOLUCAO NASAL (NASOJET)</v>
          </cell>
          <cell r="C43">
            <v>150</v>
          </cell>
        </row>
        <row r="44">
          <cell r="A44">
            <v>43</v>
          </cell>
          <cell r="B44" t="str">
            <v>CLORIDRATO DE AMIODARONA 200MG</v>
          </cell>
          <cell r="C44">
            <v>28000</v>
          </cell>
        </row>
        <row r="45">
          <cell r="A45">
            <v>44</v>
          </cell>
          <cell r="B45" t="str">
            <v>CLORIDRATO DE AMITRIPTILINA 25 MG CAIXA COM 30</v>
          </cell>
          <cell r="C45">
            <v>3000</v>
          </cell>
        </row>
        <row r="46">
          <cell r="A46">
            <v>45</v>
          </cell>
          <cell r="B46" t="str">
            <v>CLORIDRATO DE BIPERIDENO 2MG</v>
          </cell>
          <cell r="C46">
            <v>30000</v>
          </cell>
        </row>
        <row r="47">
          <cell r="A47">
            <v>46</v>
          </cell>
          <cell r="B47" t="str">
            <v>CLORIDRATO DE CLOMIPRAMINA 25 MG</v>
          </cell>
          <cell r="C47">
            <v>8000</v>
          </cell>
        </row>
        <row r="48">
          <cell r="A48">
            <v>47</v>
          </cell>
          <cell r="B48" t="str">
            <v>CLORIDRATO DE CLORPROMAZINA 100MG</v>
          </cell>
          <cell r="C48">
            <v>2600</v>
          </cell>
        </row>
        <row r="49">
          <cell r="A49">
            <v>48</v>
          </cell>
          <cell r="B49" t="str">
            <v>CLORIDRATO DE CLORPROMAZINA 25MG</v>
          </cell>
          <cell r="C49">
            <v>2000</v>
          </cell>
        </row>
        <row r="50">
          <cell r="A50">
            <v>49</v>
          </cell>
          <cell r="B50" t="str">
            <v>CLORIDRATO DE CLORPROMAZINA 40MG/ML SOL OR CT FR VD GOTAS X 20ML 4%</v>
          </cell>
          <cell r="C50">
            <v>50</v>
          </cell>
        </row>
        <row r="51">
          <cell r="A51">
            <v>50</v>
          </cell>
          <cell r="B51" t="str">
            <v>CLORIDRATO DE HIDRALAZINA 25MG</v>
          </cell>
          <cell r="C51">
            <v>10000</v>
          </cell>
        </row>
        <row r="52">
          <cell r="A52">
            <v>51</v>
          </cell>
          <cell r="B52" t="str">
            <v>CLORIDRATO DE IMIPRAMINA 25 MG</v>
          </cell>
          <cell r="C52">
            <v>1000</v>
          </cell>
        </row>
        <row r="53">
          <cell r="A53">
            <v>52</v>
          </cell>
          <cell r="B53" t="str">
            <v>CLORIDRATO DE PROPRANOLOL 40MG</v>
          </cell>
          <cell r="C53">
            <v>1334</v>
          </cell>
        </row>
        <row r="54">
          <cell r="A54">
            <v>53</v>
          </cell>
          <cell r="B54" t="str">
            <v>CLORIDRATO DE VERAPAMIL 80MG</v>
          </cell>
          <cell r="C54">
            <v>1000</v>
          </cell>
        </row>
        <row r="55">
          <cell r="A55">
            <v>54</v>
          </cell>
          <cell r="B55" t="str">
            <v>DEXAMETASONA 1 MG/ML (0,1%) SUSPENSAO OFTALMICA</v>
          </cell>
          <cell r="C55">
            <v>50</v>
          </cell>
        </row>
        <row r="56">
          <cell r="A56">
            <v>55</v>
          </cell>
          <cell r="B56" t="str">
            <v>DEXCLORFENIRAMINA MALEATO 0,4 MG/ML SOLUCAO ORAL</v>
          </cell>
          <cell r="C56">
            <v>900</v>
          </cell>
        </row>
        <row r="57">
          <cell r="A57">
            <v>56</v>
          </cell>
          <cell r="B57" t="str">
            <v>DEXCLORFENIRAMINA MALEATO 2MG</v>
          </cell>
          <cell r="C57">
            <v>10000</v>
          </cell>
        </row>
        <row r="58">
          <cell r="A58">
            <v>57</v>
          </cell>
          <cell r="B58" t="str">
            <v>DIAZEPAM 10 MG</v>
          </cell>
          <cell r="C58">
            <v>35000</v>
          </cell>
        </row>
        <row r="59">
          <cell r="A59">
            <v>58</v>
          </cell>
          <cell r="B59" t="str">
            <v>DIAZEPAM 5 MG</v>
          </cell>
          <cell r="C59">
            <v>1000</v>
          </cell>
        </row>
        <row r="60">
          <cell r="A60">
            <v>59</v>
          </cell>
          <cell r="B60" t="str">
            <v>DIGOXINA 0,25 MG</v>
          </cell>
          <cell r="C60">
            <v>6000</v>
          </cell>
        </row>
        <row r="61">
          <cell r="A61">
            <v>60</v>
          </cell>
          <cell r="B61" t="str">
            <v>DINITRATO DE ISOSSORBIDA 5MG SUBLINGUAL</v>
          </cell>
          <cell r="C61">
            <v>500</v>
          </cell>
        </row>
        <row r="62">
          <cell r="A62">
            <v>61</v>
          </cell>
          <cell r="B62" t="str">
            <v>DIPIRONA SODICA 500 MG COMPRIMIDO</v>
          </cell>
          <cell r="C62">
            <v>70000</v>
          </cell>
        </row>
        <row r="63">
          <cell r="A63">
            <v>62</v>
          </cell>
          <cell r="B63" t="str">
            <v>DIPIRONA SODICA 500MG/ML FRASCO 20ML</v>
          </cell>
          <cell r="C63">
            <v>600</v>
          </cell>
        </row>
        <row r="64">
          <cell r="A64">
            <v>63</v>
          </cell>
          <cell r="B64" t="str">
            <v>DOXAZOSINA 2MG</v>
          </cell>
          <cell r="C64">
            <v>12000</v>
          </cell>
        </row>
        <row r="65">
          <cell r="A65">
            <v>64</v>
          </cell>
          <cell r="B65" t="str">
            <v>DOXAZOSINA MESILATO 4MG</v>
          </cell>
          <cell r="C65">
            <v>8000</v>
          </cell>
        </row>
        <row r="66">
          <cell r="A66">
            <v>65</v>
          </cell>
          <cell r="B66" t="str">
            <v>ENALAPRIL MALEATO 10 MG COMPRIMIDO</v>
          </cell>
          <cell r="C66">
            <v>45000</v>
          </cell>
        </row>
        <row r="67">
          <cell r="A67">
            <v>66</v>
          </cell>
          <cell r="B67" t="str">
            <v>ENALAPRIL MALEATO 20 MG</v>
          </cell>
          <cell r="C67">
            <v>45000</v>
          </cell>
        </row>
        <row r="68">
          <cell r="A68">
            <v>67</v>
          </cell>
          <cell r="B68" t="str">
            <v>ENALAPRIL MALEATO 5 MG COMPRIMIDO</v>
          </cell>
          <cell r="C68">
            <v>4000</v>
          </cell>
        </row>
        <row r="69">
          <cell r="A69">
            <v>68</v>
          </cell>
          <cell r="B69" t="str">
            <v>ESPIRONOCTONA 25 MG</v>
          </cell>
          <cell r="C69">
            <v>50000</v>
          </cell>
        </row>
        <row r="70">
          <cell r="A70">
            <v>69</v>
          </cell>
          <cell r="B70" t="str">
            <v>ESTRIOL 1MG/G CREME VAGINAL</v>
          </cell>
          <cell r="C70">
            <v>50</v>
          </cell>
        </row>
        <row r="71">
          <cell r="A71">
            <v>70</v>
          </cell>
          <cell r="B71" t="str">
            <v>FENITOINA SODICA 100 MG COMPRIMIDO</v>
          </cell>
          <cell r="C71">
            <v>20000</v>
          </cell>
        </row>
        <row r="72">
          <cell r="A72">
            <v>71</v>
          </cell>
          <cell r="B72" t="str">
            <v>FENOBARBITAL 100MG</v>
          </cell>
          <cell r="C72">
            <v>20000</v>
          </cell>
        </row>
        <row r="73">
          <cell r="A73">
            <v>72</v>
          </cell>
          <cell r="B73" t="str">
            <v>FENOBARBITAL SODICO 40 MG/ML SOLUCAO ORAL</v>
          </cell>
          <cell r="C73">
            <v>60</v>
          </cell>
        </row>
        <row r="74">
          <cell r="A74">
            <v>73</v>
          </cell>
          <cell r="B74" t="str">
            <v>FLUCONAZOL 150 MG - CAPSULA</v>
          </cell>
          <cell r="C74">
            <v>4000</v>
          </cell>
        </row>
        <row r="75">
          <cell r="A75">
            <v>74</v>
          </cell>
          <cell r="B75" t="str">
            <v>FLUOXETINA CLORIDRATO 20 MG CAPSULA</v>
          </cell>
          <cell r="C75">
            <v>100000</v>
          </cell>
        </row>
        <row r="76">
          <cell r="A76">
            <v>75</v>
          </cell>
          <cell r="B76" t="str">
            <v>FOSFATO DE SODIO DE PREDNISOLONA 3MG/ML XAROPE</v>
          </cell>
          <cell r="C76">
            <v>1000</v>
          </cell>
        </row>
        <row r="77">
          <cell r="A77">
            <v>76</v>
          </cell>
          <cell r="B77" t="str">
            <v>FOSFATO SODICO PREDNISOLONA 1MG/ML</v>
          </cell>
          <cell r="C77">
            <v>50</v>
          </cell>
        </row>
        <row r="78">
          <cell r="A78">
            <v>77</v>
          </cell>
          <cell r="B78" t="str">
            <v>FUROSEMIDA 40 MG COMPRIMIDO</v>
          </cell>
          <cell r="C78">
            <v>20000</v>
          </cell>
        </row>
        <row r="79">
          <cell r="A79">
            <v>78</v>
          </cell>
          <cell r="B79" t="str">
            <v>GLIBENCLAMIDA 5 MG COMPRIMIDO</v>
          </cell>
          <cell r="C79">
            <v>25000</v>
          </cell>
        </row>
        <row r="80">
          <cell r="A80">
            <v>79</v>
          </cell>
          <cell r="B80" t="str">
            <v>GLICLAZIDA 30 MG</v>
          </cell>
          <cell r="C80">
            <v>3000</v>
          </cell>
        </row>
        <row r="81">
          <cell r="A81">
            <v>80</v>
          </cell>
          <cell r="B81" t="str">
            <v>GLICLAZIDA 60MG COMPRIMIDO DE LIBERACAO PROLONGADA</v>
          </cell>
          <cell r="C81">
            <v>40000</v>
          </cell>
        </row>
        <row r="82">
          <cell r="A82">
            <v>81</v>
          </cell>
          <cell r="B82" t="str">
            <v>GLICOSIMETROS (MEDIDOR DE GLICOSE)</v>
          </cell>
          <cell r="C82">
            <v>7</v>
          </cell>
        </row>
        <row r="83">
          <cell r="A83">
            <v>82</v>
          </cell>
          <cell r="B83" t="str">
            <v>HALO DECANOATO 70,52 MG/ML (HALOPERIDOL) AMPOLA 1 ML</v>
          </cell>
          <cell r="C83">
            <v>40</v>
          </cell>
        </row>
        <row r="84">
          <cell r="A84">
            <v>83</v>
          </cell>
          <cell r="B84" t="str">
            <v>HALOPERIDOL 1MG</v>
          </cell>
          <cell r="C84">
            <v>2000</v>
          </cell>
        </row>
        <row r="85">
          <cell r="A85">
            <v>84</v>
          </cell>
          <cell r="B85" t="str">
            <v>HALOPERIDOL 2 MG/ML SOLUCAO ORAL</v>
          </cell>
          <cell r="C85">
            <v>150</v>
          </cell>
        </row>
        <row r="86">
          <cell r="A86">
            <v>85</v>
          </cell>
          <cell r="B86" t="str">
            <v>HALOPERIDOL 5 MG COMPRIMIDO</v>
          </cell>
          <cell r="C86">
            <v>10000</v>
          </cell>
        </row>
        <row r="87">
          <cell r="A87">
            <v>86</v>
          </cell>
          <cell r="B87" t="str">
            <v>HIDROCLOROTIAZIDA 25 MG COMPRIMIDO</v>
          </cell>
          <cell r="C87">
            <v>125000</v>
          </cell>
        </row>
        <row r="88">
          <cell r="A88">
            <v>87</v>
          </cell>
          <cell r="B88" t="str">
            <v>HIDROCORTISONA ACETATO 10MG/G CREME DERMATOLOGICO</v>
          </cell>
          <cell r="C88">
            <v>100</v>
          </cell>
        </row>
        <row r="89">
          <cell r="A89">
            <v>88</v>
          </cell>
          <cell r="B89" t="str">
            <v>IBUPROFENO 50MG/ML</v>
          </cell>
          <cell r="C89">
            <v>400</v>
          </cell>
        </row>
        <row r="90">
          <cell r="A90">
            <v>89</v>
          </cell>
          <cell r="B90" t="str">
            <v>IBUPROFENO 600 MG COMPRIMIDO</v>
          </cell>
          <cell r="C90">
            <v>70000</v>
          </cell>
        </row>
        <row r="91">
          <cell r="A91">
            <v>90</v>
          </cell>
          <cell r="B91" t="str">
            <v>ISOSSORBIDA MONONITRATO 20 MG COMPRIMIDO</v>
          </cell>
          <cell r="C91">
            <v>13000</v>
          </cell>
        </row>
        <row r="92">
          <cell r="A92">
            <v>91</v>
          </cell>
          <cell r="B92" t="str">
            <v>ISOSSORBIDA MONONITRATO 40 MG</v>
          </cell>
          <cell r="C92">
            <v>8000</v>
          </cell>
        </row>
        <row r="93">
          <cell r="A93">
            <v>92</v>
          </cell>
          <cell r="B93" t="str">
            <v>ITRACONAZOL 100MG</v>
          </cell>
          <cell r="C93">
            <v>600</v>
          </cell>
        </row>
        <row r="94">
          <cell r="A94">
            <v>93</v>
          </cell>
          <cell r="B94" t="str">
            <v>IVERMECTINA 6MG</v>
          </cell>
          <cell r="C94">
            <v>600</v>
          </cell>
        </row>
        <row r="95">
          <cell r="A95">
            <v>94</v>
          </cell>
          <cell r="B95" t="str">
            <v>LANCETA PARA PUNCAO - LANCETA PARA LANCETADOR</v>
          </cell>
          <cell r="C95">
            <v>40000</v>
          </cell>
        </row>
        <row r="96">
          <cell r="A96">
            <v>95</v>
          </cell>
          <cell r="B96" t="str">
            <v>LEVODOPA + CARBIDOPA 250 + 25 MG COMPRIMIDO</v>
          </cell>
          <cell r="C96">
            <v>200</v>
          </cell>
        </row>
        <row r="97">
          <cell r="A97">
            <v>96</v>
          </cell>
          <cell r="B97" t="str">
            <v>LEVOTIROXINA SODICA 100 MCG</v>
          </cell>
          <cell r="C97">
            <v>10000</v>
          </cell>
        </row>
        <row r="98">
          <cell r="A98">
            <v>97</v>
          </cell>
          <cell r="B98" t="str">
            <v>LEVOTIROXINA SODICA 25 MCG COMPRIMIDO</v>
          </cell>
          <cell r="C98">
            <v>70000</v>
          </cell>
        </row>
        <row r="99">
          <cell r="A99">
            <v>98</v>
          </cell>
          <cell r="B99" t="str">
            <v>LEVOTIROXINA SODICA 50 MCG COMPRIMIDO</v>
          </cell>
          <cell r="C99">
            <v>70000</v>
          </cell>
        </row>
        <row r="100">
          <cell r="A100">
            <v>99</v>
          </cell>
          <cell r="B100" t="str">
            <v>LORATADINA 1 MG/ML XAROPE</v>
          </cell>
          <cell r="C100">
            <v>900</v>
          </cell>
        </row>
        <row r="101">
          <cell r="A101">
            <v>100</v>
          </cell>
          <cell r="B101" t="str">
            <v>LORATADINA 10MG</v>
          </cell>
          <cell r="C101">
            <v>10000</v>
          </cell>
        </row>
        <row r="102">
          <cell r="A102">
            <v>101</v>
          </cell>
          <cell r="B102" t="str">
            <v>LOSARTANA POTASSICA 50MG</v>
          </cell>
          <cell r="C102">
            <v>280000</v>
          </cell>
        </row>
        <row r="103">
          <cell r="A103">
            <v>102</v>
          </cell>
          <cell r="B103" t="str">
            <v>MALEATO DE TIMOLOL 5MG/ML 0,5%</v>
          </cell>
          <cell r="C103">
            <v>100</v>
          </cell>
        </row>
        <row r="104">
          <cell r="A104">
            <v>103</v>
          </cell>
          <cell r="B104" t="str">
            <v>METFORMINA CLORIDRATO  850 MG COMPRIMIDO</v>
          </cell>
          <cell r="C104">
            <v>100000</v>
          </cell>
        </row>
        <row r="105">
          <cell r="A105">
            <v>104</v>
          </cell>
          <cell r="B105" t="str">
            <v>METFORMINA CLORIDRATO 500 MG COMPRIMIDO</v>
          </cell>
          <cell r="C105">
            <v>70000</v>
          </cell>
        </row>
        <row r="106">
          <cell r="A106">
            <v>105</v>
          </cell>
          <cell r="B106" t="str">
            <v>METILDOPA 250 MG COMPRIMIDO</v>
          </cell>
          <cell r="C106">
            <v>35000</v>
          </cell>
        </row>
        <row r="107">
          <cell r="A107">
            <v>106</v>
          </cell>
          <cell r="B107" t="str">
            <v>METOCLOPRAMIDA CLORIDRATO 10 MG COMPRIMIDO</v>
          </cell>
          <cell r="C107">
            <v>3000</v>
          </cell>
        </row>
        <row r="108">
          <cell r="A108">
            <v>107</v>
          </cell>
          <cell r="B108" t="str">
            <v>METOCLOPRAMIDA CLORIDRATO 4 MG/ML SOLUCAO ORAL</v>
          </cell>
          <cell r="C108">
            <v>60</v>
          </cell>
        </row>
        <row r="109">
          <cell r="A109">
            <v>108</v>
          </cell>
          <cell r="B109" t="str">
            <v>METOPROLOL SUCCINATO 100 MCG COMPRIMIDO REVESTIDO DE LIBERACAO CONTROLADA</v>
          </cell>
          <cell r="C109">
            <v>10000</v>
          </cell>
        </row>
        <row r="110">
          <cell r="A110">
            <v>109</v>
          </cell>
          <cell r="B110" t="str">
            <v>METOPROLOL SUCCINATO 25 MG COMPRIMIDO REVESTIDO DE LIBERACAO CONTROLADA</v>
          </cell>
          <cell r="C110">
            <v>25000</v>
          </cell>
        </row>
        <row r="111">
          <cell r="A111">
            <v>110</v>
          </cell>
          <cell r="B111" t="str">
            <v>METOPROLOL SUCCINATO 50 MG COMPRIMIDO REVESTIDO DE LIBERACAO CONTROLADA</v>
          </cell>
          <cell r="C111">
            <v>40000</v>
          </cell>
        </row>
        <row r="112">
          <cell r="A112">
            <v>111</v>
          </cell>
          <cell r="B112" t="str">
            <v>METRONIDAZOL 250 MG COMPRIMIDO</v>
          </cell>
          <cell r="C112">
            <v>10000</v>
          </cell>
        </row>
        <row r="113">
          <cell r="A113">
            <v>112</v>
          </cell>
          <cell r="B113" t="str">
            <v>METRONIDAZOL 400 MG</v>
          </cell>
          <cell r="C113">
            <v>600</v>
          </cell>
        </row>
        <row r="114">
          <cell r="A114">
            <v>113</v>
          </cell>
          <cell r="B114" t="str">
            <v>MICONAZOL NITRATO 20 MG/G CREME VAGINAL</v>
          </cell>
          <cell r="C114">
            <v>500</v>
          </cell>
        </row>
        <row r="115">
          <cell r="A115">
            <v>114</v>
          </cell>
          <cell r="B115" t="str">
            <v>NITRATO DE MICONAZOL 20 MG CREME DERMATOLOGICO - EMBALAGEM 28 GRAMAS</v>
          </cell>
          <cell r="C115">
            <v>300</v>
          </cell>
        </row>
        <row r="116">
          <cell r="A116">
            <v>115</v>
          </cell>
          <cell r="B116" t="str">
            <v>NITROFURANTOINA 100 MG CAPSULA</v>
          </cell>
          <cell r="C116">
            <v>1000</v>
          </cell>
        </row>
        <row r="117">
          <cell r="A117">
            <v>116</v>
          </cell>
          <cell r="B117" t="str">
            <v>ENANTATO DE NORETISTERONA + VALERATO DE ESTRADIOL 50 + 5 MG/ML SOLUÇÃO INJETÁVEL C/ 1 AMPOLA 1 ML</v>
          </cell>
          <cell r="C117">
            <v>600</v>
          </cell>
        </row>
        <row r="118">
          <cell r="A118">
            <v>117</v>
          </cell>
          <cell r="B118" t="str">
            <v>NORTRIPTILINA CLORIDRATO 25 MG</v>
          </cell>
          <cell r="C118">
            <v>3000</v>
          </cell>
        </row>
        <row r="119">
          <cell r="A119">
            <v>118</v>
          </cell>
          <cell r="B119" t="str">
            <v>NORTRIPTILINA CLORIDRATO 50 MG CAPSULA</v>
          </cell>
          <cell r="C119">
            <v>10000</v>
          </cell>
        </row>
        <row r="120">
          <cell r="A120">
            <v>119</v>
          </cell>
          <cell r="B120" t="str">
            <v>OMEPRAZOL 20MG</v>
          </cell>
          <cell r="C120">
            <v>90000</v>
          </cell>
        </row>
        <row r="121">
          <cell r="A121">
            <v>120</v>
          </cell>
          <cell r="B121" t="str">
            <v>PARACETAMOL 200 MG/ML SOLUCAO ORAL</v>
          </cell>
          <cell r="C121">
            <v>200</v>
          </cell>
        </row>
        <row r="122">
          <cell r="A122">
            <v>121</v>
          </cell>
          <cell r="B122" t="str">
            <v>PARACETAMOL 500 MG COMPRIMIDO</v>
          </cell>
          <cell r="C122">
            <v>20000</v>
          </cell>
        </row>
        <row r="123">
          <cell r="A123">
            <v>122</v>
          </cell>
          <cell r="B123" t="str">
            <v>PREDNISONA 20 MG COMPRIMIDO</v>
          </cell>
          <cell r="C123">
            <v>15000</v>
          </cell>
        </row>
        <row r="124">
          <cell r="A124">
            <v>123</v>
          </cell>
          <cell r="B124" t="str">
            <v>PREDNISONA 5 MG COMPRIMIDO</v>
          </cell>
          <cell r="C124">
            <v>15000</v>
          </cell>
        </row>
        <row r="125">
          <cell r="A125">
            <v>124</v>
          </cell>
          <cell r="B125" t="str">
            <v>LEVODORA + CLORIDRATO DE BENZERAZIDA 100/25 MG BD</v>
          </cell>
          <cell r="C125">
            <v>30000</v>
          </cell>
        </row>
        <row r="126">
          <cell r="A126">
            <v>125</v>
          </cell>
          <cell r="B126" t="str">
            <v>LEVODORA + CORIDRATO DE BENZERAZIDA 200MG/50 MG</v>
          </cell>
          <cell r="C126">
            <v>18000</v>
          </cell>
        </row>
        <row r="127">
          <cell r="A127">
            <v>126</v>
          </cell>
          <cell r="B127" t="str">
            <v>REIDRATANTE ORAL PO PARA SOLUCAO ORAL DE 27,9G CADA</v>
          </cell>
          <cell r="C127">
            <v>800</v>
          </cell>
        </row>
        <row r="128">
          <cell r="A128">
            <v>127</v>
          </cell>
          <cell r="B128" t="str">
            <v>SINVASTATINA 10MG</v>
          </cell>
          <cell r="C128">
            <v>15000</v>
          </cell>
        </row>
        <row r="129">
          <cell r="A129">
            <v>128</v>
          </cell>
          <cell r="B129" t="str">
            <v>SINVASTATINA 20 MG</v>
          </cell>
          <cell r="C129">
            <v>50000</v>
          </cell>
        </row>
        <row r="130">
          <cell r="A130">
            <v>129</v>
          </cell>
          <cell r="B130" t="str">
            <v>SINVASTATINA 40 MG</v>
          </cell>
          <cell r="C130">
            <v>70000</v>
          </cell>
        </row>
        <row r="131">
          <cell r="A131">
            <v>130</v>
          </cell>
          <cell r="B131" t="str">
            <v>SULFADIAZINA DE PRATA 10 MG/G CREME</v>
          </cell>
          <cell r="C131">
            <v>400</v>
          </cell>
        </row>
        <row r="132">
          <cell r="A132">
            <v>131</v>
          </cell>
          <cell r="B132" t="str">
            <v>SULFAMETOXAZOL + TRIMETROPRIMA 40 + 8 MG/ML SUSPENSAO ORAL</v>
          </cell>
          <cell r="C132">
            <v>150</v>
          </cell>
        </row>
        <row r="133">
          <cell r="A133">
            <v>132</v>
          </cell>
          <cell r="B133" t="str">
            <v>SULFAMETOXAZOL + TRIMETROPRIMA 400 + 80 MG COMPRIMIDO</v>
          </cell>
          <cell r="C133">
            <v>5000</v>
          </cell>
        </row>
        <row r="134">
          <cell r="A134">
            <v>133</v>
          </cell>
          <cell r="B134" t="str">
            <v>SULFATO DE GENTAMICINA 5MG SOLUCAO OFTALMICA 5ML</v>
          </cell>
          <cell r="C134">
            <v>50</v>
          </cell>
        </row>
        <row r="135">
          <cell r="A135">
            <v>134</v>
          </cell>
          <cell r="B135" t="str">
            <v>SULFATO DE SALBUTAMOL 100MCG AEROSOL ORAL</v>
          </cell>
          <cell r="C135">
            <v>700</v>
          </cell>
        </row>
        <row r="136">
          <cell r="A136">
            <v>135</v>
          </cell>
          <cell r="B136" t="str">
            <v>SULFATO FERROSO 125 MG/ML GOTAS</v>
          </cell>
          <cell r="C136">
            <v>250</v>
          </cell>
        </row>
        <row r="137">
          <cell r="A137">
            <v>136</v>
          </cell>
          <cell r="B137" t="str">
            <v>SULFATO FERROSO 199,13 MG</v>
          </cell>
          <cell r="C137">
            <v>40000</v>
          </cell>
        </row>
        <row r="138">
          <cell r="A138">
            <v>137</v>
          </cell>
          <cell r="B138" t="str">
            <v xml:space="preserve">FITA PARA TESTES DE GLICEMIA COMPATIVEL PARA O APARELHO ACCU-CHEK ACTIVE </v>
          </cell>
          <cell r="C138">
            <v>100000</v>
          </cell>
        </row>
        <row r="139">
          <cell r="A139">
            <v>138</v>
          </cell>
          <cell r="B139" t="str">
            <v>VARFARINA SODICA 5 MG COMPRIMIDO</v>
          </cell>
          <cell r="C139">
            <v>12000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F1C68C0-8F04-4F32-8E6D-C50711AF0188}" name="TabelaPrincipal" displayName="TabelaPrincipal" ref="A1:N36" headerRowDxfId="44" dataDxfId="42" headerRowBorderDxfId="43" tableBorderDxfId="41" totalsRowBorderDxfId="40">
  <autoFilter ref="A1:N36" xr:uid="{0F1C68C0-8F04-4F32-8E6D-C50711AF0188}"/>
  <tableColumns count="14">
    <tableColumn id="1" xr3:uid="{51CFE57C-AFCD-46C7-A72C-4E116E9357EE}" name="ITEM" totalsRowLabel="Total" dataDxfId="39"/>
    <tableColumn id="2" xr3:uid="{E7B80085-C079-4ECA-B98E-E82F5E46696A}" name="DESCRIÇÃO" dataDxfId="38"/>
    <tableColumn id="3" xr3:uid="{74DD09F8-5DE7-492D-ABF9-CC0D01F7D44D}" name="UND" dataDxfId="37"/>
    <tableColumn id="4" xr3:uid="{2D7CF20C-95AF-448A-964A-706613067BC5}" name="QTD" dataDxfId="36"/>
    <tableColumn id="5" xr3:uid="{888FDB53-36CC-46AE-AFEA-75AF1F77389D}" name="MARCA" dataDxfId="35"/>
    <tableColumn id="6" xr3:uid="{E7330FE1-ADA8-42A4-B3C8-35EEACF8E856}" name="VALOR DE CUSTO" dataDxfId="34" dataCellStyle="Moeda"/>
    <tableColumn id="14" xr3:uid="{A34B0AAF-F1D2-4671-A532-9BD185994D6B}" name="PERCENTUAL DE ENTRADA" dataDxfId="33" dataCellStyle="Moeda">
      <calculatedColumnFormula>IF(_xlfn.ISFORMULA(TabelaPrincipal[[#This Row],[CUSTO + PERCENTUAL DE ENTRADA]]),0.4,(TabelaPrincipal[[#This Row],[CUSTO + PERCENTUAL DE ENTRADA]]-TabelaPrincipal[[#This Row],[VALOR DE CUSTO]])/TabelaPrincipal[[#This Row],[VALOR DE CUSTO]])</calculatedColumnFormula>
    </tableColumn>
    <tableColumn id="7" xr3:uid="{03389115-425F-4153-AA8F-FD518F675069}" name="CUSTO + PERCENTUAL DE ENTRADA" dataDxfId="32" totalsRowDxfId="31" dataCellStyle="Moeda">
      <calculatedColumnFormula>ROUND(F2+(F2*TabelaPrincipal[[#This Row],[PERCENTUAL DE ENTRADA]]), 2)</calculatedColumnFormula>
    </tableColumn>
    <tableColumn id="8" xr3:uid="{532B9320-507F-43A8-833D-2CFD5BDC3030}" name="VALOR TOTAL" dataDxfId="30" totalsRowDxfId="29" dataCellStyle="Moeda">
      <calculatedColumnFormula>D2*H2</calculatedColumnFormula>
    </tableColumn>
    <tableColumn id="12" xr3:uid="{47060763-EEF9-4198-9C8A-B2079FE74328}" name="PERCENTUAL MÍNIMO" dataDxfId="28" totalsRowDxfId="27">
      <calculatedColumnFormula>IF(TabelaPrincipal[[#This Row],[PERCENTUAL DE ENTRADA]]&gt;0,0.15,0)</calculatedColumnFormula>
    </tableColumn>
    <tableColumn id="13" xr3:uid="{8FA6F66F-B93C-4DF5-A099-D33323ED11B8}" name="VALOR MÍNIMO" totalsRowFunction="sum" dataDxfId="26" totalsRowDxfId="25">
      <calculatedColumnFormula>ROUND(F2+(F2*TabelaPrincipal[[#This Row],[PERCENTUAL MÍNIMO]]), 2)</calculatedColumnFormula>
    </tableColumn>
    <tableColumn id="9" xr3:uid="{9D0B07B5-0269-49DC-A3EC-C170D6496473}" name="LANCE ATUAL" dataDxfId="24" dataCellStyle="Moeda">
      <calculatedColumnFormula>IF(TabelaPrincipal[[#This Row],[PERCENTUAL DE ENTRADA]]=0,TabelaPrincipal[[#This Row],[VALOR MÍNIMO]],0)</calculatedColumnFormula>
    </tableColumn>
    <tableColumn id="10" xr3:uid="{2B3A16CA-ACFA-4765-8367-A064C061C94F}" name="POSIÇÃO" dataDxfId="23" dataCellStyle="Moeda"/>
    <tableColumn id="11" xr3:uid="{059F3929-D102-4D03-9013-A9DF3FD97FD7}" name="VALOR TOTAL DO LANCE" dataDxfId="22" dataCellStyle="Moeda">
      <calculatedColumnFormula>TabelaPrincipal[[#This Row],[LANCE ATUAL]]*TabelaPrincipal[[#This Row],[QTD]]</calculatedColumnFormula>
    </tableColumn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FAA1B4-814E-4223-B7E6-683C9654D63D}" name="TabelaProposta" displayName="TabelaProposta" ref="A1:H4" totalsRowCount="1" headerRowDxfId="21" dataDxfId="19" totalsRowDxfId="17" headerRowBorderDxfId="20" tableBorderDxfId="18" totalsRowBorderDxfId="16">
  <autoFilter ref="A1:H3" xr:uid="{2CFAA1B4-814E-4223-B7E6-683C9654D63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C2A8540-55DA-471A-8023-1DC82AFF521D}" name="ITEM" totalsRowLabel="Total" dataDxfId="15" totalsRowDxfId="14">
      <calculatedColumnFormula>TabelaPrincipal[[#This Row],[ITEM]]</calculatedColumnFormula>
    </tableColumn>
    <tableColumn id="2" xr3:uid="{F915D416-2888-4C08-B603-DD427B80EC39}" name="DESCRIÇÃO" dataDxfId="13" totalsRowDxfId="12">
      <calculatedColumnFormula>TabelaPrincipal[[#This Row],[DESCRIÇÃO]]</calculatedColumnFormula>
    </tableColumn>
    <tableColumn id="3" xr3:uid="{49DB4880-9F6A-4C83-B06A-2BE3AF89B478}" name="UND" dataDxfId="11" totalsRowDxfId="10">
      <calculatedColumnFormula>TabelaPrincipal[[#This Row],[UND]]</calculatedColumnFormula>
    </tableColumn>
    <tableColumn id="4" xr3:uid="{88402F2B-2E49-4C7B-B78B-F865BFB0E1DD}" name="QTD" dataDxfId="9" totalsRowDxfId="8">
      <calculatedColumnFormula>TabelaPrincipal[[#This Row],[QTD]]</calculatedColumnFormula>
    </tableColumn>
    <tableColumn id="5" xr3:uid="{3DB67E5A-8A24-45E8-8217-4846CFFF15A4}" name="MARCA" dataDxfId="7" totalsRowDxfId="6">
      <calculatedColumnFormula>TabelaPrincipal[[#This Row],[MARCA]]</calculatedColumnFormula>
    </tableColumn>
    <tableColumn id="6" xr3:uid="{B69EC1DE-FD02-4E24-9A4E-2413AAC85E68}" name="VALOR UNITÁRIO" dataDxfId="5" totalsRowDxfId="4">
      <calculatedColumnFormula>TabelaPrincipal[[#This Row],[CUSTO + PERCENTUAL DE ENTRADA]]</calculatedColumnFormula>
    </tableColumn>
    <tableColumn id="7" xr3:uid="{AB54B16F-01C8-42F8-BA21-D18026C5F589}" name="VALOR TOTAL" totalsRowFunction="sum" dataDxfId="3" totalsRowDxfId="2">
      <calculatedColumnFormula>TabelaPrincipal[[#This Row],[VALOR TOTAL]]</calculatedColumnFormula>
    </tableColumn>
    <tableColumn id="8" xr3:uid="{937D679C-928B-4903-8AF2-2ECD36984D55}" name="TOTAL POR EXTENSO" totalsRowFunction="custom" dataDxfId="1" totalsRowDxfId="0">
      <totalsRowFormula>Extenso_Valor(TabelaProposta[[#Totals],[VALOR TOTAL]])</totalsRow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N36"/>
  <sheetViews>
    <sheetView tabSelected="1" zoomScale="80" zoomScaleNormal="80" workbookViewId="0">
      <pane ySplit="1" topLeftCell="A2" activePane="bottomLeft" state="frozen"/>
      <selection pane="bottomLeft" activeCell="A2" sqref="A2:A8"/>
    </sheetView>
  </sheetViews>
  <sheetFormatPr defaultRowHeight="15" x14ac:dyDescent="0.25"/>
  <cols>
    <col min="1" max="1" width="7" customWidth="1"/>
    <col min="2" max="2" width="60.7109375" customWidth="1"/>
    <col min="3" max="3" width="10.85546875" bestFit="1" customWidth="1"/>
    <col min="4" max="4" width="11.28515625" bestFit="1" customWidth="1"/>
    <col min="5" max="5" width="13.5703125" bestFit="1" customWidth="1"/>
    <col min="6" max="6" width="16" customWidth="1"/>
    <col min="7" max="7" width="12.7109375" customWidth="1"/>
    <col min="8" max="8" width="16.5703125" customWidth="1"/>
    <col min="9" max="9" width="17.28515625" customWidth="1"/>
    <col min="10" max="10" width="13" customWidth="1"/>
    <col min="11" max="11" width="12.85546875" bestFit="1" customWidth="1"/>
    <col min="12" max="12" width="13.42578125" customWidth="1"/>
    <col min="13" max="13" width="12" customWidth="1"/>
    <col min="14" max="14" width="17.28515625" customWidth="1"/>
  </cols>
  <sheetData>
    <row r="1" spans="1:14" ht="45" x14ac:dyDescent="0.25">
      <c r="A1" s="3" t="s">
        <v>0</v>
      </c>
      <c r="B1" s="4" t="s">
        <v>5</v>
      </c>
      <c r="C1" s="4" t="s">
        <v>2</v>
      </c>
      <c r="D1" s="4" t="s">
        <v>1</v>
      </c>
      <c r="E1" s="4" t="s">
        <v>6</v>
      </c>
      <c r="F1" s="18" t="s">
        <v>4</v>
      </c>
      <c r="G1" s="18" t="s">
        <v>16</v>
      </c>
      <c r="H1" s="18" t="s">
        <v>15</v>
      </c>
      <c r="I1" s="21" t="s">
        <v>3</v>
      </c>
      <c r="J1" s="18" t="s">
        <v>10</v>
      </c>
      <c r="K1" s="18" t="s">
        <v>11</v>
      </c>
      <c r="L1" s="18" t="s">
        <v>12</v>
      </c>
      <c r="M1" s="4" t="s">
        <v>13</v>
      </c>
      <c r="N1" s="18" t="s">
        <v>14</v>
      </c>
    </row>
    <row r="2" spans="1:14" ht="30" x14ac:dyDescent="0.25">
      <c r="A2" s="34">
        <v>7</v>
      </c>
      <c r="B2" s="29" t="s">
        <v>19</v>
      </c>
      <c r="C2" s="28" t="s">
        <v>17</v>
      </c>
      <c r="D2" s="28">
        <v>250</v>
      </c>
      <c r="E2" s="28" t="s">
        <v>18</v>
      </c>
      <c r="F2" s="30">
        <v>3.45</v>
      </c>
      <c r="G2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" s="1">
        <f>ROUND(F2+(F2*TabelaPrincipal[[#This Row],[PERCENTUAL DE ENTRADA]]), 2)</f>
        <v>4.83</v>
      </c>
      <c r="I2" s="2">
        <f t="shared" ref="I2:I32" si="0">D2*H2</f>
        <v>1207.5</v>
      </c>
      <c r="J2" s="5">
        <f>IF(TabelaPrincipal[[#This Row],[PERCENTUAL DE ENTRADA]]&gt;0,0.15,0)</f>
        <v>0.15</v>
      </c>
      <c r="K2" s="1">
        <f>ROUND(F2+(F2*TabelaPrincipal[[#This Row],[PERCENTUAL MÍNIMO]]), 2)</f>
        <v>3.97</v>
      </c>
      <c r="L2" s="31">
        <f>IF(TabelaPrincipal[[#This Row],[PERCENTUAL DE ENTRADA]]=0,TabelaPrincipal[[#This Row],[VALOR MÍNIMO]],0)</f>
        <v>0</v>
      </c>
      <c r="M2" s="32"/>
      <c r="N2" s="33">
        <f>TabelaPrincipal[[#This Row],[LANCE ATUAL]]*TabelaPrincipal[[#This Row],[QTD]]</f>
        <v>0</v>
      </c>
    </row>
    <row r="3" spans="1:14" x14ac:dyDescent="0.25">
      <c r="A3" s="34">
        <v>12</v>
      </c>
      <c r="B3" s="29" t="s">
        <v>20</v>
      </c>
      <c r="C3" s="28" t="s">
        <v>21</v>
      </c>
      <c r="D3" s="28">
        <v>500</v>
      </c>
      <c r="E3" s="28" t="s">
        <v>22</v>
      </c>
      <c r="F3" s="30">
        <v>15.65</v>
      </c>
      <c r="G3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3" s="1">
        <f>ROUND(F3+(F3*TabelaPrincipal[[#This Row],[PERCENTUAL DE ENTRADA]]), 2)</f>
        <v>21.91</v>
      </c>
      <c r="I3" s="2">
        <f t="shared" si="0"/>
        <v>10955</v>
      </c>
      <c r="J3" s="5">
        <f>IF(TabelaPrincipal[[#This Row],[PERCENTUAL DE ENTRADA]]&gt;0,0.15,0)</f>
        <v>0.15</v>
      </c>
      <c r="K3" s="1">
        <f>ROUND(F3+(F3*TabelaPrincipal[[#This Row],[PERCENTUAL MÍNIMO]]), 2)</f>
        <v>18</v>
      </c>
      <c r="L3" s="31">
        <f>IF(TabelaPrincipal[[#This Row],[PERCENTUAL DE ENTRADA]]=0,TabelaPrincipal[[#This Row],[VALOR MÍNIMO]],0)</f>
        <v>0</v>
      </c>
      <c r="M3" s="32"/>
      <c r="N3" s="33">
        <f>TabelaPrincipal[[#This Row],[LANCE ATUAL]]*TabelaPrincipal[[#This Row],[QTD]]</f>
        <v>0</v>
      </c>
    </row>
    <row r="4" spans="1:14" ht="30" x14ac:dyDescent="0.25">
      <c r="A4" s="34">
        <v>13</v>
      </c>
      <c r="B4" s="29" t="s">
        <v>23</v>
      </c>
      <c r="C4" s="28" t="s">
        <v>17</v>
      </c>
      <c r="D4" s="28">
        <v>150</v>
      </c>
      <c r="E4" s="28" t="s">
        <v>24</v>
      </c>
      <c r="F4" s="30">
        <v>34.4</v>
      </c>
      <c r="G4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4" s="1">
        <f>ROUND(F4+(F4*TabelaPrincipal[[#This Row],[PERCENTUAL DE ENTRADA]]), 2)</f>
        <v>48.16</v>
      </c>
      <c r="I4" s="2">
        <f t="shared" si="0"/>
        <v>7223.9999999999991</v>
      </c>
      <c r="J4" s="5">
        <f>IF(TabelaPrincipal[[#This Row],[PERCENTUAL DE ENTRADA]]&gt;0,0.15,0)</f>
        <v>0.15</v>
      </c>
      <c r="K4" s="1">
        <f>ROUND(F4+(F4*TabelaPrincipal[[#This Row],[PERCENTUAL MÍNIMO]]), 2)</f>
        <v>39.56</v>
      </c>
      <c r="L4" s="31">
        <f>IF(TabelaPrincipal[[#This Row],[PERCENTUAL DE ENTRADA]]=0,TabelaPrincipal[[#This Row],[VALOR MÍNIMO]],0)</f>
        <v>0</v>
      </c>
      <c r="M4" s="32"/>
      <c r="N4" s="33">
        <f>TabelaPrincipal[[#This Row],[LANCE ATUAL]]*TabelaPrincipal[[#This Row],[QTD]]</f>
        <v>0</v>
      </c>
    </row>
    <row r="5" spans="1:14" ht="30" x14ac:dyDescent="0.25">
      <c r="A5" s="34">
        <v>14</v>
      </c>
      <c r="B5" s="29" t="s">
        <v>25</v>
      </c>
      <c r="C5" s="28" t="s">
        <v>17</v>
      </c>
      <c r="D5" s="28">
        <v>15000</v>
      </c>
      <c r="E5" s="28" t="s">
        <v>24</v>
      </c>
      <c r="F5" s="30">
        <v>3.62</v>
      </c>
      <c r="G5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5" s="1">
        <f>ROUND(F5+(F5*TabelaPrincipal[[#This Row],[PERCENTUAL DE ENTRADA]]), 2)</f>
        <v>5.07</v>
      </c>
      <c r="I5" s="2">
        <f t="shared" si="0"/>
        <v>76050</v>
      </c>
      <c r="J5" s="5">
        <f>IF(TabelaPrincipal[[#This Row],[PERCENTUAL DE ENTRADA]]&gt;0,0.15,0)</f>
        <v>0.15</v>
      </c>
      <c r="K5" s="1">
        <f>ROUND(F5+(F5*TabelaPrincipal[[#This Row],[PERCENTUAL MÍNIMO]]), 2)</f>
        <v>4.16</v>
      </c>
      <c r="L5" s="31">
        <f>IF(TabelaPrincipal[[#This Row],[PERCENTUAL DE ENTRADA]]=0,TabelaPrincipal[[#This Row],[VALOR MÍNIMO]],0)</f>
        <v>0</v>
      </c>
      <c r="M5" s="32"/>
      <c r="N5" s="33">
        <f>TabelaPrincipal[[#This Row],[LANCE ATUAL]]*TabelaPrincipal[[#This Row],[QTD]]</f>
        <v>0</v>
      </c>
    </row>
    <row r="6" spans="1:14" x14ac:dyDescent="0.25">
      <c r="A6" s="34">
        <v>18</v>
      </c>
      <c r="B6" s="29" t="s">
        <v>26</v>
      </c>
      <c r="C6" s="28" t="s">
        <v>17</v>
      </c>
      <c r="D6" s="28">
        <v>300</v>
      </c>
      <c r="E6" s="28" t="s">
        <v>27</v>
      </c>
      <c r="F6" s="30">
        <v>13.45</v>
      </c>
      <c r="G6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6" s="1">
        <f>ROUND(F6+(F6*TabelaPrincipal[[#This Row],[PERCENTUAL DE ENTRADA]]), 2)</f>
        <v>18.829999999999998</v>
      </c>
      <c r="I6" s="2">
        <f t="shared" si="0"/>
        <v>5648.9999999999991</v>
      </c>
      <c r="J6" s="5">
        <f>IF(TabelaPrincipal[[#This Row],[PERCENTUAL DE ENTRADA]]&gt;0,0.15,0)</f>
        <v>0.15</v>
      </c>
      <c r="K6" s="1">
        <f>ROUND(F6+(F6*TabelaPrincipal[[#This Row],[PERCENTUAL MÍNIMO]]), 2)</f>
        <v>15.47</v>
      </c>
      <c r="L6" s="31">
        <f>IF(TabelaPrincipal[[#This Row],[PERCENTUAL DE ENTRADA]]=0,TabelaPrincipal[[#This Row],[VALOR MÍNIMO]],0)</f>
        <v>0</v>
      </c>
      <c r="M6" s="32"/>
      <c r="N6" s="33">
        <f>TabelaPrincipal[[#This Row],[LANCE ATUAL]]*TabelaPrincipal[[#This Row],[QTD]]</f>
        <v>0</v>
      </c>
    </row>
    <row r="7" spans="1:14" x14ac:dyDescent="0.25">
      <c r="A7" s="34">
        <v>56</v>
      </c>
      <c r="B7" s="29" t="s">
        <v>28</v>
      </c>
      <c r="C7" s="28" t="s">
        <v>29</v>
      </c>
      <c r="D7" s="28">
        <v>10000</v>
      </c>
      <c r="E7" s="28" t="s">
        <v>18</v>
      </c>
      <c r="F7" s="30">
        <v>0.1</v>
      </c>
      <c r="G7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7" s="1">
        <f>ROUND(F7+(F7*TabelaPrincipal[[#This Row],[PERCENTUAL DE ENTRADA]]), 2)</f>
        <v>0.14000000000000001</v>
      </c>
      <c r="I7" s="2">
        <f t="shared" si="0"/>
        <v>1400.0000000000002</v>
      </c>
      <c r="J7" s="5">
        <f>IF(TabelaPrincipal[[#This Row],[PERCENTUAL DE ENTRADA]]&gt;0,0.15,0)</f>
        <v>0.15</v>
      </c>
      <c r="K7" s="1">
        <f>ROUND(F7+(F7*TabelaPrincipal[[#This Row],[PERCENTUAL MÍNIMO]]), 2)</f>
        <v>0.12</v>
      </c>
      <c r="L7" s="31">
        <f>IF(TabelaPrincipal[[#This Row],[PERCENTUAL DE ENTRADA]]=0,TabelaPrincipal[[#This Row],[VALOR MÍNIMO]],0)</f>
        <v>0</v>
      </c>
      <c r="M7" s="32"/>
      <c r="N7" s="33">
        <f>TabelaPrincipal[[#This Row],[LANCE ATUAL]]*TabelaPrincipal[[#This Row],[QTD]]</f>
        <v>0</v>
      </c>
    </row>
    <row r="8" spans="1:14" x14ac:dyDescent="0.25">
      <c r="A8" s="34">
        <v>64</v>
      </c>
      <c r="B8" s="29" t="s">
        <v>30</v>
      </c>
      <c r="C8" s="28" t="s">
        <v>29</v>
      </c>
      <c r="D8" s="28">
        <v>8000</v>
      </c>
      <c r="E8" s="28" t="s">
        <v>22</v>
      </c>
      <c r="F8" s="30">
        <v>0.71</v>
      </c>
      <c r="G8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8" s="1">
        <f>ROUND(F8+(F8*TabelaPrincipal[[#This Row],[PERCENTUAL DE ENTRADA]]), 2)</f>
        <v>0.99</v>
      </c>
      <c r="I8" s="2">
        <f t="shared" si="0"/>
        <v>7920</v>
      </c>
      <c r="J8" s="5">
        <f>IF(TabelaPrincipal[[#This Row],[PERCENTUAL DE ENTRADA]]&gt;0,0.15,0)</f>
        <v>0.15</v>
      </c>
      <c r="K8" s="1">
        <f>ROUND(F8+(F8*TabelaPrincipal[[#This Row],[PERCENTUAL MÍNIMO]]), 2)</f>
        <v>0.82</v>
      </c>
      <c r="L8" s="31">
        <f>IF(TabelaPrincipal[[#This Row],[PERCENTUAL DE ENTRADA]]=0,TabelaPrincipal[[#This Row],[VALOR MÍNIMO]],0)</f>
        <v>0</v>
      </c>
      <c r="M8" s="32"/>
      <c r="N8" s="33">
        <f>TabelaPrincipal[[#This Row],[LANCE ATUAL]]*TabelaPrincipal[[#This Row],[QTD]]</f>
        <v>0</v>
      </c>
    </row>
    <row r="9" spans="1:14" x14ac:dyDescent="0.25">
      <c r="A9" s="28"/>
      <c r="B9" s="29"/>
      <c r="C9" s="28"/>
      <c r="D9" s="28"/>
      <c r="E9" s="28"/>
      <c r="F9" s="30"/>
      <c r="G9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9" s="1">
        <f>ROUND(F9+(F9*TabelaPrincipal[[#This Row],[PERCENTUAL DE ENTRADA]]), 2)</f>
        <v>0</v>
      </c>
      <c r="I9" s="2">
        <f t="shared" si="0"/>
        <v>0</v>
      </c>
      <c r="J9" s="5">
        <f>IF(TabelaPrincipal[[#This Row],[PERCENTUAL DE ENTRADA]]&gt;0,0.15,0)</f>
        <v>0.15</v>
      </c>
      <c r="K9" s="1">
        <f>ROUND(F9+(F9*TabelaPrincipal[[#This Row],[PERCENTUAL MÍNIMO]]), 2)</f>
        <v>0</v>
      </c>
      <c r="L9" s="31">
        <f>IF(TabelaPrincipal[[#This Row],[PERCENTUAL DE ENTRADA]]=0,TabelaPrincipal[[#This Row],[VALOR MÍNIMO]],0)</f>
        <v>0</v>
      </c>
      <c r="M9" s="32"/>
      <c r="N9" s="33">
        <f>TabelaPrincipal[[#This Row],[LANCE ATUAL]]*TabelaPrincipal[[#This Row],[QTD]]</f>
        <v>0</v>
      </c>
    </row>
    <row r="10" spans="1:14" x14ac:dyDescent="0.25">
      <c r="A10" s="28"/>
      <c r="B10" s="29"/>
      <c r="C10" s="28"/>
      <c r="D10" s="28"/>
      <c r="E10" s="28"/>
      <c r="F10" s="30"/>
      <c r="G10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0" s="1">
        <f>ROUND(F10+(F10*TabelaPrincipal[[#This Row],[PERCENTUAL DE ENTRADA]]), 2)</f>
        <v>0</v>
      </c>
      <c r="I10" s="2">
        <f t="shared" si="0"/>
        <v>0</v>
      </c>
      <c r="J10" s="5">
        <f>IF(TabelaPrincipal[[#This Row],[PERCENTUAL DE ENTRADA]]&gt;0,0.15,0)</f>
        <v>0.15</v>
      </c>
      <c r="K10" s="1">
        <f>ROUND(F10+(F10*TabelaPrincipal[[#This Row],[PERCENTUAL MÍNIMO]]), 2)</f>
        <v>0</v>
      </c>
      <c r="L10" s="31">
        <f>IF(TabelaPrincipal[[#This Row],[PERCENTUAL DE ENTRADA]]=0,TabelaPrincipal[[#This Row],[VALOR MÍNIMO]],0)</f>
        <v>0</v>
      </c>
      <c r="M10" s="32"/>
      <c r="N10" s="33">
        <f>TabelaPrincipal[[#This Row],[LANCE ATUAL]]*TabelaPrincipal[[#This Row],[QTD]]</f>
        <v>0</v>
      </c>
    </row>
    <row r="11" spans="1:14" x14ac:dyDescent="0.25">
      <c r="A11" s="28"/>
      <c r="B11" s="29"/>
      <c r="C11" s="28"/>
      <c r="D11" s="28"/>
      <c r="E11" s="28"/>
      <c r="F11" s="30"/>
      <c r="G11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1" s="1">
        <f>ROUND(F11+(F11*TabelaPrincipal[[#This Row],[PERCENTUAL DE ENTRADA]]), 2)</f>
        <v>0</v>
      </c>
      <c r="I11" s="2">
        <f t="shared" si="0"/>
        <v>0</v>
      </c>
      <c r="J11" s="5">
        <f>IF(TabelaPrincipal[[#This Row],[PERCENTUAL DE ENTRADA]]&gt;0,0.15,0)</f>
        <v>0.15</v>
      </c>
      <c r="K11" s="1">
        <f>ROUND(F11+(F11*TabelaPrincipal[[#This Row],[PERCENTUAL MÍNIMO]]), 2)</f>
        <v>0</v>
      </c>
      <c r="L11" s="31">
        <f>IF(TabelaPrincipal[[#This Row],[PERCENTUAL DE ENTRADA]]=0,TabelaPrincipal[[#This Row],[VALOR MÍNIMO]],0)</f>
        <v>0</v>
      </c>
      <c r="M11" s="32"/>
      <c r="N11" s="33">
        <f>TabelaPrincipal[[#This Row],[LANCE ATUAL]]*TabelaPrincipal[[#This Row],[QTD]]</f>
        <v>0</v>
      </c>
    </row>
    <row r="12" spans="1:14" x14ac:dyDescent="0.25">
      <c r="A12" s="28"/>
      <c r="B12" s="29"/>
      <c r="C12" s="28"/>
      <c r="D12" s="28"/>
      <c r="E12" s="28"/>
      <c r="F12" s="30"/>
      <c r="G12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2" s="1">
        <f>ROUND(F12+(F12*TabelaPrincipal[[#This Row],[PERCENTUAL DE ENTRADA]]), 2)</f>
        <v>0</v>
      </c>
      <c r="I12" s="2">
        <f t="shared" si="0"/>
        <v>0</v>
      </c>
      <c r="J12" s="5">
        <f>IF(TabelaPrincipal[[#This Row],[PERCENTUAL DE ENTRADA]]&gt;0,0.15,0)</f>
        <v>0.15</v>
      </c>
      <c r="K12" s="1">
        <f>ROUND(F12+(F12*TabelaPrincipal[[#This Row],[PERCENTUAL MÍNIMO]]), 2)</f>
        <v>0</v>
      </c>
      <c r="L12" s="31">
        <f>IF(TabelaPrincipal[[#This Row],[PERCENTUAL DE ENTRADA]]=0,TabelaPrincipal[[#This Row],[VALOR MÍNIMO]],0)</f>
        <v>0</v>
      </c>
      <c r="M12" s="32"/>
      <c r="N12" s="33">
        <f>TabelaPrincipal[[#This Row],[LANCE ATUAL]]*TabelaPrincipal[[#This Row],[QTD]]</f>
        <v>0</v>
      </c>
    </row>
    <row r="13" spans="1:14" x14ac:dyDescent="0.25">
      <c r="A13" s="28"/>
      <c r="B13" s="29"/>
      <c r="C13" s="28"/>
      <c r="D13" s="28"/>
      <c r="E13" s="28"/>
      <c r="F13" s="30"/>
      <c r="G13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3" s="1">
        <f>ROUND(F13+(F13*TabelaPrincipal[[#This Row],[PERCENTUAL DE ENTRADA]]), 2)</f>
        <v>0</v>
      </c>
      <c r="I13" s="2">
        <f t="shared" si="0"/>
        <v>0</v>
      </c>
      <c r="J13" s="5">
        <f>IF(TabelaPrincipal[[#This Row],[PERCENTUAL DE ENTRADA]]&gt;0,0.15,0)</f>
        <v>0.15</v>
      </c>
      <c r="K13" s="1">
        <f>ROUND(F13+(F13*TabelaPrincipal[[#This Row],[PERCENTUAL MÍNIMO]]), 2)</f>
        <v>0</v>
      </c>
      <c r="L13" s="31">
        <f>IF(TabelaPrincipal[[#This Row],[PERCENTUAL DE ENTRADA]]=0,TabelaPrincipal[[#This Row],[VALOR MÍNIMO]],0)</f>
        <v>0</v>
      </c>
      <c r="M13" s="32"/>
      <c r="N13" s="33">
        <f>TabelaPrincipal[[#This Row],[LANCE ATUAL]]*TabelaPrincipal[[#This Row],[QTD]]</f>
        <v>0</v>
      </c>
    </row>
    <row r="14" spans="1:14" x14ac:dyDescent="0.25">
      <c r="A14" s="28"/>
      <c r="B14" s="29"/>
      <c r="C14" s="28"/>
      <c r="D14" s="28"/>
      <c r="E14" s="28"/>
      <c r="F14" s="30"/>
      <c r="G14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4" s="1">
        <f>ROUND(F14+(F14*TabelaPrincipal[[#This Row],[PERCENTUAL DE ENTRADA]]), 2)</f>
        <v>0</v>
      </c>
      <c r="I14" s="2">
        <f t="shared" si="0"/>
        <v>0</v>
      </c>
      <c r="J14" s="5">
        <f>IF(TabelaPrincipal[[#This Row],[PERCENTUAL DE ENTRADA]]&gt;0,0.15,0)</f>
        <v>0.15</v>
      </c>
      <c r="K14" s="1">
        <f>ROUND(F14+(F14*TabelaPrincipal[[#This Row],[PERCENTUAL MÍNIMO]]), 2)</f>
        <v>0</v>
      </c>
      <c r="L14" s="31">
        <f>IF(TabelaPrincipal[[#This Row],[PERCENTUAL DE ENTRADA]]=0,TabelaPrincipal[[#This Row],[VALOR MÍNIMO]],0)</f>
        <v>0</v>
      </c>
      <c r="M14" s="32"/>
      <c r="N14" s="33">
        <f>TabelaPrincipal[[#This Row],[LANCE ATUAL]]*TabelaPrincipal[[#This Row],[QTD]]</f>
        <v>0</v>
      </c>
    </row>
    <row r="15" spans="1:14" x14ac:dyDescent="0.25">
      <c r="A15" s="28"/>
      <c r="B15" s="29"/>
      <c r="C15" s="28"/>
      <c r="D15" s="28"/>
      <c r="E15" s="28"/>
      <c r="F15" s="30"/>
      <c r="G15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5" s="1">
        <f>ROUND(F15+(F15*TabelaPrincipal[[#This Row],[PERCENTUAL DE ENTRADA]]), 2)</f>
        <v>0</v>
      </c>
      <c r="I15" s="2">
        <f t="shared" si="0"/>
        <v>0</v>
      </c>
      <c r="J15" s="5">
        <f>IF(TabelaPrincipal[[#This Row],[PERCENTUAL DE ENTRADA]]&gt;0,0.15,0)</f>
        <v>0.15</v>
      </c>
      <c r="K15" s="1">
        <f>ROUND(F15+(F15*TabelaPrincipal[[#This Row],[PERCENTUAL MÍNIMO]]), 2)</f>
        <v>0</v>
      </c>
      <c r="L15" s="31">
        <f>IF(TabelaPrincipal[[#This Row],[PERCENTUAL DE ENTRADA]]=0,TabelaPrincipal[[#This Row],[VALOR MÍNIMO]],0)</f>
        <v>0</v>
      </c>
      <c r="M15" s="32"/>
      <c r="N15" s="33">
        <f>TabelaPrincipal[[#This Row],[LANCE ATUAL]]*TabelaPrincipal[[#This Row],[QTD]]</f>
        <v>0</v>
      </c>
    </row>
    <row r="16" spans="1:14" x14ac:dyDescent="0.25">
      <c r="A16" s="28"/>
      <c r="B16" s="29"/>
      <c r="C16" s="28"/>
      <c r="D16" s="28"/>
      <c r="E16" s="28"/>
      <c r="F16" s="30"/>
      <c r="G16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6" s="1">
        <f>ROUND(F16+(F16*TabelaPrincipal[[#This Row],[PERCENTUAL DE ENTRADA]]), 2)</f>
        <v>0</v>
      </c>
      <c r="I16" s="2">
        <f t="shared" si="0"/>
        <v>0</v>
      </c>
      <c r="J16" s="5">
        <f>IF(TabelaPrincipal[[#This Row],[PERCENTUAL DE ENTRADA]]&gt;0,0.15,0)</f>
        <v>0.15</v>
      </c>
      <c r="K16" s="1">
        <f>ROUND(F16+(F16*TabelaPrincipal[[#This Row],[PERCENTUAL MÍNIMO]]), 2)</f>
        <v>0</v>
      </c>
      <c r="L16" s="31">
        <f>IF(TabelaPrincipal[[#This Row],[PERCENTUAL DE ENTRADA]]=0,TabelaPrincipal[[#This Row],[VALOR MÍNIMO]],0)</f>
        <v>0</v>
      </c>
      <c r="M16" s="32"/>
      <c r="N16" s="33">
        <f>TabelaPrincipal[[#This Row],[LANCE ATUAL]]*TabelaPrincipal[[#This Row],[QTD]]</f>
        <v>0</v>
      </c>
    </row>
    <row r="17" spans="1:14" x14ac:dyDescent="0.25">
      <c r="A17" s="28"/>
      <c r="B17" s="29"/>
      <c r="C17" s="28"/>
      <c r="D17" s="28"/>
      <c r="E17" s="28"/>
      <c r="F17" s="30"/>
      <c r="G17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7" s="1">
        <f>ROUND(F17+(F17*TabelaPrincipal[[#This Row],[PERCENTUAL DE ENTRADA]]), 2)</f>
        <v>0</v>
      </c>
      <c r="I17" s="2">
        <f t="shared" si="0"/>
        <v>0</v>
      </c>
      <c r="J17" s="5">
        <f>IF(TabelaPrincipal[[#This Row],[PERCENTUAL DE ENTRADA]]&gt;0,0.15,0)</f>
        <v>0.15</v>
      </c>
      <c r="K17" s="1">
        <f>ROUND(F17+(F17*TabelaPrincipal[[#This Row],[PERCENTUAL MÍNIMO]]), 2)</f>
        <v>0</v>
      </c>
      <c r="L17" s="31">
        <f>IF(TabelaPrincipal[[#This Row],[PERCENTUAL DE ENTRADA]]=0,TabelaPrincipal[[#This Row],[VALOR MÍNIMO]],0)</f>
        <v>0</v>
      </c>
      <c r="M17" s="32"/>
      <c r="N17" s="33">
        <f>TabelaPrincipal[[#This Row],[LANCE ATUAL]]*TabelaPrincipal[[#This Row],[QTD]]</f>
        <v>0</v>
      </c>
    </row>
    <row r="18" spans="1:14" x14ac:dyDescent="0.25">
      <c r="A18" s="28"/>
      <c r="B18" s="29"/>
      <c r="C18" s="28"/>
      <c r="D18" s="28"/>
      <c r="E18" s="28"/>
      <c r="F18" s="30"/>
      <c r="G18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8" s="1">
        <f>ROUND(F18+(F18*TabelaPrincipal[[#This Row],[PERCENTUAL DE ENTRADA]]), 2)</f>
        <v>0</v>
      </c>
      <c r="I18" s="2">
        <f t="shared" si="0"/>
        <v>0</v>
      </c>
      <c r="J18" s="5">
        <f>IF(TabelaPrincipal[[#This Row],[PERCENTUAL DE ENTRADA]]&gt;0,0.15,0)</f>
        <v>0.15</v>
      </c>
      <c r="K18" s="1">
        <f>ROUND(F18+(F18*TabelaPrincipal[[#This Row],[PERCENTUAL MÍNIMO]]), 2)</f>
        <v>0</v>
      </c>
      <c r="L18" s="31">
        <f>IF(TabelaPrincipal[[#This Row],[PERCENTUAL DE ENTRADA]]=0,TabelaPrincipal[[#This Row],[VALOR MÍNIMO]],0)</f>
        <v>0</v>
      </c>
      <c r="M18" s="32"/>
      <c r="N18" s="33">
        <f>TabelaPrincipal[[#This Row],[LANCE ATUAL]]*TabelaPrincipal[[#This Row],[QTD]]</f>
        <v>0</v>
      </c>
    </row>
    <row r="19" spans="1:14" x14ac:dyDescent="0.25">
      <c r="A19" s="28"/>
      <c r="B19" s="29"/>
      <c r="C19" s="28"/>
      <c r="D19" s="28"/>
      <c r="E19" s="28"/>
      <c r="F19" s="30"/>
      <c r="G19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9" s="1">
        <f>ROUND(F19+(F19*TabelaPrincipal[[#This Row],[PERCENTUAL DE ENTRADA]]), 2)</f>
        <v>0</v>
      </c>
      <c r="I19" s="2">
        <f t="shared" si="0"/>
        <v>0</v>
      </c>
      <c r="J19" s="5">
        <f>IF(TabelaPrincipal[[#This Row],[PERCENTUAL DE ENTRADA]]&gt;0,0.15,0)</f>
        <v>0.15</v>
      </c>
      <c r="K19" s="1">
        <f>ROUND(F19+(F19*TabelaPrincipal[[#This Row],[PERCENTUAL MÍNIMO]]), 2)</f>
        <v>0</v>
      </c>
      <c r="L19" s="31">
        <f>IF(TabelaPrincipal[[#This Row],[PERCENTUAL DE ENTRADA]]=0,TabelaPrincipal[[#This Row],[VALOR MÍNIMO]],0)</f>
        <v>0</v>
      </c>
      <c r="M19" s="32"/>
      <c r="N19" s="33">
        <f>TabelaPrincipal[[#This Row],[LANCE ATUAL]]*TabelaPrincipal[[#This Row],[QTD]]</f>
        <v>0</v>
      </c>
    </row>
    <row r="20" spans="1:14" x14ac:dyDescent="0.25">
      <c r="A20" s="28"/>
      <c r="B20" s="29"/>
      <c r="C20" s="28"/>
      <c r="D20" s="28"/>
      <c r="E20" s="28"/>
      <c r="F20" s="30"/>
      <c r="G20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0" s="1">
        <f>ROUND(F20+(F20*TabelaPrincipal[[#This Row],[PERCENTUAL DE ENTRADA]]), 2)</f>
        <v>0</v>
      </c>
      <c r="I20" s="2">
        <f t="shared" si="0"/>
        <v>0</v>
      </c>
      <c r="J20" s="5">
        <f>IF(TabelaPrincipal[[#This Row],[PERCENTUAL DE ENTRADA]]&gt;0,0.15,0)</f>
        <v>0.15</v>
      </c>
      <c r="K20" s="1">
        <f>ROUND(F20+(F20*TabelaPrincipal[[#This Row],[PERCENTUAL MÍNIMO]]), 2)</f>
        <v>0</v>
      </c>
      <c r="L20" s="31">
        <f>IF(TabelaPrincipal[[#This Row],[PERCENTUAL DE ENTRADA]]=0,TabelaPrincipal[[#This Row],[VALOR MÍNIMO]],0)</f>
        <v>0</v>
      </c>
      <c r="M20" s="32"/>
      <c r="N20" s="33">
        <f>TabelaPrincipal[[#This Row],[LANCE ATUAL]]*TabelaPrincipal[[#This Row],[QTD]]</f>
        <v>0</v>
      </c>
    </row>
    <row r="21" spans="1:14" x14ac:dyDescent="0.25">
      <c r="A21" s="28"/>
      <c r="B21" s="29"/>
      <c r="C21" s="28"/>
      <c r="D21" s="28"/>
      <c r="E21" s="28"/>
      <c r="F21" s="30"/>
      <c r="G21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1" s="1">
        <f>ROUND(F21+(F21*TabelaPrincipal[[#This Row],[PERCENTUAL DE ENTRADA]]), 2)</f>
        <v>0</v>
      </c>
      <c r="I21" s="2">
        <f t="shared" si="0"/>
        <v>0</v>
      </c>
      <c r="J21" s="5">
        <f>IF(TabelaPrincipal[[#This Row],[PERCENTUAL DE ENTRADA]]&gt;0,0.15,0)</f>
        <v>0.15</v>
      </c>
      <c r="K21" s="1">
        <f>ROUND(F21+(F21*TabelaPrincipal[[#This Row],[PERCENTUAL MÍNIMO]]), 2)</f>
        <v>0</v>
      </c>
      <c r="L21" s="31">
        <f>IF(TabelaPrincipal[[#This Row],[PERCENTUAL DE ENTRADA]]=0,TabelaPrincipal[[#This Row],[VALOR MÍNIMO]],0)</f>
        <v>0</v>
      </c>
      <c r="M21" s="32"/>
      <c r="N21" s="33">
        <f>TabelaPrincipal[[#This Row],[LANCE ATUAL]]*TabelaPrincipal[[#This Row],[QTD]]</f>
        <v>0</v>
      </c>
    </row>
    <row r="22" spans="1:14" x14ac:dyDescent="0.25">
      <c r="A22" s="28"/>
      <c r="B22" s="29"/>
      <c r="C22" s="28"/>
      <c r="D22" s="28"/>
      <c r="E22" s="28"/>
      <c r="F22" s="30"/>
      <c r="G22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2" s="1">
        <f>ROUND(F22+(F22*TabelaPrincipal[[#This Row],[PERCENTUAL DE ENTRADA]]), 2)</f>
        <v>0</v>
      </c>
      <c r="I22" s="2">
        <f t="shared" si="0"/>
        <v>0</v>
      </c>
      <c r="J22" s="5">
        <f>IF(TabelaPrincipal[[#This Row],[PERCENTUAL DE ENTRADA]]&gt;0,0.15,0)</f>
        <v>0.15</v>
      </c>
      <c r="K22" s="1">
        <f>ROUND(F22+(F22*TabelaPrincipal[[#This Row],[PERCENTUAL MÍNIMO]]), 2)</f>
        <v>0</v>
      </c>
      <c r="L22" s="31">
        <f>IF(TabelaPrincipal[[#This Row],[PERCENTUAL DE ENTRADA]]=0,TabelaPrincipal[[#This Row],[VALOR MÍNIMO]],0)</f>
        <v>0</v>
      </c>
      <c r="M22" s="32"/>
      <c r="N22" s="33">
        <f>TabelaPrincipal[[#This Row],[LANCE ATUAL]]*TabelaPrincipal[[#This Row],[QTD]]</f>
        <v>0</v>
      </c>
    </row>
    <row r="23" spans="1:14" x14ac:dyDescent="0.25">
      <c r="A23" s="28"/>
      <c r="B23" s="29"/>
      <c r="C23" s="28"/>
      <c r="D23" s="28"/>
      <c r="E23" s="28"/>
      <c r="F23" s="30"/>
      <c r="G23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3" s="1">
        <f>ROUND(F23+(F23*TabelaPrincipal[[#This Row],[PERCENTUAL DE ENTRADA]]), 2)</f>
        <v>0</v>
      </c>
      <c r="I23" s="2">
        <f t="shared" si="0"/>
        <v>0</v>
      </c>
      <c r="J23" s="5">
        <f>IF(TabelaPrincipal[[#This Row],[PERCENTUAL DE ENTRADA]]&gt;0,0.15,0)</f>
        <v>0.15</v>
      </c>
      <c r="K23" s="1">
        <f>ROUND(F23+(F23*TabelaPrincipal[[#This Row],[PERCENTUAL MÍNIMO]]), 2)</f>
        <v>0</v>
      </c>
      <c r="L23" s="31">
        <f>IF(TabelaPrincipal[[#This Row],[PERCENTUAL DE ENTRADA]]=0,TabelaPrincipal[[#This Row],[VALOR MÍNIMO]],0)</f>
        <v>0</v>
      </c>
      <c r="M23" s="32"/>
      <c r="N23" s="33">
        <f>TabelaPrincipal[[#This Row],[LANCE ATUAL]]*TabelaPrincipal[[#This Row],[QTD]]</f>
        <v>0</v>
      </c>
    </row>
    <row r="24" spans="1:14" x14ac:dyDescent="0.25">
      <c r="A24" s="28"/>
      <c r="B24" s="29"/>
      <c r="C24" s="28"/>
      <c r="D24" s="28"/>
      <c r="E24" s="28"/>
      <c r="F24" s="30"/>
      <c r="G24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4" s="1">
        <f>ROUND(F24+(F24*TabelaPrincipal[[#This Row],[PERCENTUAL DE ENTRADA]]), 2)</f>
        <v>0</v>
      </c>
      <c r="I24" s="2">
        <f t="shared" si="0"/>
        <v>0</v>
      </c>
      <c r="J24" s="5">
        <f>IF(TabelaPrincipal[[#This Row],[PERCENTUAL DE ENTRADA]]&gt;0,0.15,0)</f>
        <v>0.15</v>
      </c>
      <c r="K24" s="1">
        <f>ROUND(F24+(F24*TabelaPrincipal[[#This Row],[PERCENTUAL MÍNIMO]]), 2)</f>
        <v>0</v>
      </c>
      <c r="L24" s="31">
        <f>IF(TabelaPrincipal[[#This Row],[PERCENTUAL DE ENTRADA]]=0,TabelaPrincipal[[#This Row],[VALOR MÍNIMO]],0)</f>
        <v>0</v>
      </c>
      <c r="M24" s="32"/>
      <c r="N24" s="33">
        <f>TabelaPrincipal[[#This Row],[LANCE ATUAL]]*TabelaPrincipal[[#This Row],[QTD]]</f>
        <v>0</v>
      </c>
    </row>
    <row r="25" spans="1:14" x14ac:dyDescent="0.25">
      <c r="A25" s="28"/>
      <c r="B25" s="29"/>
      <c r="C25" s="28"/>
      <c r="D25" s="28"/>
      <c r="E25" s="28"/>
      <c r="F25" s="30"/>
      <c r="G25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5" s="1">
        <f>ROUND(F25+(F25*TabelaPrincipal[[#This Row],[PERCENTUAL DE ENTRADA]]), 2)</f>
        <v>0</v>
      </c>
      <c r="I25" s="2">
        <f t="shared" si="0"/>
        <v>0</v>
      </c>
      <c r="J25" s="5">
        <f>IF(TabelaPrincipal[[#This Row],[PERCENTUAL DE ENTRADA]]&gt;0,0.15,0)</f>
        <v>0.15</v>
      </c>
      <c r="K25" s="1">
        <f>ROUND(F25+(F25*TabelaPrincipal[[#This Row],[PERCENTUAL MÍNIMO]]), 2)</f>
        <v>0</v>
      </c>
      <c r="L25" s="31">
        <f>IF(TabelaPrincipal[[#This Row],[PERCENTUAL DE ENTRADA]]=0,TabelaPrincipal[[#This Row],[VALOR MÍNIMO]],0)</f>
        <v>0</v>
      </c>
      <c r="M25" s="32"/>
      <c r="N25" s="33">
        <f>TabelaPrincipal[[#This Row],[LANCE ATUAL]]*TabelaPrincipal[[#This Row],[QTD]]</f>
        <v>0</v>
      </c>
    </row>
    <row r="26" spans="1:14" x14ac:dyDescent="0.25">
      <c r="A26" s="28"/>
      <c r="B26" s="29"/>
      <c r="C26" s="28"/>
      <c r="D26" s="28"/>
      <c r="E26" s="28"/>
      <c r="F26" s="30"/>
      <c r="G26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6" s="1">
        <f>ROUND(F26+(F26*TabelaPrincipal[[#This Row],[PERCENTUAL DE ENTRADA]]), 2)</f>
        <v>0</v>
      </c>
      <c r="I26" s="2">
        <f t="shared" si="0"/>
        <v>0</v>
      </c>
      <c r="J26" s="5">
        <f>IF(TabelaPrincipal[[#This Row],[PERCENTUAL DE ENTRADA]]&gt;0,0.15,0)</f>
        <v>0.15</v>
      </c>
      <c r="K26" s="1">
        <f>ROUND(F26+(F26*TabelaPrincipal[[#This Row],[PERCENTUAL MÍNIMO]]), 2)</f>
        <v>0</v>
      </c>
      <c r="L26" s="31">
        <f>IF(TabelaPrincipal[[#This Row],[PERCENTUAL DE ENTRADA]]=0,TabelaPrincipal[[#This Row],[VALOR MÍNIMO]],0)</f>
        <v>0</v>
      </c>
      <c r="M26" s="32"/>
      <c r="N26" s="33">
        <f>TabelaPrincipal[[#This Row],[LANCE ATUAL]]*TabelaPrincipal[[#This Row],[QTD]]</f>
        <v>0</v>
      </c>
    </row>
    <row r="27" spans="1:14" x14ac:dyDescent="0.25">
      <c r="A27" s="28"/>
      <c r="B27" s="29"/>
      <c r="C27" s="28"/>
      <c r="D27" s="28"/>
      <c r="E27" s="28"/>
      <c r="F27" s="30"/>
      <c r="G27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7" s="1">
        <f>ROUND(F27+(F27*TabelaPrincipal[[#This Row],[PERCENTUAL DE ENTRADA]]), 2)</f>
        <v>0</v>
      </c>
      <c r="I27" s="2">
        <f t="shared" si="0"/>
        <v>0</v>
      </c>
      <c r="J27" s="5">
        <f>IF(TabelaPrincipal[[#This Row],[PERCENTUAL DE ENTRADA]]&gt;0,0.15,0)</f>
        <v>0.15</v>
      </c>
      <c r="K27" s="1">
        <f>ROUND(F27+(F27*TabelaPrincipal[[#This Row],[PERCENTUAL MÍNIMO]]), 2)</f>
        <v>0</v>
      </c>
      <c r="L27" s="31">
        <f>IF(TabelaPrincipal[[#This Row],[PERCENTUAL DE ENTRADA]]=0,TabelaPrincipal[[#This Row],[VALOR MÍNIMO]],0)</f>
        <v>0</v>
      </c>
      <c r="M27" s="32"/>
      <c r="N27" s="33">
        <f>TabelaPrincipal[[#This Row],[LANCE ATUAL]]*TabelaPrincipal[[#This Row],[QTD]]</f>
        <v>0</v>
      </c>
    </row>
    <row r="28" spans="1:14" x14ac:dyDescent="0.25">
      <c r="A28" s="28"/>
      <c r="B28" s="29"/>
      <c r="C28" s="28"/>
      <c r="D28" s="28"/>
      <c r="E28" s="28"/>
      <c r="F28" s="30"/>
      <c r="G28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8" s="1">
        <f>ROUND(F28+(F28*TabelaPrincipal[[#This Row],[PERCENTUAL DE ENTRADA]]), 2)</f>
        <v>0</v>
      </c>
      <c r="I28" s="2">
        <f t="shared" si="0"/>
        <v>0</v>
      </c>
      <c r="J28" s="5">
        <f>IF(TabelaPrincipal[[#This Row],[PERCENTUAL DE ENTRADA]]&gt;0,0.15,0)</f>
        <v>0.15</v>
      </c>
      <c r="K28" s="1">
        <f>ROUND(F28+(F28*TabelaPrincipal[[#This Row],[PERCENTUAL MÍNIMO]]), 2)</f>
        <v>0</v>
      </c>
      <c r="L28" s="31">
        <f>IF(TabelaPrincipal[[#This Row],[PERCENTUAL DE ENTRADA]]=0,TabelaPrincipal[[#This Row],[VALOR MÍNIMO]],0)</f>
        <v>0</v>
      </c>
      <c r="M28" s="32"/>
      <c r="N28" s="33">
        <f>TabelaPrincipal[[#This Row],[LANCE ATUAL]]*TabelaPrincipal[[#This Row],[QTD]]</f>
        <v>0</v>
      </c>
    </row>
    <row r="29" spans="1:14" x14ac:dyDescent="0.25">
      <c r="A29" s="28"/>
      <c r="B29" s="29"/>
      <c r="C29" s="28"/>
      <c r="D29" s="28"/>
      <c r="E29" s="28"/>
      <c r="F29" s="30"/>
      <c r="G29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9" s="1">
        <f>ROUND(F29+(F29*TabelaPrincipal[[#This Row],[PERCENTUAL DE ENTRADA]]), 2)</f>
        <v>0</v>
      </c>
      <c r="I29" s="2">
        <f t="shared" si="0"/>
        <v>0</v>
      </c>
      <c r="J29" s="5">
        <f>IF(TabelaPrincipal[[#This Row],[PERCENTUAL DE ENTRADA]]&gt;0,0.15,0)</f>
        <v>0.15</v>
      </c>
      <c r="K29" s="1">
        <f>ROUND(F29+(F29*TabelaPrincipal[[#This Row],[PERCENTUAL MÍNIMO]]), 2)</f>
        <v>0</v>
      </c>
      <c r="L29" s="31">
        <f>IF(TabelaPrincipal[[#This Row],[PERCENTUAL DE ENTRADA]]=0,TabelaPrincipal[[#This Row],[VALOR MÍNIMO]],0)</f>
        <v>0</v>
      </c>
      <c r="M29" s="32"/>
      <c r="N29" s="33">
        <f>TabelaPrincipal[[#This Row],[LANCE ATUAL]]*TabelaPrincipal[[#This Row],[QTD]]</f>
        <v>0</v>
      </c>
    </row>
    <row r="30" spans="1:14" x14ac:dyDescent="0.25">
      <c r="A30" s="28"/>
      <c r="B30" s="29"/>
      <c r="C30" s="28"/>
      <c r="D30" s="28"/>
      <c r="E30" s="28"/>
      <c r="F30" s="30"/>
      <c r="G30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30" s="1">
        <f>ROUND(F30+(F30*TabelaPrincipal[[#This Row],[PERCENTUAL DE ENTRADA]]), 2)</f>
        <v>0</v>
      </c>
      <c r="I30" s="2">
        <f t="shared" si="0"/>
        <v>0</v>
      </c>
      <c r="J30" s="5">
        <f>IF(TabelaPrincipal[[#This Row],[PERCENTUAL DE ENTRADA]]&gt;0,0.15,0)</f>
        <v>0.15</v>
      </c>
      <c r="K30" s="1">
        <f>ROUND(F30+(F30*TabelaPrincipal[[#This Row],[PERCENTUAL MÍNIMO]]), 2)</f>
        <v>0</v>
      </c>
      <c r="L30" s="31">
        <f>IF(TabelaPrincipal[[#This Row],[PERCENTUAL DE ENTRADA]]=0,TabelaPrincipal[[#This Row],[VALOR MÍNIMO]],0)</f>
        <v>0</v>
      </c>
      <c r="M30" s="32"/>
      <c r="N30" s="33">
        <f>TabelaPrincipal[[#This Row],[LANCE ATUAL]]*TabelaPrincipal[[#This Row],[QTD]]</f>
        <v>0</v>
      </c>
    </row>
    <row r="31" spans="1:14" x14ac:dyDescent="0.25">
      <c r="A31" s="28"/>
      <c r="B31" s="29"/>
      <c r="C31" s="28"/>
      <c r="D31" s="28"/>
      <c r="E31" s="28"/>
      <c r="F31" s="30"/>
      <c r="G31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31" s="1">
        <f>ROUND(F31+(F31*TabelaPrincipal[[#This Row],[PERCENTUAL DE ENTRADA]]), 2)</f>
        <v>0</v>
      </c>
      <c r="I31" s="2">
        <f t="shared" si="0"/>
        <v>0</v>
      </c>
      <c r="J31" s="5">
        <f>IF(TabelaPrincipal[[#This Row],[PERCENTUAL DE ENTRADA]]&gt;0,0.15,0)</f>
        <v>0.15</v>
      </c>
      <c r="K31" s="1">
        <f>ROUND(F31+(F31*TabelaPrincipal[[#This Row],[PERCENTUAL MÍNIMO]]), 2)</f>
        <v>0</v>
      </c>
      <c r="L31" s="31">
        <f>IF(TabelaPrincipal[[#This Row],[PERCENTUAL DE ENTRADA]]=0,TabelaPrincipal[[#This Row],[VALOR MÍNIMO]],0)</f>
        <v>0</v>
      </c>
      <c r="M31" s="32"/>
      <c r="N31" s="33">
        <f>TabelaPrincipal[[#This Row],[LANCE ATUAL]]*TabelaPrincipal[[#This Row],[QTD]]</f>
        <v>0</v>
      </c>
    </row>
    <row r="32" spans="1:14" x14ac:dyDescent="0.25">
      <c r="A32" s="28"/>
      <c r="B32" s="29"/>
      <c r="C32" s="28"/>
      <c r="D32" s="28"/>
      <c r="E32" s="28"/>
      <c r="F32" s="30"/>
      <c r="G32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32" s="1">
        <f>ROUND(F32+(F32*TabelaPrincipal[[#This Row],[PERCENTUAL DE ENTRADA]]), 2)</f>
        <v>0</v>
      </c>
      <c r="I32" s="2">
        <f t="shared" si="0"/>
        <v>0</v>
      </c>
      <c r="J32" s="5">
        <f>IF(TabelaPrincipal[[#This Row],[PERCENTUAL DE ENTRADA]]&gt;0,0.15,0)</f>
        <v>0.15</v>
      </c>
      <c r="K32" s="1">
        <f>ROUND(F32+(F32*TabelaPrincipal[[#This Row],[PERCENTUAL MÍNIMO]]), 2)</f>
        <v>0</v>
      </c>
      <c r="L32" s="31">
        <f>IF(TabelaPrincipal[[#This Row],[PERCENTUAL DE ENTRADA]]=0,TabelaPrincipal[[#This Row],[VALOR MÍNIMO]],0)</f>
        <v>0</v>
      </c>
      <c r="M32" s="32"/>
      <c r="N32" s="33">
        <f>TabelaPrincipal[[#This Row],[LANCE ATUAL]]*TabelaPrincipal[[#This Row],[QTD]]</f>
        <v>0</v>
      </c>
    </row>
    <row r="33" spans="1:14" x14ac:dyDescent="0.25">
      <c r="A33" s="23"/>
      <c r="B33" s="24"/>
      <c r="C33" s="25"/>
      <c r="D33" s="25"/>
      <c r="E33" s="25"/>
      <c r="F33" s="26"/>
      <c r="G33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33" s="1">
        <f>ROUND(F33+(F33*TabelaPrincipal[[#This Row],[PERCENTUAL DE ENTRADA]]), 2)</f>
        <v>0</v>
      </c>
      <c r="I33" s="2">
        <f>D33*H33</f>
        <v>0</v>
      </c>
      <c r="J33" s="5">
        <f>IF(TabelaPrincipal[[#This Row],[PERCENTUAL DE ENTRADA]]&gt;0,0.15,0)</f>
        <v>0.15</v>
      </c>
      <c r="K33" s="1">
        <f>ROUND(F33+(F33*TabelaPrincipal[[#This Row],[PERCENTUAL MÍNIMO]]), 2)</f>
        <v>0</v>
      </c>
      <c r="L33" s="20">
        <f>IF(TabelaPrincipal[[#This Row],[PERCENTUAL DE ENTRADA]]=0,TabelaPrincipal[[#This Row],[VALOR MÍNIMO]],0)</f>
        <v>0</v>
      </c>
      <c r="M33" s="19"/>
      <c r="N33" s="22">
        <f>TabelaPrincipal[[#This Row],[LANCE ATUAL]]*TabelaPrincipal[[#This Row],[QTD]]</f>
        <v>0</v>
      </c>
    </row>
    <row r="34" spans="1:14" x14ac:dyDescent="0.25">
      <c r="A34" s="23"/>
      <c r="B34" s="24"/>
      <c r="C34" s="25"/>
      <c r="D34" s="25"/>
      <c r="E34" s="25"/>
      <c r="F34" s="26"/>
      <c r="G34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34" s="1">
        <f>ROUND(F34+(F34*TabelaPrincipal[[#This Row],[PERCENTUAL DE ENTRADA]]), 2)</f>
        <v>0</v>
      </c>
      <c r="I34" s="2">
        <f>D34*H34</f>
        <v>0</v>
      </c>
      <c r="J34" s="5">
        <f>IF(TabelaPrincipal[[#This Row],[PERCENTUAL DE ENTRADA]]&gt;0,0.15,0)</f>
        <v>0.15</v>
      </c>
      <c r="K34" s="1">
        <f>ROUND(F34+(F34*TabelaPrincipal[[#This Row],[PERCENTUAL MÍNIMO]]), 2)</f>
        <v>0</v>
      </c>
      <c r="L34" s="20">
        <f>IF(TabelaPrincipal[[#This Row],[PERCENTUAL DE ENTRADA]]=0,TabelaPrincipal[[#This Row],[VALOR MÍNIMO]],0)</f>
        <v>0</v>
      </c>
      <c r="M34" s="19"/>
      <c r="N34" s="22">
        <f>TabelaPrincipal[[#This Row],[LANCE ATUAL]]*TabelaPrincipal[[#This Row],[QTD]]</f>
        <v>0</v>
      </c>
    </row>
    <row r="35" spans="1:14" x14ac:dyDescent="0.25">
      <c r="A35" s="23"/>
      <c r="B35" s="24"/>
      <c r="C35" s="25"/>
      <c r="D35" s="25"/>
      <c r="E35" s="25"/>
      <c r="F35" s="26"/>
      <c r="G35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35" s="1">
        <f>ROUND(F35+(F35*TabelaPrincipal[[#This Row],[PERCENTUAL DE ENTRADA]]), 2)</f>
        <v>0</v>
      </c>
      <c r="I35" s="2">
        <f>D35*H35</f>
        <v>0</v>
      </c>
      <c r="J35" s="5">
        <f>IF(TabelaPrincipal[[#This Row],[PERCENTUAL DE ENTRADA]]&gt;0,0.15,0)</f>
        <v>0.15</v>
      </c>
      <c r="K35" s="1">
        <f>ROUND(F35+(F35*TabelaPrincipal[[#This Row],[PERCENTUAL MÍNIMO]]), 2)</f>
        <v>0</v>
      </c>
      <c r="L35" s="20">
        <f>IF(TabelaPrincipal[[#This Row],[PERCENTUAL DE ENTRADA]]=0,TabelaPrincipal[[#This Row],[VALOR MÍNIMO]],0)</f>
        <v>0</v>
      </c>
      <c r="M35" s="19"/>
      <c r="N35" s="22">
        <f>TabelaPrincipal[[#This Row],[LANCE ATUAL]]*TabelaPrincipal[[#This Row],[QTD]]</f>
        <v>0</v>
      </c>
    </row>
    <row r="36" spans="1:14" x14ac:dyDescent="0.25">
      <c r="A36" s="23"/>
      <c r="B36" s="24"/>
      <c r="C36" s="25"/>
      <c r="D36" s="25"/>
      <c r="E36" s="25"/>
      <c r="F36" s="27"/>
      <c r="G36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36" s="1">
        <f>ROUND(F36+(F36*TabelaPrincipal[[#This Row],[PERCENTUAL DE ENTRADA]]), 2)</f>
        <v>0</v>
      </c>
      <c r="I36" s="2">
        <f>D36*H36</f>
        <v>0</v>
      </c>
      <c r="J36" s="5">
        <f>IF(TabelaPrincipal[[#This Row],[PERCENTUAL DE ENTRADA]]&gt;0,0.15,0)</f>
        <v>0.15</v>
      </c>
      <c r="K36" s="1">
        <f>ROUND(F36+(F36*TabelaPrincipal[[#This Row],[PERCENTUAL MÍNIMO]]), 2)</f>
        <v>0</v>
      </c>
      <c r="L36" s="20">
        <f>IF(TabelaPrincipal[[#This Row],[PERCENTUAL DE ENTRADA]]=0,TabelaPrincipal[[#This Row],[VALOR MÍNIMO]],0)</f>
        <v>0</v>
      </c>
      <c r="M36" s="19"/>
      <c r="N36" s="22">
        <f>TabelaPrincipal[[#This Row],[LANCE ATUAL]]*TabelaPrincipal[[#This Row],[QTD]]</f>
        <v>0</v>
      </c>
    </row>
  </sheetData>
  <conditionalFormatting sqref="L2:L36">
    <cfRule type="expression" dxfId="48" priority="1">
      <formula>$L2&lt;$K2</formula>
    </cfRule>
  </conditionalFormatting>
  <conditionalFormatting sqref="A2:N36">
    <cfRule type="expression" dxfId="47" priority="2">
      <formula>$M2=1</formula>
    </cfRule>
  </conditionalFormatting>
  <conditionalFormatting sqref="L2:L36">
    <cfRule type="expression" dxfId="46" priority="5">
      <formula>$G2=0</formula>
    </cfRule>
  </conditionalFormatting>
  <conditionalFormatting sqref="G2:G36">
    <cfRule type="expression" dxfId="45" priority="4">
      <formula>$G2&gt;0.4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19727-5DA9-40D4-8223-AE69951C4CB4}">
  <dimension ref="A1:H4"/>
  <sheetViews>
    <sheetView workbookViewId="0">
      <selection activeCell="C9" sqref="C9"/>
    </sheetView>
  </sheetViews>
  <sheetFormatPr defaultRowHeight="15" x14ac:dyDescent="0.25"/>
  <cols>
    <col min="1" max="1" width="4.85546875" bestFit="1" customWidth="1"/>
    <col min="2" max="2" width="50.7109375" customWidth="1"/>
    <col min="3" max="5" width="15.7109375" customWidth="1"/>
    <col min="6" max="6" width="8.7109375" customWidth="1"/>
    <col min="7" max="7" width="11.85546875" bestFit="1" customWidth="1"/>
    <col min="8" max="8" width="60.7109375" customWidth="1"/>
  </cols>
  <sheetData>
    <row r="1" spans="1:8" ht="25.5" x14ac:dyDescent="0.25">
      <c r="A1" s="6" t="s">
        <v>0</v>
      </c>
      <c r="B1" s="7" t="s">
        <v>5</v>
      </c>
      <c r="C1" s="7" t="s">
        <v>2</v>
      </c>
      <c r="D1" s="7" t="s">
        <v>1</v>
      </c>
      <c r="E1" s="7" t="s">
        <v>6</v>
      </c>
      <c r="F1" s="17" t="s">
        <v>8</v>
      </c>
      <c r="G1" s="8" t="s">
        <v>3</v>
      </c>
      <c r="H1" s="7" t="s">
        <v>9</v>
      </c>
    </row>
    <row r="2" spans="1:8" x14ac:dyDescent="0.25">
      <c r="A2" s="9">
        <f>TabelaPrincipal[[#This Row],[ITEM]]</f>
        <v>7</v>
      </c>
      <c r="B2" s="10" t="str">
        <f>TabelaPrincipal[[#This Row],[DESCRIÇÃO]]</f>
        <v>ALBENDAZOL 40 MG/ML SUSPENSAO ORAL   - FRASCO COM 10 ML  - FRASCO COM 10 ML</v>
      </c>
      <c r="C2" s="11" t="str">
        <f>TabelaPrincipal[[#This Row],[UND]]</f>
        <v>UN</v>
      </c>
      <c r="D2" s="10">
        <f>TabelaPrincipal[[#This Row],[QTD]]</f>
        <v>250</v>
      </c>
      <c r="E2" s="10" t="str">
        <f>TabelaPrincipal[[#This Row],[MARCA]]</f>
        <v>Geolab</v>
      </c>
      <c r="F2" s="12">
        <f>TabelaPrincipal[[#This Row],[CUSTO + PERCENTUAL DE ENTRADA]]</f>
        <v>4.83</v>
      </c>
      <c r="G2" s="13">
        <f>TabelaPrincipal[[#This Row],[VALOR TOTAL]]</f>
        <v>1207.5</v>
      </c>
      <c r="H2" s="7"/>
    </row>
    <row r="3" spans="1:8" x14ac:dyDescent="0.25">
      <c r="A3" s="9">
        <f>TabelaPrincipal[[#This Row],[ITEM]]</f>
        <v>12</v>
      </c>
      <c r="B3" s="10" t="str">
        <f>TabelaPrincipal[[#This Row],[DESCRIÇÃO]]</f>
        <v>AMOXICILINA 250MG/5ML SUSPENSAO ORAL 150ML</v>
      </c>
      <c r="C3" s="11" t="str">
        <f>TabelaPrincipal[[#This Row],[UND]]</f>
        <v>FR</v>
      </c>
      <c r="D3" s="10">
        <f>TabelaPrincipal[[#This Row],[QTD]]</f>
        <v>500</v>
      </c>
      <c r="E3" s="10" t="str">
        <f>TabelaPrincipal[[#This Row],[MARCA]]</f>
        <v>Eurofarma</v>
      </c>
      <c r="F3" s="12">
        <f>TabelaPrincipal[[#This Row],[CUSTO + PERCENTUAL DE ENTRADA]]</f>
        <v>21.91</v>
      </c>
      <c r="G3" s="13">
        <f>TabelaPrincipal[[#This Row],[VALOR TOTAL]]</f>
        <v>10955</v>
      </c>
      <c r="H3" s="14"/>
    </row>
    <row r="4" spans="1:8" x14ac:dyDescent="0.25">
      <c r="A4" s="15" t="s">
        <v>7</v>
      </c>
      <c r="B4" s="14"/>
      <c r="C4" s="14"/>
      <c r="D4" s="14"/>
      <c r="E4" s="14"/>
      <c r="F4" s="14"/>
      <c r="G4" s="16">
        <f>SUBTOTAL(109,TabelaProposta[VALOR TOTAL])</f>
        <v>12162.5</v>
      </c>
      <c r="H4" s="14" t="str">
        <f>Extenso_Valor(TabelaProposta[[#Totals],[VALOR TOTAL]])</f>
        <v>doze mil, cento e sessenta e dois reais e cinquenta centavos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Principal</vt:lpstr>
      <vt:lpstr>DadosProposta</vt:lpstr>
      <vt:lpstr>TabelaProcesso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Murilo Campos Seidenstucker</cp:lastModifiedBy>
  <dcterms:created xsi:type="dcterms:W3CDTF">2015-06-05T18:19:34Z</dcterms:created>
  <dcterms:modified xsi:type="dcterms:W3CDTF">2024-08-18T17:35:14Z</dcterms:modified>
</cp:coreProperties>
</file>