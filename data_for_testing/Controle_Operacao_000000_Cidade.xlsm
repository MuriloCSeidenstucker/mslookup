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jects\LearningSeleniumAndPython\data_for_testing\"/>
    </mc:Choice>
  </mc:AlternateContent>
  <xr:revisionPtr revIDLastSave="0" documentId="13_ncr:1_{4C2E9F0F-1C79-43F8-AB5D-7B99AB1B490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incipal" sheetId="1" r:id="rId1"/>
    <sheet name="DadosProposta" sheetId="2" r:id="rId2"/>
  </sheets>
  <functionGroups builtInGroupCount="19"/>
  <definedNames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N2" i="1" s="1"/>
  <c r="G2" i="1"/>
  <c r="J2" i="1" s="1"/>
  <c r="K2" i="1" s="1"/>
  <c r="G3" i="1"/>
  <c r="J3" i="1" s="1"/>
  <c r="H2" i="1" l="1"/>
  <c r="I2" i="1" s="1"/>
  <c r="L3" i="1"/>
  <c r="H3" i="1"/>
  <c r="I3" i="1" s="1"/>
  <c r="A2" i="2"/>
  <c r="B2" i="2"/>
  <c r="C2" i="2"/>
  <c r="D2" i="2"/>
  <c r="E2" i="2"/>
  <c r="E3" i="2"/>
  <c r="D3" i="2"/>
  <c r="C3" i="2"/>
  <c r="B3" i="2"/>
  <c r="A3" i="2"/>
  <c r="K3" i="1"/>
  <c r="N3" i="1" l="1"/>
  <c r="G3" i="2"/>
  <c r="G2" i="2"/>
  <c r="F3" i="2"/>
  <c r="F2" i="2"/>
  <c r="G4" i="2" l="1"/>
  <c r="H4" i="2"/>
</calcChain>
</file>

<file path=xl/sharedStrings.xml><?xml version="1.0" encoding="utf-8"?>
<sst xmlns="http://schemas.openxmlformats.org/spreadsheetml/2006/main" count="27" uniqueCount="21">
  <si>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</si>
  <si>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</si>
  <si>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</si>
  <si>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</si>
  <si>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</si>
  <si>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</si>
  <si>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</si>
  <si>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</si>
  <si>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</si>
  <si>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</si>
  <si>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</si>
  <si>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</si>
  <si>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</si>
  <si>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</si>
  <si>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</si>
  <si>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</si>
  <si>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</si>
  <si>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CARBONATO DE CALCIO 500MG</t>
  </si>
  <si>
    <t>Nutivit/Imec</t>
  </si>
  <si>
    <t>DINITRATO DE ISOSSORBIDA 5MG SUBLINGUAL</t>
  </si>
  <si>
    <t>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</si>
</sst>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&quot;R$&quot;\ * #,##0.000_-;\-&quot;R$&quot;\ * #,##0.0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5" xfId="1" applyNumberFormat="1" applyFont="1" applyBorder="1" applyAlignment="1">
      <alignment horizontal="center" vertical="center"/>
    </xf>
    <xf numFmtId="44" fontId="0" fillId="2" borderId="5" xfId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44" fontId="0" fillId="0" borderId="5" xfId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53"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17/10/relationships/person" Target="persons/person1.xml"/><Relationship Id="rId5" Type="http://schemas.openxmlformats.org/officeDocument/2006/relationships/sharedStrings" Target="sharedStrings.xml"/><Relationship Id="rId10" Type="http://schemas.microsoft.com/office/2017/10/relationships/person" Target="persons/person0.xml"/><Relationship Id="rId4" Type="http://schemas.openxmlformats.org/officeDocument/2006/relationships/styles" Target="styles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3" headerRowDxfId="52" dataDxfId="50" headerRowBorderDxfId="51" tableBorderDxfId="49" totalsRowBorderDxfId="48">
  <autoFilter ref="A1:N3" xr:uid="{0F1C68C0-8F04-4F32-8E6D-C50711AF0188}"/>
  <tableColumns count="14">
    <tableColumn id="1" xr3:uid="{51CFE57C-AFCD-46C7-A72C-4E116E9357EE}" name="ITEM" totalsRowLabel="Total" dataDxfId="47"/>
    <tableColumn id="2" xr3:uid="{E7B80085-C079-4ECA-B98E-E82F5E46696A}" name="DESCRIÇÃO" dataDxfId="46"/>
    <tableColumn id="3" xr3:uid="{74DD09F8-5DE7-492D-ABF9-CC0D01F7D44D}" name="UND" dataDxfId="45"/>
    <tableColumn id="4" xr3:uid="{2D7CF20C-95AF-448A-964A-706613067BC5}" name="QTD" dataDxfId="44"/>
    <tableColumn id="5" xr3:uid="{888FDB53-36CC-46AE-AFEA-75AF1F77389D}" name="MARCA" dataDxfId="43"/>
    <tableColumn id="6" xr3:uid="{E7330FE1-ADA8-42A4-B3C8-35EEACF8E856}" name="VALOR DE CUSTO" dataDxfId="42" dataCellStyle="Moeda"/>
    <tableColumn id="14" xr3:uid="{A34B0AAF-F1D2-4671-A532-9BD185994D6B}" name="PERCENTUAL DE ENTRADA" dataDxfId="41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40" totalsRowDxfId="39" dataCellStyle="Moeda">
      <calculatedColumnFormula>ROUND(F2+(F2*TabelaPrincipal[[#This Row],[PERCENTUAL DE ENTRADA]]), 2)</calculatedColumnFormula>
    </tableColumn>
    <tableColumn id="8" xr3:uid="{532B9320-507F-43A8-833D-2CFD5BDC3030}" name="VALOR TOTAL" dataDxfId="38" totalsRowDxfId="37" dataCellStyle="Moeda">
      <calculatedColumnFormula>D2*H2</calculatedColumnFormula>
    </tableColumn>
    <tableColumn id="12" xr3:uid="{47060763-EEF9-4198-9C8A-B2079FE74328}" name="PERCENTUAL MÍNIMO" dataDxfId="36" totalsRowDxfId="35">
      <calculatedColumnFormula>IF(TabelaPrincipal[[#This Row],[PERCENTUAL DE ENTRADA]]&gt;0,0.15,0)</calculatedColumnFormula>
    </tableColumn>
    <tableColumn id="13" xr3:uid="{8FA6F66F-B93C-4DF5-A099-D33323ED11B8}" name="VALOR MÍNIMO" totalsRowFunction="sum" dataDxfId="34" totalsRowDxfId="33">
      <calculatedColumnFormula>ROUND(F2+(F2*TabelaPrincipal[[#This Row],[PERCENTUAL MÍNIMO]]), 2)</calculatedColumnFormula>
    </tableColumn>
    <tableColumn id="9" xr3:uid="{9D0B07B5-0269-49DC-A3EC-C170D6496473}" name="LANCE ATUAL" dataDxfId="32" dataCellStyle="Moeda">
      <calculatedColumnFormula>IF(TabelaPrincipal[[#This Row],[PERCENTUAL DE ENTRADA]]=0,TabelaPrincipal[[#This Row],[VALOR MÍNIMO]],0)</calculatedColumnFormula>
    </tableColumn>
    <tableColumn id="10" xr3:uid="{2B3A16CA-ACFA-4765-8367-A064C061C94F}" name="POSIÇÃO" dataDxfId="31" dataCellStyle="Moeda"/>
    <tableColumn id="11" xr3:uid="{059F3929-D102-4D03-9013-A9DF3FD97FD7}" name="VALOR TOTAL DO LANCE" dataDxfId="30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4" totalsRowCount="1" headerRowDxfId="29" dataDxfId="27" totalsRowDxfId="25" headerRowBorderDxfId="28" tableBorderDxfId="26" totalsRowBorderDxfId="24">
  <autoFilter ref="A1:H3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23" totalsRowDxfId="22">
      <calculatedColumnFormula>TabelaPrincipal[[#This Row],[ITEM]]</calculatedColumnFormula>
    </tableColumn>
    <tableColumn id="2" xr3:uid="{F915D416-2888-4C08-B603-DD427B80EC39}" name="DESCRIÇÃO" dataDxfId="21" totalsRowDxfId="20">
      <calculatedColumnFormula>TabelaPrincipal[[#This Row],[DESCRIÇÃO]]</calculatedColumnFormula>
    </tableColumn>
    <tableColumn id="3" xr3:uid="{49DB4880-9F6A-4C83-B06A-2BE3AF89B478}" name="UND" dataDxfId="19" totalsRowDxfId="18">
      <calculatedColumnFormula>TabelaPrincipal[[#This Row],[UND]]</calculatedColumnFormula>
    </tableColumn>
    <tableColumn id="4" xr3:uid="{88402F2B-2E49-4C7B-B78B-F865BFB0E1DD}" name="QTD" dataDxfId="17" totalsRowDxfId="16">
      <calculatedColumnFormula>TabelaPrincipal[[#This Row],[QTD]]</calculatedColumnFormula>
    </tableColumn>
    <tableColumn id="5" xr3:uid="{3DB67E5A-8A24-45E8-8217-4846CFFF15A4}" name="MARCA" dataDxfId="15" totalsRowDxfId="14">
      <calculatedColumnFormula>TabelaPrincipal[[#This Row],[MARCA]]</calculatedColumnFormula>
    </tableColumn>
    <tableColumn id="6" xr3:uid="{B69EC1DE-FD02-4E24-9A4E-2413AAC85E68}" name="VALOR UNITÁRIO" dataDxfId="13" totalsRowDxfId="12">
      <calculatedColumnFormula>TabelaPrincipal[[#This Row],[CUSTO + PERCENTUAL DE ENTRADA]]</calculatedColumnFormula>
    </tableColumn>
    <tableColumn id="7" xr3:uid="{AB54B16F-01C8-42F8-BA21-D18026C5F589}" name="VALOR TOTAL" totalsRowFunction="sum" dataDxfId="11" totalsRowDxfId="10">
      <calculatedColumnFormula>TabelaPrincipal[[#This Row],[VALOR TOTAL]]</calculatedColumnFormula>
    </tableColumn>
    <tableColumn id="8" xr3:uid="{937D679C-928B-4903-8AF2-2ECD36984D55}" name="TOTAL POR EXTENSO" totalsRowFunction="custom" dataDxfId="9" totalsRowDxfId="8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3"/>
  <sheetViews>
    <sheetView tabSelected="1" zoomScale="80" zoomScaleNormal="80" workbookViewId="0">
      <pane ySplit="1" topLeftCell="A2" activePane="bottomLeft" state="frozen"/>
      <selection pane="bottomLeft" activeCell="J7" sqref="J7"/>
    </sheetView>
  </sheetViews>
  <sheetFormatPr defaultRowHeight="15" x14ac:dyDescent="0.25"/>
  <cols>
    <col min="1" max="1" width="7" customWidth="1"/>
    <col min="2" max="2" width="60.7109375" customWidth="1"/>
    <col min="3" max="3" width="10.85546875" bestFit="1" customWidth="1"/>
    <col min="4" max="4" width="11.28515625" bestFit="1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21" t="s">
        <v>4</v>
      </c>
      <c r="G1" s="21" t="s">
        <v>16</v>
      </c>
      <c r="H1" s="21" t="s">
        <v>15</v>
      </c>
      <c r="I1" s="24" t="s">
        <v>3</v>
      </c>
      <c r="J1" s="21" t="s">
        <v>10</v>
      </c>
      <c r="K1" s="21" t="s">
        <v>11</v>
      </c>
      <c r="L1" s="21" t="s">
        <v>12</v>
      </c>
      <c r="M1" s="7" t="s">
        <v>13</v>
      </c>
      <c r="N1" s="21" t="s">
        <v>14</v>
      </c>
    </row>
    <row r="2" spans="1:14" x14ac:dyDescent="0.25">
      <c r="A2" s="4">
        <v>26</v>
      </c>
      <c r="B2" s="3" t="s">
        <v>17</v>
      </c>
      <c r="C2" s="1"/>
      <c r="D2" s="1"/>
      <c r="E2" s="1" t="s">
        <v>18</v>
      </c>
      <c r="F2" s="21"/>
      <c r="G2" s="8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2">
        <f>ROUND(F2+(F2*TabelaPrincipal[[#This Row],[PERCENTUAL DE ENTRADA]]), 2)</f>
        <v>0</v>
      </c>
      <c r="I2" s="5">
        <f>D2*H2</f>
        <v>0</v>
      </c>
      <c r="J2" s="8">
        <f>IF(TabelaPrincipal[[#This Row],[PERCENTUAL DE ENTRADA]]&gt;0,0.15,0)</f>
        <v>0.15</v>
      </c>
      <c r="K2" s="2">
        <f>ROUND(F2+(F2*TabelaPrincipal[[#This Row],[PERCENTUAL MÍNIMO]]), 2)</f>
        <v>0</v>
      </c>
      <c r="L2" s="23">
        <f>IF(TabelaPrincipal[[#This Row],[PERCENTUAL DE ENTRADA]]=0,TabelaPrincipal[[#This Row],[VALOR MÍNIMO]],0)</f>
        <v>0</v>
      </c>
      <c r="M2" s="22"/>
      <c r="N2" s="25">
        <f>TabelaPrincipal[[#This Row],[LANCE ATUAL]]*TabelaPrincipal[[#This Row],[QTD]]</f>
        <v>0</v>
      </c>
    </row>
    <row r="3" spans="1:14" x14ac:dyDescent="0.25">
      <c r="A3" s="4">
        <v>60</v>
      </c>
      <c r="B3" s="3" t="s">
        <v>19</v>
      </c>
      <c r="C3" s="1"/>
      <c r="D3" s="1"/>
      <c r="E3" s="1" t="s">
        <v>20</v>
      </c>
      <c r="F3" s="26"/>
      <c r="G3" s="8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2">
        <f>ROUND(F3+(F3*TabelaPrincipal[[#This Row],[PERCENTUAL DE ENTRADA]]), 2)</f>
        <v>0</v>
      </c>
      <c r="I3" s="5">
        <f>D3*H3</f>
        <v>0</v>
      </c>
      <c r="J3" s="8">
        <f>IF(TabelaPrincipal[[#This Row],[PERCENTUAL DE ENTRADA]]&gt;0,0.15,0)</f>
        <v>0.15</v>
      </c>
      <c r="K3" s="2">
        <f>ROUND(F3+(F3*TabelaPrincipal[[#This Row],[PERCENTUAL MÍNIMO]]), 2)</f>
        <v>0</v>
      </c>
      <c r="L3" s="23">
        <f>IF(TabelaPrincipal[[#This Row],[PERCENTUAL DE ENTRADA]]=0,TabelaPrincipal[[#This Row],[VALOR MÍNIMO]],0)</f>
        <v>0</v>
      </c>
      <c r="M3" s="22"/>
      <c r="N3" s="25">
        <f>TabelaPrincipal[[#This Row],[LANCE ATUAL]]*TabelaPrincipal[[#This Row],[QTD]]</f>
        <v>0</v>
      </c>
    </row>
  </sheetData>
  <conditionalFormatting sqref="L2:L3">
    <cfRule type="expression" dxfId="7" priority="1">
      <formula>$L2&lt;$K2</formula>
    </cfRule>
  </conditionalFormatting>
  <conditionalFormatting sqref="A2:N3">
    <cfRule type="expression" dxfId="6" priority="2">
      <formula>$M2=1</formula>
    </cfRule>
  </conditionalFormatting>
  <conditionalFormatting sqref="L2:L3">
    <cfRule type="expression" dxfId="5" priority="5">
      <formula>$G2=0</formula>
    </cfRule>
  </conditionalFormatting>
  <conditionalFormatting sqref="G2:G3">
    <cfRule type="expression" dxfId="4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4"/>
  <sheetViews>
    <sheetView workbookViewId="0">
      <selection activeCell="C9" sqref="C9"/>
    </sheetView>
  </sheetViews>
  <sheetFormatPr defaultRowHeight="15" x14ac:dyDescent="0.25"/>
  <cols>
    <col min="1" max="1" width="4.85546875" bestFit="1" customWidth="1"/>
    <col min="2" max="2" width="50.7109375" customWidth="1"/>
    <col min="3" max="5" width="15.7109375" customWidth="1"/>
    <col min="6" max="6" width="8.7109375" customWidth="1"/>
    <col min="7" max="7" width="11.85546875" bestFit="1" customWidth="1"/>
    <col min="8" max="8" width="60.7109375" customWidth="1"/>
  </cols>
  <sheetData>
    <row r="1" spans="1:8" ht="25.5" x14ac:dyDescent="0.25">
      <c r="A1" s="9" t="s">
        <v>0</v>
      </c>
      <c r="B1" s="10" t="s">
        <v>5</v>
      </c>
      <c r="C1" s="10" t="s">
        <v>2</v>
      </c>
      <c r="D1" s="10" t="s">
        <v>1</v>
      </c>
      <c r="E1" s="10" t="s">
        <v>6</v>
      </c>
      <c r="F1" s="20" t="s">
        <v>8</v>
      </c>
      <c r="G1" s="11" t="s">
        <v>3</v>
      </c>
      <c r="H1" s="10" t="s">
        <v>9</v>
      </c>
    </row>
    <row r="2" spans="1:8" x14ac:dyDescent="0.25">
      <c r="A2" s="12">
        <f>TabelaPrincipal[[#This Row],[ITEM]]</f>
        <v>26</v>
      </c>
      <c r="B2" s="13" t="str">
        <f>TabelaPrincipal[[#This Row],[DESCRIÇÃO]]</f>
        <v>CARBONATO DE CALCIO 500MG</v>
      </c>
      <c r="C2" s="14">
        <f>TabelaPrincipal[[#This Row],[UND]]</f>
        <v>0</v>
      </c>
      <c r="D2" s="13">
        <f>TabelaPrincipal[[#This Row],[QTD]]</f>
        <v>0</v>
      </c>
      <c r="E2" s="13" t="str">
        <f>TabelaPrincipal[[#This Row],[MARCA]]</f>
        <v>Nutivit/Imec</v>
      </c>
      <c r="F2" s="15">
        <f>TabelaPrincipal[[#This Row],[CUSTO + PERCENTUAL DE ENTRADA]]</f>
        <v>0</v>
      </c>
      <c r="G2" s="16">
        <f>TabelaPrincipal[[#This Row],[VALOR TOTAL]]</f>
        <v>0</v>
      </c>
      <c r="H2" s="10"/>
    </row>
    <row r="3" spans="1:8" x14ac:dyDescent="0.25">
      <c r="A3" s="12">
        <f>TabelaPrincipal[[#This Row],[ITEM]]</f>
        <v>60</v>
      </c>
      <c r="B3" s="13" t="str">
        <f>TabelaPrincipal[[#This Row],[DESCRIÇÃO]]</f>
        <v>DINITRATO DE ISOSSORBIDA 5MG SUBLINGUAL</v>
      </c>
      <c r="C3" s="14">
        <f>TabelaPrincipal[[#This Row],[UND]]</f>
        <v>0</v>
      </c>
      <c r="D3" s="13">
        <f>TabelaPrincipal[[#This Row],[QTD]]</f>
        <v>0</v>
      </c>
      <c r="E3" s="13" t="str">
        <f>TabelaPrincipal[[#This Row],[MARCA]]</f>
        <v>ems</v>
      </c>
      <c r="F3" s="15">
        <f>TabelaPrincipal[[#This Row],[CUSTO + PERCENTUAL DE ENTRADA]]</f>
        <v>0</v>
      </c>
      <c r="G3" s="16">
        <f>TabelaPrincipal[[#This Row],[VALOR TOTAL]]</f>
        <v>0</v>
      </c>
      <c r="H3" s="17"/>
    </row>
    <row r="4" spans="1:8" x14ac:dyDescent="0.25">
      <c r="A4" s="18" t="s">
        <v>7</v>
      </c>
      <c r="B4" s="17"/>
      <c r="C4" s="17"/>
      <c r="D4" s="17"/>
      <c r="E4" s="17"/>
      <c r="F4" s="17"/>
      <c r="G4" s="19">
        <f>SUBTOTAL(109,TabelaProposta[VALOR TOTAL])</f>
        <v>0</v>
      </c>
      <c r="H4" s="17" t="str">
        <f>Extenso_Valor(TabelaProposta[[#Totals],[VALOR TOTAL]])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Principal</vt:lpstr>
      <vt:lpstr>DadosProposta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2015-06-05T18:19:34Z</dcterms:created>
  <dcterms:modified xsi:type="dcterms:W3CDTF">2024-05-09T13:48:37Z</dcterms:modified>
</cp:coreProperties>
</file>